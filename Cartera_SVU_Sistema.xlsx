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PS - Reglas" sheetId="2" state="visible" r:id="rId2"/>
    <sheet name="Cartera Detalle" sheetId="3" state="visible" r:id="rId3"/>
    <sheet name="Tesis - Checklist" sheetId="4" state="visible" r:id="rId4"/>
    <sheet name="Tesis - Detalle" sheetId="5" state="visible" r:id="rId5"/>
    <sheet name="Parámetros Proyección" sheetId="6" state="visible" r:id="rId6"/>
    <sheet name="Proyección Mensual" sheetId="7" state="visible" r:id="rId7"/>
    <sheet name="Proyección A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%"/>
    <numFmt numFmtId="166" formatCode="0.000%"/>
    <numFmt numFmtId="167" formatCode="mmm-yyyy"/>
    <numFmt numFmtId="168" formatCode="0.####"/>
    <numFmt numFmtId="169" formatCode="#,##0.00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</font>
    <font>
      <b val="1"/>
      <color rgb="00FFFFFF"/>
      <sz val="11"/>
    </font>
    <font>
      <i val="1"/>
      <sz val="9"/>
    </font>
    <font>
      <b val="1"/>
      <color rgb="001F4E78"/>
      <sz val="12"/>
    </font>
    <font>
      <b val="1"/>
      <i val="1"/>
      <color rgb="00C00000"/>
    </font>
    <font>
      <i val="1"/>
      <color rgb="009C0006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0" fillId="2" borderId="0" pivotButton="0" quotePrefix="0" xfId="0"/>
    <xf numFmtId="165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3" fontId="0" fillId="2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pivotButton="0" quotePrefix="0" xfId="0"/>
    <xf numFmtId="0" fontId="3" fillId="4" borderId="0" pivotButton="0" quotePrefix="0" xfId="0"/>
    <xf numFmtId="0" fontId="0" fillId="4" borderId="0" pivotButton="0" quotePrefix="0" xfId="0"/>
    <xf numFmtId="3" fontId="3" fillId="4" borderId="0" pivotButton="0" quotePrefix="0" xfId="0"/>
    <xf numFmtId="165" fontId="3" fillId="4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165" fontId="0" fillId="2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2" borderId="1" applyAlignment="1" pivotButton="0" quotePrefix="0" xfId="0">
      <alignment horizontal="center"/>
    </xf>
    <xf numFmtId="169" fontId="0" fillId="2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pivotButton="0" quotePrefix="0" xfId="0"/>
    <xf numFmtId="0" fontId="8" fillId="0" borderId="1" pivotButton="0" quotePrefix="0" xfId="0"/>
    <xf numFmtId="0" fontId="0" fillId="2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3" fontId="0" fillId="6" borderId="1" pivotButton="0" quotePrefix="0" xfId="0"/>
    <xf numFmtId="169" fontId="0" fillId="6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PORTAFOLIO SVU — DASHBOARD</t>
        </is>
      </c>
    </row>
    <row r="2">
      <c r="A2" s="2" t="inlineStr">
        <is>
          <t>Actualizado al:</t>
        </is>
      </c>
      <c r="B2" s="3">
        <f>TODAY()</f>
        <v/>
      </c>
    </row>
    <row r="4">
      <c r="A4" s="4" t="inlineStr">
        <is>
          <t>Tipo de cambio USD/CLP (referencia):</t>
        </is>
      </c>
      <c r="B4" s="5" t="n">
        <v>921.42</v>
      </c>
      <c r="I4" t="inlineStr">
        <is>
          <t>Tope cripto:</t>
        </is>
      </c>
      <c r="J4" s="6" t="n">
        <v>0.15</v>
      </c>
    </row>
    <row r="6">
      <c r="A6" s="1" t="inlineStr">
        <is>
          <t>ASIGNACIÓN POR CATEGORÍA — REAL vs. OBJETIVO</t>
        </is>
      </c>
    </row>
    <row r="7">
      <c r="A7" s="7" t="inlineStr">
        <is>
          <t>Categoría</t>
        </is>
      </c>
      <c r="B7" s="7" t="inlineStr">
        <is>
          <t>Monto CLP</t>
        </is>
      </c>
      <c r="C7" s="7" t="inlineStr">
        <is>
          <t>% Real</t>
        </is>
      </c>
      <c r="D7" s="7" t="inlineStr">
        <is>
          <t>% Objetivo</t>
        </is>
      </c>
      <c r="E7" s="7" t="inlineStr">
        <is>
          <t>Diferencia</t>
        </is>
      </c>
      <c r="F7" s="7" t="inlineStr">
        <is>
          <t>Estado</t>
        </is>
      </c>
      <c r="G7" s="7" t="inlineStr">
        <is>
          <t>Tope máx.</t>
        </is>
      </c>
    </row>
    <row r="8">
      <c r="A8" s="8" t="inlineStr">
        <is>
          <t>Dividendos</t>
        </is>
      </c>
      <c r="B8" s="9">
        <f>SUMIF('Cartera Detalle'!$B:$B,A8,'Cartera Detalle'!$H:$H)</f>
        <v/>
      </c>
      <c r="C8" s="10">
        <f>B8/$B$13</f>
        <v/>
      </c>
      <c r="D8" s="10" t="n">
        <v>0.7</v>
      </c>
      <c r="E8" s="10">
        <f>C8-D8</f>
        <v/>
      </c>
      <c r="F8" s="11">
        <f>IF(ABS(E8)&lt;=0.03,"OK","Desviado")</f>
        <v/>
      </c>
      <c r="G8" s="12" t="inlineStr"/>
    </row>
    <row r="9">
      <c r="A9" s="8" t="inlineStr">
        <is>
          <t>USA</t>
        </is>
      </c>
      <c r="B9" s="9">
        <f>SUMIF('Cartera Detalle'!$B:$B,A9,'Cartera Detalle'!$H:$H)</f>
        <v/>
      </c>
      <c r="C9" s="10">
        <f>B9/$B$13</f>
        <v/>
      </c>
      <c r="D9" s="10" t="n">
        <v>0.075</v>
      </c>
      <c r="E9" s="10">
        <f>C9-D9</f>
        <v/>
      </c>
      <c r="F9" s="11">
        <f>IF(ABS(E9)&lt;=0.03,"OK","Desviado")</f>
        <v/>
      </c>
      <c r="G9" s="12" t="inlineStr"/>
    </row>
    <row r="10">
      <c r="A10" s="8" t="inlineStr">
        <is>
          <t>Emergentes</t>
        </is>
      </c>
      <c r="B10" s="9">
        <f>SUMIF('Cartera Detalle'!$B:$B,A10,'Cartera Detalle'!$H:$H)</f>
        <v/>
      </c>
      <c r="C10" s="10">
        <f>B10/$B$13</f>
        <v/>
      </c>
      <c r="D10" s="10" t="n">
        <v>0.075</v>
      </c>
      <c r="E10" s="10">
        <f>C10-D10</f>
        <v/>
      </c>
      <c r="F10" s="11">
        <f>IF(ABS(E10)&lt;=0.03,"OK","Desviado")</f>
        <v/>
      </c>
      <c r="G10" s="12" t="inlineStr"/>
    </row>
    <row r="11">
      <c r="A11" s="8" t="inlineStr">
        <is>
          <t>Internacional</t>
        </is>
      </c>
      <c r="B11" s="9">
        <f>SUMIF('Cartera Detalle'!$B:$B,A11,'Cartera Detalle'!$H:$H)</f>
        <v/>
      </c>
      <c r="C11" s="10">
        <f>B11/$B$13</f>
        <v/>
      </c>
      <c r="D11" s="10" t="n">
        <v>0.075</v>
      </c>
      <c r="E11" s="10">
        <f>C11-D11</f>
        <v/>
      </c>
      <c r="F11" s="11">
        <f>IF(ABS(E11)&lt;=0.03,"OK","Desviado")</f>
        <v/>
      </c>
      <c r="G11" s="12" t="inlineStr"/>
    </row>
    <row r="12">
      <c r="A12" s="8" t="inlineStr">
        <is>
          <t>Crypto</t>
        </is>
      </c>
      <c r="B12" s="9">
        <f>SUMIF('Cartera Detalle'!$B:$B,A12,'Cartera Detalle'!$H:$H)</f>
        <v/>
      </c>
      <c r="C12" s="10">
        <f>B12/$B$13</f>
        <v/>
      </c>
      <c r="D12" s="10" t="n">
        <v>0.075</v>
      </c>
      <c r="E12" s="10">
        <f>C12-D12</f>
        <v/>
      </c>
      <c r="F12" s="11">
        <f>IF(C12&gt;$G$12,"⚠ SOBRE TOPE",IF(ABS(E12)&lt;=0.03,"OK","Desviado"))</f>
        <v/>
      </c>
      <c r="G12" s="12" t="inlineStr">
        <is>
          <t>15%</t>
        </is>
      </c>
    </row>
    <row r="13">
      <c r="A13" s="13" t="inlineStr">
        <is>
          <t>TOTAL PORTAFOLIO</t>
        </is>
      </c>
      <c r="B13" s="14">
        <f>SUM(B8:B12)</f>
        <v/>
      </c>
      <c r="C13" s="15">
        <f>B13/B13</f>
        <v/>
      </c>
      <c r="D13" s="16" t="n"/>
      <c r="E13" s="16" t="n"/>
      <c r="F13" s="16" t="n"/>
      <c r="G13" s="16" t="n"/>
    </row>
    <row r="15">
      <c r="A15" s="1" t="inlineStr">
        <is>
          <t>CONCENTRACIÓN POR EMPRESA — TOP POSICIONES</t>
        </is>
      </c>
    </row>
    <row r="16">
      <c r="A16" s="7" t="inlineStr">
        <is>
          <t>Empresa</t>
        </is>
      </c>
      <c r="B16" s="7" t="inlineStr">
        <is>
          <t>% del Portafolio</t>
        </is>
      </c>
      <c r="C16" s="7" t="inlineStr">
        <is>
          <t>Tope individual</t>
        </is>
      </c>
      <c r="D16" s="7" t="inlineStr">
        <is>
          <t>Estado</t>
        </is>
      </c>
    </row>
    <row r="17">
      <c r="A17" s="17" t="inlineStr">
        <is>
          <t>(ver columna % Portafolio en 'Cartera Detalle' — ordenar de mayor a menor)</t>
        </is>
      </c>
    </row>
    <row r="18">
      <c r="A18" t="inlineStr">
        <is>
          <t>Tope individual por empresa:</t>
        </is>
      </c>
      <c r="B18" s="6" t="n">
        <v>0.3</v>
      </c>
    </row>
    <row r="20">
      <c r="A20" s="1" t="inlineStr">
        <is>
          <t>META DE INGRESO PASIVO</t>
        </is>
      </c>
    </row>
    <row r="21">
      <c r="A21" s="7" t="inlineStr">
        <is>
          <t>Concepto</t>
        </is>
      </c>
      <c r="B21" s="7" t="inlineStr">
        <is>
          <t>Valor</t>
        </is>
      </c>
    </row>
    <row r="22">
      <c r="A22" s="11" t="inlineStr">
        <is>
          <t>Meta ingreso pasivo mensual (pesos de hoy)</t>
        </is>
      </c>
      <c r="B22" s="18" t="n">
        <v>2000000</v>
      </c>
    </row>
    <row r="23">
      <c r="A23" s="11" t="inlineStr">
        <is>
          <t>Edad objetivo de independencia</t>
        </is>
      </c>
      <c r="B23" s="19" t="n">
        <v>60</v>
      </c>
    </row>
    <row r="24">
      <c r="A24" s="11" t="inlineStr">
        <is>
          <t>Fecha objetivo</t>
        </is>
      </c>
      <c r="B24" s="19" t="inlineStr">
        <is>
          <t>15/02/2057</t>
        </is>
      </c>
    </row>
    <row r="26">
      <c r="A26" s="2" t="inlineStr">
        <is>
          <t>Ingreso pasivo proyectado a esa fecha (CLP/mes): ver hoja 'Proyección Anual'</t>
        </is>
      </c>
    </row>
  </sheetData>
  <mergeCells count="4">
    <mergeCell ref="A15:E15"/>
    <mergeCell ref="A6:G6"/>
    <mergeCell ref="A20:E20"/>
    <mergeCell ref="A1:H1"/>
  </mergeCells>
  <conditionalFormatting sqref="F8:F12">
    <cfRule type="expression" priority="1" dxfId="0">
      <formula>F8="⚠ SOBRE TOPE"</formula>
    </cfRule>
    <cfRule type="expression" priority="2" dxfId="1">
      <formula>F8="OK"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DECLARACIÓN DE POLÍTICA DE INVERSIÓN (IPS) — Sebastián Viveros Uribe</t>
        </is>
      </c>
    </row>
    <row r="3">
      <c r="B3" s="20" t="inlineStr">
        <is>
          <t>1. OBJETIVO</t>
        </is>
      </c>
    </row>
    <row r="4" ht="18" customHeight="1">
      <c r="B4" s="21" t="inlineStr">
        <is>
          <t>Construir un flujo de ingreso pasivo creciente (dividendos) para alcanzar independencia financiera frente a ingresos inestables.</t>
        </is>
      </c>
    </row>
    <row r="5" ht="18" customHeight="1">
      <c r="B5" s="21" t="inlineStr">
        <is>
          <t>Meta: $2.000.000+ CLP/mes (en pesos de hoy) de ingreso pasivo a la edad de 60 años (15/02/2057).</t>
        </is>
      </c>
    </row>
    <row r="6" ht="18" customHeight="1">
      <c r="B6" s="21" t="inlineStr">
        <is>
          <t>Horizonte de inversión: ~31 años. La volatilidad de precio NO es la preocupación principal; el deterioro permanente del negocio sí lo es.</t>
        </is>
      </c>
    </row>
    <row r="8">
      <c r="B8" s="20" t="inlineStr">
        <is>
          <t>2. ASIGNACIÓN OBJETIVO (para aportes nuevos)</t>
        </is>
      </c>
    </row>
    <row r="9" ht="18" customHeight="1">
      <c r="B9" s="21" t="inlineStr">
        <is>
          <t>70% Dividendos — acciones y ETF/CFI chilenos enfocados en dividendo (incl. REITs tipo CFINRENTAS).</t>
        </is>
      </c>
    </row>
    <row r="10" ht="18" customHeight="1">
      <c r="B10" s="21" t="inlineStr">
        <is>
          <t>30% repartido en partes iguales (7,5% c/u) entre: USA, Emergentes, Internacional desarrollado y Criptomonedas.</t>
        </is>
      </c>
    </row>
    <row r="11" ht="18" customHeight="1">
      <c r="B11" s="21" t="inlineStr">
        <is>
          <t>El rebalanceo es PASIVO: no se vende para reequilibrar. Si una categoría supera su tope, los aportes nuevos dejan de destinarse ahí y se redistribuyen al resto hasta que vuelva a estar dentro del rango.</t>
        </is>
      </c>
    </row>
    <row r="13">
      <c r="B13" s="20" t="inlineStr">
        <is>
          <t>3. TOPES DE CONCENTRACIÓN (LÍMITES DUROS)</t>
        </is>
      </c>
    </row>
    <row r="14" ht="18" customHeight="1">
      <c r="B14" s="21" t="inlineStr">
        <is>
          <t>• Máximo por empresa individual: 30% del portafolio total. Si una posición (ej. Banco de Chile) supera este nivel, no se compra más de esa empresa con aportes nuevos.</t>
        </is>
      </c>
    </row>
    <row r="15" ht="18" customHeight="1">
      <c r="B15" s="21" t="inlineStr">
        <is>
          <t>• Máximo en Criptomonedas: 15% del portafolio total. Sobre ese nivel, los aportes destinados a cripto se redirigen a las otras 4 categorías.</t>
        </is>
      </c>
    </row>
    <row r="16" ht="18" customHeight="1">
      <c r="B16" s="21" t="inlineStr">
        <is>
          <t>• Posiciones de riesgo regulatorio/concesión única (ej. ZOFRI): aunque no haya un tope numérico fijado, revisar explícitamente el riesgo de ley/concesión en cada revisión semestral (ver hoja Tesis).</t>
        </is>
      </c>
    </row>
    <row r="18">
      <c r="B18" s="20" t="inlineStr">
        <is>
          <t>4. APORTES</t>
        </is>
      </c>
    </row>
    <row r="19" ht="18" customHeight="1">
      <c r="B19" s="21" t="inlineStr">
        <is>
          <t>Aporte base: $150.000 CLP/mes, distribuido según la asignación objetivo (sujeto a topes).</t>
        </is>
      </c>
    </row>
    <row r="20" ht="18" customHeight="1">
      <c r="B20" s="21" t="inlineStr">
        <is>
          <t>El aporte crece +5% anual (acompañando el crecimiento esperado de ingresos/sueldo). Ver supuesto editable en hoja 'Parámetros Proyección'.</t>
        </is>
      </c>
    </row>
    <row r="22">
      <c r="B22" s="20" t="inlineStr">
        <is>
          <t>5. REGLAS DE COMPRA</t>
        </is>
      </c>
    </row>
    <row r="23" ht="18" customHeight="1">
      <c r="B23" s="21" t="inlineStr">
        <is>
          <t>No se compra ninguna posición nueva sin completar al menos el checklist rápido de tesis (hoja 'Tesis - Checklist').</t>
        </is>
      </c>
    </row>
    <row r="24" ht="18" customHeight="1">
      <c r="B24" s="21" t="inlineStr">
        <is>
          <t>Toda compra debe tener una condición de salida escrita ANTES de ejecutar la orden (no después).</t>
        </is>
      </c>
    </row>
    <row r="25" ht="18" customHeight="1">
      <c r="B25" s="21" t="inlineStr">
        <is>
          <t>Antes de promediar a la baja en una posición existente: releer la tesis y confirmar explícitamente que el fundamento no cambió. Si la razón para comprar más es solo 'está más barato', NO promediar.</t>
        </is>
      </c>
    </row>
    <row r="27">
      <c r="B27" s="20" t="inlineStr">
        <is>
          <t>6. REGLAS DE VENTA / SALIDA</t>
        </is>
      </c>
    </row>
    <row r="28" ht="18" customHeight="1">
      <c r="B28" s="21" t="inlineStr">
        <is>
          <t>Se vende una posición si se cumple su condición de salida específica (definida en la ficha de tesis), independiente del precio actual.</t>
        </is>
      </c>
    </row>
    <row r="29" ht="18" customHeight="1">
      <c r="B29" s="21" t="inlineStr">
        <is>
          <t>Se vende (parcial o total) si una posición individual supera el tope de 30% Y no hay tesis explícita que justifique mantener la sobreponderación.</t>
        </is>
      </c>
    </row>
    <row r="30" ht="18" customHeight="1">
      <c r="B30" s="21" t="inlineStr">
        <is>
          <t>No se vende solo por caída de precio sin deterioro del negocio o de la tesis original.</t>
        </is>
      </c>
    </row>
    <row r="32">
      <c r="B32" s="20" t="inlineStr">
        <is>
          <t>7. REVISIÓN PERIÓDICA</t>
        </is>
      </c>
    </row>
    <row r="33" ht="18" customHeight="1">
      <c r="B33" s="21" t="inlineStr">
        <is>
          <t>Actualización de precios y valores: mensual (hoja 'Cartera Detalle').</t>
        </is>
      </c>
    </row>
    <row r="34" ht="18" customHeight="1">
      <c r="B34" s="21" t="inlineStr">
        <is>
          <t>Revisión completa de tesis por empresa (checklist + ¿la comprarías hoy?): semestral.</t>
        </is>
      </c>
    </row>
    <row r="35" ht="18" customHeight="1">
      <c r="B35" s="21" t="inlineStr">
        <is>
          <t>Revisión de esta IPS (objetivo, topes, supuestos de proyección): anual.</t>
        </is>
      </c>
    </row>
    <row r="37">
      <c r="B37" s="20" t="inlineStr">
        <is>
          <t>8. PLANIFICACIÓN TRIBUTARIA</t>
        </is>
      </c>
    </row>
    <row r="38" ht="18" customHeight="1">
      <c r="B38" s="21" t="inlineStr">
        <is>
          <t>Cuando el ingreso por dividendos alcance un nivel donde la carga del Impuesto Global Complementario sea relevante, evaluar con asesor tributario la constitución de una sociedad de inversión.</t>
        </is>
      </c>
    </row>
    <row r="39" ht="18" customHeight="1">
      <c r="B39" s="21" t="inlineStr">
        <is>
          <t>Esta evaluación debe iniciarse CON ANTICIPACIÓN (idealmente 1-2 años antes de necesitarla), no de forma reactiva al cambio de tramo impositivo, para estructurar correctamente el aporte de activos como reorganización empresarial y evitar gatillar impuesto a la ganancia de capital en el traspaso.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30" customWidth="1" min="11" max="11"/>
    <col width="12" customWidth="1" min="12" max="12"/>
  </cols>
  <sheetData>
    <row r="1">
      <c r="A1" s="1" t="inlineStr">
        <is>
          <t>CARTERA DETALLE — registro maestro (ingresa Precio Actual y Divs Acum.; el resto se calcula solo)</t>
        </is>
      </c>
    </row>
    <row r="3">
      <c r="A3" s="7" t="inlineStr">
        <is>
          <t>Instrumento</t>
        </is>
      </c>
      <c r="B3" s="7" t="inlineStr">
        <is>
          <t>Categoría</t>
        </is>
      </c>
      <c r="C3" s="7" t="inlineStr">
        <is>
          <t>Broker</t>
        </is>
      </c>
      <c r="D3" s="7" t="inlineStr">
        <is>
          <t>Cantidad</t>
        </is>
      </c>
      <c r="E3" s="7" t="inlineStr">
        <is>
          <t>Precio Compra</t>
        </is>
      </c>
      <c r="F3" s="7" t="inlineStr">
        <is>
          <t>Precio Actual</t>
        </is>
      </c>
      <c r="G3" s="7" t="inlineStr">
        <is>
          <t>Costo Total (CLP)</t>
        </is>
      </c>
      <c r="H3" s="7" t="inlineStr">
        <is>
          <t>Valor Mercado (CLP)</t>
        </is>
      </c>
      <c r="I3" s="7" t="inlineStr">
        <is>
          <t>Divs Acum. (CLP)</t>
        </is>
      </c>
      <c r="J3" s="7" t="inlineStr">
        <is>
          <t>Rentabilidad</t>
        </is>
      </c>
      <c r="K3" s="7" t="inlineStr">
        <is>
          <t>Notas</t>
        </is>
      </c>
      <c r="L3" s="22" t="inlineStr">
        <is>
          <t>% Portafolio</t>
        </is>
      </c>
    </row>
    <row r="4">
      <c r="A4" s="11" t="inlineStr">
        <is>
          <t>CFISPETF (ETF S&amp;P 500)</t>
        </is>
      </c>
      <c r="B4" s="12" t="inlineStr">
        <is>
          <t>USA</t>
        </is>
      </c>
      <c r="C4" s="12" t="inlineStr">
        <is>
          <t>Itaú</t>
        </is>
      </c>
      <c r="D4" s="41" t="n">
        <v>240</v>
      </c>
      <c r="E4" s="18" t="n">
        <v>1492.2708</v>
      </c>
      <c r="F4" s="18" t="n">
        <v>1721.1</v>
      </c>
      <c r="G4" s="18" t="n">
        <v>358144.99</v>
      </c>
      <c r="H4" s="18" t="n">
        <v>413064</v>
      </c>
      <c r="I4" s="18" t="n">
        <v>58</v>
      </c>
      <c r="J4" s="10">
        <f>IF(G4=0,"",(H4+I4-G4)/G4)</f>
        <v/>
      </c>
      <c r="K4" s="40" t="n"/>
      <c r="L4" s="10">
        <f>H4/$H$19</f>
        <v/>
      </c>
    </row>
    <row r="5">
      <c r="A5" s="11" t="inlineStr">
        <is>
          <t>CFINRENTAS (Rentas Inmob.)</t>
        </is>
      </c>
      <c r="B5" s="12" t="inlineStr">
        <is>
          <t>Dividendos</t>
        </is>
      </c>
      <c r="C5" s="12" t="inlineStr">
        <is>
          <t>Itaú</t>
        </is>
      </c>
      <c r="D5" s="41" t="n">
        <v>88</v>
      </c>
      <c r="E5" s="18" t="n">
        <v>1702.977</v>
      </c>
      <c r="F5" s="18" t="n">
        <v>2198.34</v>
      </c>
      <c r="G5" s="18" t="n">
        <v>149861.98</v>
      </c>
      <c r="H5" s="18" t="n">
        <v>193453.92</v>
      </c>
      <c r="I5" s="18" t="n">
        <v>12381</v>
      </c>
      <c r="J5" s="10">
        <f>IF(G5=0,"",(H5+I5-G5)/G5)</f>
        <v/>
      </c>
      <c r="K5" s="40" t="n"/>
      <c r="L5" s="10">
        <f>H5/$H$19</f>
        <v/>
      </c>
    </row>
    <row r="6">
      <c r="A6" s="11" t="inlineStr">
        <is>
          <t>CFMITNIPSA (ETF IPSA)</t>
        </is>
      </c>
      <c r="B6" s="12" t="inlineStr">
        <is>
          <t>Dividendos</t>
        </is>
      </c>
      <c r="C6" s="12" t="inlineStr">
        <is>
          <t>Itaú</t>
        </is>
      </c>
      <c r="D6" s="41" t="n">
        <v>24</v>
      </c>
      <c r="E6" s="18" t="n">
        <v>3964.375</v>
      </c>
      <c r="F6" s="18" t="n">
        <v>4988.1</v>
      </c>
      <c r="G6" s="18" t="n">
        <v>95145</v>
      </c>
      <c r="H6" s="18" t="n">
        <v>119714.4</v>
      </c>
      <c r="I6" s="18" t="n">
        <v>3605</v>
      </c>
      <c r="J6" s="10">
        <f>IF(G6=0,"",(H6+I6-G6)/G6)</f>
        <v/>
      </c>
      <c r="K6" s="40" t="n"/>
      <c r="L6" s="10">
        <f>H6/$H$19</f>
        <v/>
      </c>
    </row>
    <row r="7">
      <c r="A7" s="11" t="inlineStr">
        <is>
          <t>CFINASDAQ (ETF Nasdaq 100)</t>
        </is>
      </c>
      <c r="B7" s="12" t="inlineStr">
        <is>
          <t>USA</t>
        </is>
      </c>
      <c r="C7" s="12" t="inlineStr">
        <is>
          <t>Itaú</t>
        </is>
      </c>
      <c r="D7" s="41" t="n">
        <v>27</v>
      </c>
      <c r="E7" s="18" t="n">
        <v>1800</v>
      </c>
      <c r="F7" s="18" t="n">
        <v>2153.2</v>
      </c>
      <c r="G7" s="18" t="n">
        <v>48600</v>
      </c>
      <c r="H7" s="18" t="n">
        <v>58136.4</v>
      </c>
      <c r="I7" s="18" t="n">
        <v>0</v>
      </c>
      <c r="J7" s="10">
        <f>IF(G7=0,"",(H7+I7-G7)/G7)</f>
        <v/>
      </c>
      <c r="K7" s="40" t="n"/>
      <c r="L7" s="10">
        <f>H7/$H$19</f>
        <v/>
      </c>
    </row>
    <row r="8">
      <c r="A8" s="11" t="inlineStr">
        <is>
          <t>Caja + Div. por liquidar (Itaú)</t>
        </is>
      </c>
      <c r="B8" s="12" t="n"/>
      <c r="C8" s="12" t="inlineStr">
        <is>
          <t>Itaú</t>
        </is>
      </c>
      <c r="D8" s="41" t="n"/>
      <c r="E8" s="18" t="n"/>
      <c r="F8" s="18" t="n"/>
      <c r="G8" s="18" t="n"/>
      <c r="H8" s="18" t="n">
        <v>1745</v>
      </c>
      <c r="I8" s="18" t="n">
        <v>0</v>
      </c>
      <c r="J8" s="10">
        <f>IF(G8=0,"",(H8+I8-G8)/G8)</f>
        <v/>
      </c>
      <c r="K8" s="11" t="inlineStr"/>
      <c r="L8" s="10">
        <f>H8/$H$19</f>
        <v/>
      </c>
    </row>
    <row r="9">
      <c r="A9" s="11" t="inlineStr">
        <is>
          <t>CHILE (Banco de Chile)</t>
        </is>
      </c>
      <c r="B9" s="12" t="inlineStr">
        <is>
          <t>Dividendos</t>
        </is>
      </c>
      <c r="C9" s="12" t="inlineStr">
        <is>
          <t>Trii + Zesty</t>
        </is>
      </c>
      <c r="D9" s="42" t="n">
        <v>576</v>
      </c>
      <c r="E9" s="43" t="n">
        <v>159.0818</v>
      </c>
      <c r="F9" s="43" t="n">
        <v>177.8</v>
      </c>
      <c r="G9" s="43" t="n">
        <v>91631.11</v>
      </c>
      <c r="H9" s="43" t="n">
        <v>102412.8</v>
      </c>
      <c r="I9" s="43" t="n">
        <v>0</v>
      </c>
      <c r="J9" s="10">
        <f>IF(G9=0,"",(H9+I9-G9)/G9)</f>
        <v/>
      </c>
      <c r="K9" s="11" t="inlineStr"/>
      <c r="L9" s="10">
        <f>H9/$H$19</f>
        <v/>
      </c>
    </row>
    <row r="10">
      <c r="A10" s="11" t="inlineStr">
        <is>
          <t>ZOFRI</t>
        </is>
      </c>
      <c r="B10" s="12" t="inlineStr">
        <is>
          <t>Dividendos</t>
        </is>
      </c>
      <c r="C10" s="12" t="inlineStr">
        <is>
          <t>Zesty</t>
        </is>
      </c>
      <c r="D10" s="36" t="n">
        <v>99</v>
      </c>
      <c r="E10" s="37" t="n">
        <v>1008</v>
      </c>
      <c r="F10" s="37" t="n">
        <v>990.3434</v>
      </c>
      <c r="G10" s="18" t="n">
        <v>99792</v>
      </c>
      <c r="H10" s="18" t="n">
        <v>98044</v>
      </c>
      <c r="I10" s="18" t="n">
        <v>0</v>
      </c>
      <c r="J10" s="10">
        <f>IF(G10=0,"",(H10+I10-G10)/G10)</f>
        <v/>
      </c>
      <c r="K10" s="11" t="inlineStr"/>
      <c r="L10" s="10">
        <f>H10/$H$19</f>
        <v/>
      </c>
    </row>
    <row r="11">
      <c r="A11" s="11" t="inlineStr">
        <is>
          <t>LIPIGAS</t>
        </is>
      </c>
      <c r="B11" s="12" t="inlineStr">
        <is>
          <t>Dividendos</t>
        </is>
      </c>
      <c r="C11" s="12" t="inlineStr">
        <is>
          <t>Trii</t>
        </is>
      </c>
      <c r="D11" s="36" t="n">
        <v>9</v>
      </c>
      <c r="E11" s="44" t="n">
        <v>4433</v>
      </c>
      <c r="F11" s="44" t="n">
        <v>8700</v>
      </c>
      <c r="G11" s="43" t="n">
        <v>39897</v>
      </c>
      <c r="H11" s="43" t="n">
        <v>78300</v>
      </c>
      <c r="I11" s="43" t="n">
        <v>5976</v>
      </c>
      <c r="J11" s="10">
        <f>IF(G11=0,"",(H11+I11-G11)/G11)</f>
        <v/>
      </c>
      <c r="K11" s="11" t="inlineStr"/>
      <c r="L11" s="10">
        <f>H11/$H$19</f>
        <v/>
      </c>
    </row>
    <row r="12">
      <c r="A12" s="11" t="inlineStr">
        <is>
          <t>AGUAS-A (Aguas Andinas)</t>
        </is>
      </c>
      <c r="B12" s="12" t="inlineStr">
        <is>
          <t>Dividendos</t>
        </is>
      </c>
      <c r="C12" s="12" t="inlineStr">
        <is>
          <t>Zesty</t>
        </is>
      </c>
      <c r="D12" s="36" t="n">
        <v>56</v>
      </c>
      <c r="E12" s="37" t="n">
        <v>336.47</v>
      </c>
      <c r="F12" s="37" t="n">
        <v>333.5714</v>
      </c>
      <c r="G12" s="18" t="n">
        <v>18842.32</v>
      </c>
      <c r="H12" s="18" t="n">
        <v>18680</v>
      </c>
      <c r="I12" s="18" t="n">
        <v>0</v>
      </c>
      <c r="J12" s="10">
        <f>IF(G12=0,"",(H12+I12-G12)/G12)</f>
        <v/>
      </c>
      <c r="K12" s="11" t="inlineStr"/>
      <c r="L12" s="10">
        <f>H12/$H$19</f>
        <v/>
      </c>
    </row>
    <row r="13">
      <c r="A13" s="11" t="inlineStr">
        <is>
          <t>PEHUENCHE</t>
        </is>
      </c>
      <c r="B13" s="12" t="inlineStr">
        <is>
          <t>Dividendos</t>
        </is>
      </c>
      <c r="C13" s="12" t="inlineStr">
        <is>
          <t>Zesty</t>
        </is>
      </c>
      <c r="D13" s="36" t="n">
        <v>7</v>
      </c>
      <c r="E13" s="37" t="n">
        <v>2644.6</v>
      </c>
      <c r="F13" s="37" t="n">
        <v>2559.7143</v>
      </c>
      <c r="G13" s="18" t="n">
        <v>18512.2</v>
      </c>
      <c r="H13" s="18" t="n">
        <v>17918</v>
      </c>
      <c r="I13" s="18" t="n">
        <v>0</v>
      </c>
      <c r="J13" s="10">
        <f>IF(G13=0,"",(H13+I13-G13)/G13)</f>
        <v/>
      </c>
      <c r="K13" s="11" t="inlineStr"/>
      <c r="L13" s="10">
        <f>H13/$H$19</f>
        <v/>
      </c>
    </row>
    <row r="14">
      <c r="A14" s="11" t="inlineStr">
        <is>
          <t>QUIÑENCO</t>
        </is>
      </c>
      <c r="B14" s="12" t="inlineStr">
        <is>
          <t>Dividendos</t>
        </is>
      </c>
      <c r="C14" s="12" t="inlineStr">
        <is>
          <t>Zesty</t>
        </is>
      </c>
      <c r="D14" s="41" t="n">
        <v>3</v>
      </c>
      <c r="E14" s="18" t="n">
        <v>3865.3</v>
      </c>
      <c r="F14" s="18" t="n">
        <v>3871</v>
      </c>
      <c r="G14" s="18" t="n">
        <v>11595.9</v>
      </c>
      <c r="H14" s="18" t="n">
        <v>11613</v>
      </c>
      <c r="I14" s="18" t="n">
        <v>0</v>
      </c>
      <c r="J14" s="10">
        <f>IF(G14=0,"",(H14+I14-G14)/G14)</f>
        <v/>
      </c>
      <c r="K14" s="11" t="inlineStr"/>
      <c r="L14" s="10">
        <f>H14/$H$19</f>
        <v/>
      </c>
    </row>
    <row r="15">
      <c r="A15" s="11" t="inlineStr">
        <is>
          <t>VWO (Emerging Markets ETF)</t>
        </is>
      </c>
      <c r="B15" s="12" t="inlineStr">
        <is>
          <t>Emergentes</t>
        </is>
      </c>
      <c r="C15" s="12" t="inlineStr">
        <is>
          <t>XTB</t>
        </is>
      </c>
      <c r="D15" s="12" t="n">
        <v>1.962</v>
      </c>
      <c r="E15" s="18" t="n"/>
      <c r="F15" s="18" t="n"/>
      <c r="G15" s="18" t="n">
        <v>97944.07000000001</v>
      </c>
      <c r="H15" s="18" t="n">
        <v>105779.6</v>
      </c>
      <c r="I15" s="9" t="n">
        <v>0</v>
      </c>
      <c r="J15" s="10">
        <f>IF(G15=0,"",(H15+I15-G15)/G15)</f>
        <v/>
      </c>
      <c r="K15" s="11" t="inlineStr"/>
      <c r="L15" s="10">
        <f>H15/$H$19</f>
        <v/>
      </c>
    </row>
    <row r="16">
      <c r="A16" s="11" t="inlineStr">
        <is>
          <t>MSFT (Microsoft)</t>
        </is>
      </c>
      <c r="B16" s="12" t="inlineStr">
        <is>
          <t>USA</t>
        </is>
      </c>
      <c r="C16" s="12" t="inlineStr">
        <is>
          <t>XTB</t>
        </is>
      </c>
      <c r="D16" s="12" t="n">
        <v>0.149</v>
      </c>
      <c r="E16" s="18" t="n"/>
      <c r="F16" s="18" t="n"/>
      <c r="G16" s="18" t="n">
        <v>50995.15</v>
      </c>
      <c r="H16" s="18" t="n">
        <v>51102.24</v>
      </c>
      <c r="I16" s="9" t="n">
        <v>0</v>
      </c>
      <c r="J16" s="10">
        <f>IF(G16=0,"",(H16+I16-G16)/G16)</f>
        <v/>
      </c>
      <c r="K16" s="11" t="inlineStr"/>
      <c r="L16" s="10">
        <f>H16/$H$19</f>
        <v/>
      </c>
    </row>
    <row r="17">
      <c r="A17" s="11" t="inlineStr">
        <is>
          <t>AAPL (Apple)</t>
        </is>
      </c>
      <c r="B17" s="12" t="inlineStr">
        <is>
          <t>USA</t>
        </is>
      </c>
      <c r="C17" s="12" t="inlineStr">
        <is>
          <t>XTB</t>
        </is>
      </c>
      <c r="D17" s="12" t="n">
        <v>0.0045</v>
      </c>
      <c r="E17" s="18" t="n"/>
      <c r="F17" s="18" t="n"/>
      <c r="G17" s="18" t="n">
        <v>1032.2</v>
      </c>
      <c r="H17" s="18" t="n">
        <v>1176.6</v>
      </c>
      <c r="I17" s="9" t="n">
        <v>0</v>
      </c>
      <c r="J17" s="10">
        <f>IF(G17=0,"",(H17+I17-G17)/G17)</f>
        <v/>
      </c>
      <c r="K17" s="11" t="inlineStr"/>
      <c r="L17" s="10">
        <f>H17/$H$19</f>
        <v/>
      </c>
    </row>
    <row r="18">
      <c r="A18" s="11" t="inlineStr">
        <is>
          <t>BTC (Bitcoin)</t>
        </is>
      </c>
      <c r="B18" s="12" t="inlineStr">
        <is>
          <t>Crypto</t>
        </is>
      </c>
      <c r="C18" s="12" t="inlineStr">
        <is>
          <t>Binance</t>
        </is>
      </c>
      <c r="D18" s="12" t="n">
        <v>0.00327023</v>
      </c>
      <c r="E18" s="18" t="n"/>
      <c r="F18" s="18" t="n"/>
      <c r="G18" s="18" t="n">
        <v>222070.94</v>
      </c>
      <c r="H18" s="18" t="n">
        <v>181321</v>
      </c>
      <c r="I18" s="9" t="n">
        <v>0</v>
      </c>
      <c r="J18" s="10">
        <f>IF(G18=0,"",(H18+I18-G18)/G18)</f>
        <v/>
      </c>
      <c r="K18" s="11" t="inlineStr"/>
      <c r="L18" s="10">
        <f>H18/$H$19</f>
        <v/>
      </c>
    </row>
    <row r="19">
      <c r="A19" s="23" t="inlineStr">
        <is>
          <t>TOTAL</t>
        </is>
      </c>
      <c r="B19" s="24" t="n"/>
      <c r="C19" s="24" t="n"/>
      <c r="D19" s="24" t="n"/>
      <c r="E19" s="24" t="n"/>
      <c r="F19" s="24" t="n"/>
      <c r="G19" s="25">
        <f>SUM(G4:G18)</f>
        <v/>
      </c>
      <c r="H19" s="25">
        <f>SUM(H4:H18)</f>
        <v/>
      </c>
      <c r="I19" s="25">
        <f>SUM(I4:I18)</f>
        <v/>
      </c>
      <c r="J19" s="24" t="n"/>
      <c r="K19" s="24" t="n"/>
      <c r="L19" s="26">
        <f>SUM(L4:L18)</f>
        <v/>
      </c>
    </row>
    <row r="21">
      <c r="A21" s="17" t="inlineStr">
        <is>
          <t>Nota: para VWO, MSFT, AAPL y BTC, ingresa el Valor Mercado (col. H) directo en CLP tal como lo muestra XTB/Binance (ya viene convertido).</t>
        </is>
      </c>
    </row>
    <row r="22">
      <c r="A22" s="17" t="inlineStr">
        <is>
          <t>Para CHILE, completa Precio Compra (col. E) con tu costo promedio real cuando lo tengas a mano (quedó vacío porque hubo compras en distintos precios).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6" customWidth="1" min="4" max="4"/>
    <col width="16" customWidth="1" min="5" max="5"/>
    <col width="30" customWidth="1" min="6" max="6"/>
    <col width="10" customWidth="1" min="7" max="7"/>
    <col width="8" customWidth="1" min="8" max="8"/>
    <col width="12" customWidth="1" min="9" max="9"/>
    <col width="30" customWidth="1" min="10" max="10"/>
  </cols>
  <sheetData>
    <row r="1">
      <c r="A1" s="1" t="inlineStr">
        <is>
          <t>TESIS — CHECKLIST RÁPIDO (completar y revisar cada 6 meses)</t>
        </is>
      </c>
    </row>
    <row r="3">
      <c r="A3" s="7" t="inlineStr">
        <is>
          <t>Empresa</t>
        </is>
      </c>
      <c r="B3" s="7" t="inlineStr">
        <is>
          <t>Categoría</t>
        </is>
      </c>
      <c r="C3" s="7" t="inlineStr">
        <is>
          <t>Tipo de Moat</t>
        </is>
      </c>
      <c r="D3" s="7" t="inlineStr">
        <is>
          <t>Payout ratio
sobre FCF</t>
        </is>
      </c>
      <c r="E3" s="7" t="inlineStr">
        <is>
          <t>Yield actual vs.
histórico propio</t>
        </is>
      </c>
      <c r="F3" s="7" t="inlineStr">
        <is>
          <t>Condición de SALIDA
(escribir ANTES de comprar más)</t>
        </is>
      </c>
      <c r="G3" s="7" t="inlineStr">
        <is>
          <t>Convicción
(1-5)</t>
        </is>
      </c>
      <c r="H3" s="7" t="inlineStr">
        <is>
          <t>¿La compraría
hoy? (S/N)</t>
        </is>
      </c>
      <c r="I3" s="7" t="inlineStr">
        <is>
          <t>Última revisión</t>
        </is>
      </c>
      <c r="J3" s="7" t="inlineStr">
        <is>
          <t>Notas</t>
        </is>
      </c>
    </row>
    <row r="4" ht="60" customHeight="1">
      <c r="A4" s="8" t="inlineStr">
        <is>
          <t>CHILE (Banco de Chile)</t>
        </is>
      </c>
      <c r="B4" s="11" t="inlineStr"/>
      <c r="C4" s="11" t="inlineStr">
        <is>
          <t>Regulatorio + escala (banca)</t>
        </is>
      </c>
      <c r="D4" s="11" t="inlineStr"/>
      <c r="E4" s="27" t="inlineStr">
        <is>
          <t>5,99% actual vs. ~5,5-7% histórico propio (payout ~80% sostenido) → EN LÍNEA, sin señal de yield trap.</t>
        </is>
      </c>
      <c r="F4" s="27" t="inlineStr"/>
      <c r="G4" s="11" t="inlineStr"/>
      <c r="H4" s="11" t="inlineStr"/>
      <c r="I4" s="11" t="inlineStr">
        <is>
          <t>26/06/2026</t>
        </is>
      </c>
      <c r="J4" s="27" t="inlineStr">
        <is>
          <t>Precio ref. ~$165-169. Dividendo creciente 10 años seguidos.</t>
        </is>
      </c>
    </row>
    <row r="5" ht="60" customHeight="1">
      <c r="A5" s="8" t="inlineStr">
        <is>
          <t>ZOFRI</t>
        </is>
      </c>
      <c r="B5" s="11" t="inlineStr"/>
      <c r="C5" s="11" t="inlineStr">
        <is>
          <t>Concesión/Ley única — riesgo regulatorio binario</t>
        </is>
      </c>
      <c r="D5" s="11" t="inlineStr"/>
      <c r="E5" s="27" t="inlineStr">
        <is>
          <t>~7,2-9,5% actual vs. ~9,7-10,1% en 2023-2024 → algo MÁS CARA que su propio promedio reciente; hoy no es el mejor punto de entrada.</t>
        </is>
      </c>
      <c r="F5" s="27" t="inlineStr"/>
      <c r="G5" s="11" t="inlineStr"/>
      <c r="H5" s="11" t="inlineStr"/>
      <c r="I5" s="11" t="inlineStr">
        <is>
          <t>26/06/2026</t>
        </is>
      </c>
      <c r="J5" s="27" t="inlineStr">
        <is>
          <t>Dividendo históricamente volátil (riesgo concesión). Payout sobre FCF/caja ~107% → vigilar sostenibilidad.</t>
        </is>
      </c>
    </row>
    <row r="6" ht="60" customHeight="1">
      <c r="A6" s="8" t="inlineStr">
        <is>
          <t>LIPIGAS</t>
        </is>
      </c>
      <c r="B6" s="11" t="inlineStr"/>
      <c r="C6" s="11" t="inlineStr">
        <is>
          <t>Oligopolio regional</t>
        </is>
      </c>
      <c r="D6" s="11" t="inlineStr"/>
      <c r="E6" s="27" t="inlineStr">
        <is>
          <t>~6,5% actual (calc.: ~$535/acción anual ÷ $8.158 precio) vs. dividendo cayendo ~-4%/año últimos 5 años → yield 'sostenido' pero porque el dividendo BAJA, no por crecimiento. Señal de precaución.</t>
        </is>
      </c>
      <c r="F6" s="27" t="inlineStr"/>
      <c r="G6" s="11" t="inlineStr"/>
      <c r="H6" s="11" t="inlineStr"/>
      <c r="I6" s="11" t="inlineStr">
        <is>
          <t>26/06/2026</t>
        </is>
      </c>
      <c r="J6" s="27" t="inlineStr">
        <is>
          <t>Vigilar FCF: 5 años seguidos de caída en dividendo es bandera amarilla para la tesis.</t>
        </is>
      </c>
    </row>
    <row r="7" ht="60" customHeight="1">
      <c r="A7" s="8" t="inlineStr">
        <is>
          <t>AGUAS-A (Aguas Andinas)</t>
        </is>
      </c>
      <c r="B7" s="11" t="inlineStr"/>
      <c r="C7" s="11" t="inlineStr">
        <is>
          <t>Concesión monopólica regulada</t>
        </is>
      </c>
      <c r="D7" s="11" t="inlineStr"/>
      <c r="E7" s="27" t="inlineStr">
        <is>
          <t>~4,1-5,0% actual vs. dividendo cayendo ~-2%/año últimos 3 años → yield en la parte BAJA de su propio rango; no es la más atractiva esta semana.</t>
        </is>
      </c>
      <c r="F7" s="27" t="inlineStr"/>
      <c r="G7" s="11" t="inlineStr"/>
      <c r="H7" s="11" t="inlineStr"/>
      <c r="I7" s="11" t="inlineStr">
        <is>
          <t>26/06/2026</t>
        </is>
      </c>
      <c r="J7" s="27" t="inlineStr">
        <is>
          <t>Payout ~70%, ROE ~10,7%. Concesión estable, pero dividendo no crece.</t>
        </is>
      </c>
    </row>
    <row r="8" ht="60" customHeight="1">
      <c r="A8" s="8" t="inlineStr">
        <is>
          <t>PEHUENCHE</t>
        </is>
      </c>
      <c r="B8" s="11" t="inlineStr"/>
      <c r="C8" s="11" t="inlineStr">
        <is>
          <t>Débil — generador pequeño, riesgo hidrológico estructural</t>
        </is>
      </c>
      <c r="D8" s="11" t="inlineStr"/>
      <c r="E8" s="27" t="inlineStr">
        <is>
          <t>~10,0-10,6% actual vs. 9,6% (2023) y 10,6% (2024) → EN LÍNEA con su historial reciente, en la parte alta y consistente.</t>
        </is>
      </c>
      <c r="F8" s="27" t="inlineStr"/>
      <c r="G8" s="11" t="inlineStr"/>
      <c r="H8" s="11" t="inlineStr"/>
      <c r="I8" s="11" t="inlineStr">
        <is>
          <t>26/06/2026</t>
        </is>
      </c>
      <c r="J8" s="27" t="inlineStr">
        <is>
          <t>Payout 100% en 2024 (alto, pero generador regulado con flujos estables). De los 6, la más atractiva por yield esta semana.</t>
        </is>
      </c>
    </row>
    <row r="9" ht="60" customHeight="1">
      <c r="A9" s="8" t="inlineStr">
        <is>
          <t>QUIÑENCO</t>
        </is>
      </c>
      <c r="B9" s="11" t="inlineStr"/>
      <c r="C9" s="11" t="inlineStr">
        <is>
          <t>Holding — moat heredado de sus controladas (revisar duplicidad con CHILE)</t>
        </is>
      </c>
      <c r="D9" s="11" t="inlineStr"/>
      <c r="E9" s="27" t="inlineStr">
        <is>
          <t>Yield 'regular' recurrente ~2,8% — la lectura de 8-9% que muestran algunos screeners incluye un dividendo EXTRAORDINARIO reciente (~100% utilidad del ejercicio), no recurrente.</t>
        </is>
      </c>
      <c r="F9" s="27" t="inlineStr"/>
      <c r="G9" s="11" t="inlineStr"/>
      <c r="H9" s="11" t="inlineStr"/>
      <c r="I9" s="11" t="inlineStr">
        <is>
          <t>26/06/2026</t>
        </is>
      </c>
      <c r="J9" s="27" t="inlineStr">
        <is>
          <t>⚠ No comprar guiado por el yield 'titular' actual: es no recurrente. Yield sostenible real ~2,8%, el más bajo de los 6.</t>
        </is>
      </c>
    </row>
    <row r="10" ht="30" customHeight="1">
      <c r="A10" s="8" t="inlineStr">
        <is>
          <t>CFINRENTAS (Rentas Inmob.)</t>
        </is>
      </c>
      <c r="B10" s="11" t="inlineStr"/>
      <c r="C10" s="11" t="inlineStr"/>
      <c r="D10" s="11" t="inlineStr"/>
      <c r="E10" s="11" t="inlineStr"/>
      <c r="F10" s="27" t="inlineStr"/>
      <c r="G10" s="11" t="inlineStr"/>
      <c r="H10" s="11" t="inlineStr"/>
      <c r="I10" s="11" t="inlineStr"/>
      <c r="J10" s="11" t="inlineStr"/>
    </row>
    <row r="11" ht="30" customHeight="1">
      <c r="A11" s="8" t="inlineStr">
        <is>
          <t>CFMITNIPSA (ETF IPSA)</t>
        </is>
      </c>
      <c r="B11" s="11" t="inlineStr"/>
      <c r="C11" s="11" t="inlineStr"/>
      <c r="D11" s="11" t="inlineStr"/>
      <c r="E11" s="11" t="inlineStr"/>
      <c r="F11" s="27" t="inlineStr"/>
      <c r="G11" s="11" t="inlineStr"/>
      <c r="H11" s="11" t="inlineStr"/>
      <c r="I11" s="11" t="inlineStr"/>
      <c r="J11" s="11" t="inlineStr"/>
    </row>
    <row r="12" ht="30" customHeight="1">
      <c r="A12" s="8" t="inlineStr">
        <is>
          <t>CFISPETF (ETF S&amp;P500)</t>
        </is>
      </c>
      <c r="B12" s="11" t="inlineStr"/>
      <c r="C12" s="11" t="inlineStr"/>
      <c r="D12" s="11" t="inlineStr"/>
      <c r="E12" s="11" t="inlineStr"/>
      <c r="F12" s="27" t="inlineStr"/>
      <c r="G12" s="11" t="inlineStr"/>
      <c r="H12" s="11" t="inlineStr"/>
      <c r="I12" s="11" t="inlineStr"/>
      <c r="J12" s="11" t="inlineStr"/>
    </row>
    <row r="13" ht="30" customHeight="1">
      <c r="A13" s="8" t="inlineStr">
        <is>
          <t>CFINASDAQ (ETF Nasdaq)</t>
        </is>
      </c>
      <c r="B13" s="11" t="inlineStr"/>
      <c r="C13" s="11" t="inlineStr"/>
      <c r="D13" s="11" t="inlineStr"/>
      <c r="E13" s="11" t="inlineStr"/>
      <c r="F13" s="27" t="inlineStr"/>
      <c r="G13" s="11" t="inlineStr"/>
      <c r="H13" s="11" t="inlineStr"/>
      <c r="I13" s="11" t="inlineStr"/>
      <c r="J13" s="11" t="inlineStr"/>
    </row>
    <row r="14" ht="30" customHeight="1">
      <c r="A14" s="8" t="inlineStr">
        <is>
          <t>VWO (Emergentes)</t>
        </is>
      </c>
      <c r="B14" s="11" t="inlineStr"/>
      <c r="C14" s="11" t="inlineStr"/>
      <c r="D14" s="11" t="inlineStr"/>
      <c r="E14" s="11" t="inlineStr"/>
      <c r="F14" s="27" t="inlineStr"/>
      <c r="G14" s="11" t="inlineStr"/>
      <c r="H14" s="11" t="inlineStr"/>
      <c r="I14" s="11" t="inlineStr"/>
      <c r="J14" s="11" t="inlineStr"/>
    </row>
    <row r="15" ht="30" customHeight="1">
      <c r="A15" s="8" t="inlineStr">
        <is>
          <t>MSFT</t>
        </is>
      </c>
      <c r="B15" s="11" t="inlineStr"/>
      <c r="C15" s="11" t="inlineStr"/>
      <c r="D15" s="11" t="inlineStr"/>
      <c r="E15" s="11" t="inlineStr"/>
      <c r="F15" s="27" t="inlineStr"/>
      <c r="G15" s="11" t="inlineStr"/>
      <c r="H15" s="11" t="inlineStr"/>
      <c r="I15" s="11" t="inlineStr"/>
      <c r="J15" s="11" t="inlineStr"/>
    </row>
    <row r="16" ht="30" customHeight="1">
      <c r="A16" s="8" t="inlineStr">
        <is>
          <t>AAPL</t>
        </is>
      </c>
      <c r="B16" s="11" t="inlineStr"/>
      <c r="C16" s="11" t="inlineStr"/>
      <c r="D16" s="11" t="inlineStr"/>
      <c r="E16" s="11" t="inlineStr"/>
      <c r="F16" s="27" t="inlineStr"/>
      <c r="G16" s="11" t="inlineStr"/>
      <c r="H16" s="11" t="inlineStr"/>
      <c r="I16" s="11" t="inlineStr"/>
      <c r="J16" s="11" t="inlineStr"/>
    </row>
    <row r="17" ht="30" customHeight="1">
      <c r="A17" s="8" t="inlineStr">
        <is>
          <t>BTC (Bitcoin)</t>
        </is>
      </c>
      <c r="B17" s="11" t="inlineStr"/>
      <c r="C17" s="11" t="inlineStr"/>
      <c r="D17" s="11" t="inlineStr"/>
      <c r="E17" s="11" t="inlineStr"/>
      <c r="F17" s="27" t="inlineStr"/>
      <c r="G17" s="11" t="inlineStr"/>
      <c r="H17" s="11" t="inlineStr"/>
      <c r="I17" s="11" t="inlineStr"/>
      <c r="J17" s="11" t="inlineStr"/>
    </row>
  </sheetData>
  <mergeCells count="1">
    <mergeCell ref="A1:J1"/>
  </mergeCells>
  <conditionalFormatting sqref="H4:H17">
    <cfRule type="expression" priority="1" dxfId="0">
      <formula>H4="No"</formula>
    </cfRule>
    <cfRule type="expression" priority="2" dxfId="1">
      <formula>H4="Sí"</formula>
    </cfRule>
  </conditionalFormatting>
  <dataValidations count="2">
    <dataValidation sqref="G4:G17" showDropDown="0" showInputMessage="0" showErrorMessage="0" allowBlank="1" type="list">
      <formula1>"1,2,3,4,5"</formula1>
    </dataValidation>
    <dataValidation sqref="H4:H17" showDropDown="0" showInputMessage="0" showErrorMessage="0" allowBlank="1" type="list">
      <formula1>"Sí,No,Revisar"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TESIS DETALLADA — usar solo para posiciones grandes o de alta convicción</t>
        </is>
      </c>
    </row>
    <row r="2">
      <c r="A2" s="2" t="inlineStr">
        <is>
          <t>Duplica este bloque (copiar filas 4-20) por cada empresa que quieras analizar en profundidad.</t>
        </is>
      </c>
    </row>
    <row r="4" ht="34" customHeight="1">
      <c r="A4" s="28" t="inlineStr">
        <is>
          <t>EMPRESA / TICKER</t>
        </is>
      </c>
      <c r="B4" s="27" t="inlineStr"/>
    </row>
    <row r="5" ht="34" customHeight="1">
      <c r="A5" s="28" t="inlineStr">
        <is>
          <t>1. Negocio: ¿qué vende y a quién? ¿Necesidad o discrecional?</t>
        </is>
      </c>
      <c r="B5" s="27" t="inlineStr"/>
    </row>
    <row r="6" ht="46" customHeight="1">
      <c r="A6" s="28" t="inlineStr">
        <is>
          <t>2. Moat — mecanismo específico (regulación / escala / marca / costo de cambio / red)</t>
        </is>
      </c>
      <c r="B6" s="27" t="inlineStr"/>
    </row>
    <row r="7" ht="46" customHeight="1">
      <c r="A7" s="28" t="inlineStr">
        <is>
          <t>3. Tipo de moat: ¿económico o regulatorio/concesión? (un moat regulatorio es riesgo binario, no gradual)</t>
        </is>
      </c>
      <c r="B7" s="27" t="inlineStr"/>
    </row>
    <row r="8" ht="34" customHeight="1">
      <c r="A8" s="28" t="inlineStr">
        <is>
          <t>4. Ingresos y FCF — tendencia últimos 5 años</t>
        </is>
      </c>
      <c r="B8" s="27" t="inlineStr"/>
    </row>
    <row r="9" ht="34" customHeight="1">
      <c r="A9" s="28" t="inlineStr">
        <is>
          <t>5. Payout ratio sobre FCF (no sobre utilidad contable) — ¿sostenible?</t>
        </is>
      </c>
      <c r="B9" s="27" t="inlineStr"/>
    </row>
    <row r="10" ht="46" customHeight="1">
      <c r="A10" s="28" t="inlineStr">
        <is>
          <t>6. Deuda / apalancamiento — ¿compromete el dividendo en un ciclo bajo?</t>
        </is>
      </c>
      <c r="B10" s="27" t="inlineStr"/>
    </row>
    <row r="11" ht="46" customHeight="1">
      <c r="A11" s="28" t="inlineStr">
        <is>
          <t>7. Valuación — yield actual vs. promedio histórico propio y vs. pares del sector</t>
        </is>
      </c>
      <c r="B11" s="27" t="inlineStr"/>
    </row>
    <row r="12" ht="34" customHeight="1">
      <c r="A12" s="28" t="inlineStr">
        <is>
          <t>8. Catalizadores — qué la haría crecer</t>
        </is>
      </c>
      <c r="B12" s="27" t="inlineStr"/>
    </row>
    <row r="13" ht="46" customHeight="1">
      <c r="A13" s="28" t="inlineStr">
        <is>
          <t>9. Riesgos específicos — qué la rompe (regulatorio, clima, competencia, tecnología)</t>
        </is>
      </c>
      <c r="B13" s="27" t="inlineStr"/>
    </row>
    <row r="14" ht="34" customHeight="1">
      <c r="A14" s="28" t="inlineStr">
        <is>
          <t>10. CONDICIÓN DE SALIDA ESCRITA — "Vendo/dejo de promediar si: ___"</t>
        </is>
      </c>
      <c r="B14" s="27" t="inlineStr"/>
    </row>
    <row r="15" ht="46" customHeight="1">
      <c r="A15" s="28" t="inlineStr">
        <is>
          <t>11. Test de Buffett: ¿la comprarías HOY a este precio sabiendo lo que sabes? Por qué</t>
        </is>
      </c>
      <c r="B15" s="27" t="inlineStr"/>
    </row>
    <row r="16" ht="34" customHeight="1">
      <c r="A16" s="28" t="inlineStr">
        <is>
          <t>12. Convicción (1-5) y tamaño máximo de posición justificado</t>
        </is>
      </c>
      <c r="B16" s="27" t="inlineStr"/>
    </row>
    <row r="17" ht="34" customHeight="1">
      <c r="A17" s="28" t="inlineStr">
        <is>
          <t>Fecha de esta tesis</t>
        </is>
      </c>
      <c r="B17" s="27" t="inlineStr"/>
    </row>
    <row r="18" ht="34" customHeight="1">
      <c r="A18" s="28" t="inlineStr">
        <is>
          <t>Fecha próxima revisión (6 meses)</t>
        </is>
      </c>
      <c r="B18" s="27" t="inlineStr"/>
    </row>
    <row r="21">
      <c r="A21" s="29" t="inlineStr">
        <is>
          <t>EJEMPLO YA COMPLETADO (Banco de Chile) — bórralo o úsalo de referencia</t>
        </is>
      </c>
    </row>
    <row r="22" ht="30" customHeight="1">
      <c r="A22" s="28" t="inlineStr">
        <is>
          <t>EMPRESA / TICKER</t>
        </is>
      </c>
      <c r="B22" s="27" t="inlineStr">
        <is>
          <t>CHILE — Banco de Chile</t>
        </is>
      </c>
    </row>
    <row r="23" ht="30" customHeight="1">
      <c r="A23" s="28" t="inlineStr">
        <is>
          <t>1. Negocio</t>
        </is>
      </c>
      <c r="B23" s="27" t="inlineStr">
        <is>
          <t>Banca universal en Chile. Servicio de necesidad (cuentas, crédito, pagos).</t>
        </is>
      </c>
    </row>
    <row r="24" ht="30" customHeight="1">
      <c r="A24" s="28" t="inlineStr">
        <is>
          <t>2. Moat</t>
        </is>
      </c>
      <c r="B24" s="27" t="inlineStr">
        <is>
          <t>Escala, marca, base de depositantes, licencia bancaria regulada.</t>
        </is>
      </c>
    </row>
    <row r="25" ht="30" customHeight="1">
      <c r="A25" s="28" t="inlineStr">
        <is>
          <t>3. Tipo de moat</t>
        </is>
      </c>
      <c r="B25" s="27" t="inlineStr">
        <is>
          <t>Económico + regulatorio combinado. Más robusto que un moat 100% regulatorio.</t>
        </is>
      </c>
    </row>
    <row r="26" ht="30" customHeight="1">
      <c r="A26" s="28" t="inlineStr">
        <is>
          <t>4. Ingresos/FCF</t>
        </is>
      </c>
      <c r="B26" s="27" t="inlineStr">
        <is>
          <t>Revisar últimos 5 años en memoria anual / informes CMF.</t>
        </is>
      </c>
    </row>
    <row r="27" ht="30" customHeight="1">
      <c r="A27" s="28" t="inlineStr">
        <is>
          <t>5. Payout/FCF</t>
        </is>
      </c>
      <c r="B27" s="27" t="inlineStr">
        <is>
          <t>Revisar dividendo pagado vs. utilidad distribuible reportada.</t>
        </is>
      </c>
    </row>
    <row r="28" ht="30" customHeight="1">
      <c r="A28" s="28" t="inlineStr">
        <is>
          <t>6. Deuda</t>
        </is>
      </c>
      <c r="B28" s="27" t="inlineStr">
        <is>
          <t>Bancos operan apalancados por naturaleza — foco en calidad de cartera, no en deuda tradicional.</t>
        </is>
      </c>
    </row>
    <row r="29" ht="30" customHeight="1">
      <c r="A29" s="28" t="inlineStr">
        <is>
          <t>7. Valuación</t>
        </is>
      </c>
      <c r="B29" s="27" t="inlineStr">
        <is>
          <t>Comparar yield actual vs. promedio 5 años propio y vs. Santander-Chile/BCI.</t>
        </is>
      </c>
    </row>
    <row r="30" ht="30" customHeight="1">
      <c r="A30" s="28" t="inlineStr">
        <is>
          <t>8. Catalizadores</t>
        </is>
      </c>
      <c r="B30" s="27" t="inlineStr">
        <is>
          <t>Crecimiento de colocaciones, control de costos, ciclo de tasas favorable.</t>
        </is>
      </c>
    </row>
    <row r="31" ht="30" customHeight="1">
      <c r="A31" s="28" t="inlineStr">
        <is>
          <t>9. Riesgos</t>
        </is>
      </c>
      <c r="B31" s="27" t="inlineStr">
        <is>
          <t>Riesgo sistémico bancario, regulación CMF, mora en ciclo de tasas altas.</t>
        </is>
      </c>
    </row>
    <row r="32" ht="30" customHeight="1">
      <c r="A32" s="28" t="inlineStr">
        <is>
          <t>10. Condición de salida</t>
        </is>
      </c>
      <c r="B32" s="27" t="inlineStr">
        <is>
          <t>Vendo si: deterioro sostenido de cartera (mora &gt;X% por 2 trimestres) o cambio regulatorio que limite dividendo.</t>
        </is>
      </c>
    </row>
    <row r="33" ht="30" customHeight="1">
      <c r="A33" s="28" t="inlineStr">
        <is>
          <t>11. Test Buffett</t>
        </is>
      </c>
      <c r="B33" s="27" t="inlineStr">
        <is>
          <t>[completar]</t>
        </is>
      </c>
    </row>
    <row r="34" ht="30" customHeight="1">
      <c r="A34" s="28" t="inlineStr">
        <is>
          <t>12. Convicción</t>
        </is>
      </c>
      <c r="B34" s="27" t="inlineStr">
        <is>
          <t>Alta (concentración aceptada explícitamente, sin tope numérico bajo).</t>
        </is>
      </c>
    </row>
    <row r="35" ht="30" customHeight="1">
      <c r="A35" s="28" t="inlineStr">
        <is>
          <t>Fecha tesis</t>
        </is>
      </c>
      <c r="B35" s="27" t="inlineStr">
        <is>
          <t>[completar]</t>
        </is>
      </c>
    </row>
    <row r="36" ht="30" customHeight="1">
      <c r="A36" s="28" t="inlineStr">
        <is>
          <t>Próxima revisión</t>
        </is>
      </c>
      <c r="B36" s="27" t="inlineStr">
        <is>
          <t>[completar]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PARÁMETROS DE PROYECCIÓN — edita los valores amarillos y todo se recalcula</t>
        </is>
      </c>
    </row>
    <row r="3">
      <c r="A3" s="11" t="inlineStr">
        <is>
          <t>Aporte mensual inicial (CLP):</t>
        </is>
      </c>
      <c r="B3" s="18" t="n">
        <v>150000</v>
      </c>
    </row>
    <row r="4">
      <c r="A4" s="11" t="inlineStr">
        <is>
          <t>Crecimiento anual del aporte:</t>
        </is>
      </c>
      <c r="B4" s="30" t="n">
        <v>0.05</v>
      </c>
    </row>
    <row r="5">
      <c r="A5" s="11" t="inlineStr">
        <is>
          <t>Tope máximo Cripto (% portafolio):</t>
        </is>
      </c>
      <c r="B5" s="30" t="n">
        <v>0.15</v>
      </c>
    </row>
    <row r="6">
      <c r="A6" s="11" t="inlineStr">
        <is>
          <t>Fecha inicio proyección:</t>
        </is>
      </c>
      <c r="B6" s="31">
        <f>DATE(2026,7,1)</f>
        <v/>
      </c>
    </row>
    <row r="7">
      <c r="A7" s="11" t="inlineStr">
        <is>
          <t>Meta ingreso pasivo mensual (hoy):</t>
        </is>
      </c>
      <c r="B7" s="18" t="n">
        <v>2000000</v>
      </c>
    </row>
    <row r="9">
      <c r="A9" s="1" t="inlineStr">
        <is>
          <t>SUPUESTOS DE RETORNO POR CATEGORÍA (anuales, edítalos libremente)</t>
        </is>
      </c>
    </row>
    <row r="10">
      <c r="A10" s="7" t="inlineStr">
        <is>
          <t>Categoría</t>
        </is>
      </c>
      <c r="B10" s="7" t="inlineStr">
        <is>
          <t>Yield anual</t>
        </is>
      </c>
      <c r="C10" s="7" t="inlineStr">
        <is>
          <t>Apreciación anual</t>
        </is>
      </c>
      <c r="D10" s="7" t="inlineStr">
        <is>
          <t>Retorno total anual</t>
        </is>
      </c>
      <c r="E10" s="7" t="inlineStr">
        <is>
          <t>Retorno mensual
(apreciación)</t>
        </is>
      </c>
      <c r="F10" s="7" t="inlineStr">
        <is>
          <t>Retorno mensual
(yield)</t>
        </is>
      </c>
      <c r="G10" s="7" t="inlineStr">
        <is>
          <t>Peso objetivo
(aportes nuevos)</t>
        </is>
      </c>
    </row>
    <row r="11">
      <c r="A11" s="8" t="inlineStr">
        <is>
          <t>Dividendos</t>
        </is>
      </c>
      <c r="B11" s="30" t="n">
        <v>0.065</v>
      </c>
      <c r="C11" s="30" t="n">
        <v>0.035</v>
      </c>
      <c r="D11" s="10">
        <f>(1+B11)*(1+C11)-1</f>
        <v/>
      </c>
      <c r="E11" s="32">
        <f>(1+C11)^(1/12)-1</f>
        <v/>
      </c>
      <c r="F11" s="32">
        <f>(1+B11)^(1/12)-1</f>
        <v/>
      </c>
      <c r="G11" s="30" t="n">
        <v>0.7</v>
      </c>
    </row>
    <row r="12">
      <c r="A12" s="8" t="inlineStr">
        <is>
          <t>USA</t>
        </is>
      </c>
      <c r="B12" s="30" t="n">
        <v>0.013</v>
      </c>
      <c r="C12" s="30" t="n">
        <v>0.08500000000000001</v>
      </c>
      <c r="D12" s="10">
        <f>(1+B12)*(1+C12)-1</f>
        <v/>
      </c>
      <c r="E12" s="32">
        <f>(1+C12)^(1/12)-1</f>
        <v/>
      </c>
      <c r="F12" s="32">
        <f>(1+B12)^(1/12)-1</f>
        <v/>
      </c>
      <c r="G12" s="30" t="n">
        <v>0.075</v>
      </c>
    </row>
    <row r="13">
      <c r="A13" s="8" t="inlineStr">
        <is>
          <t>Emergentes</t>
        </is>
      </c>
      <c r="B13" s="30" t="n">
        <v>0.028</v>
      </c>
      <c r="C13" s="30" t="n">
        <v>0.06</v>
      </c>
      <c r="D13" s="10">
        <f>(1+B13)*(1+C13)-1</f>
        <v/>
      </c>
      <c r="E13" s="32">
        <f>(1+C13)^(1/12)-1</f>
        <v/>
      </c>
      <c r="F13" s="32">
        <f>(1+B13)^(1/12)-1</f>
        <v/>
      </c>
      <c r="G13" s="30" t="n">
        <v>0.075</v>
      </c>
    </row>
    <row r="14">
      <c r="A14" s="8" t="inlineStr">
        <is>
          <t>Internacional</t>
        </is>
      </c>
      <c r="B14" s="30" t="n">
        <v>0.025</v>
      </c>
      <c r="C14" s="30" t="n">
        <v>0.065</v>
      </c>
      <c r="D14" s="10">
        <f>(1+B14)*(1+C14)-1</f>
        <v/>
      </c>
      <c r="E14" s="32">
        <f>(1+C14)^(1/12)-1</f>
        <v/>
      </c>
      <c r="F14" s="32">
        <f>(1+B14)^(1/12)-1</f>
        <v/>
      </c>
      <c r="G14" s="30" t="n">
        <v>0.075</v>
      </c>
    </row>
    <row r="15">
      <c r="A15" s="8" t="inlineStr">
        <is>
          <t>Crypto</t>
        </is>
      </c>
      <c r="B15" s="30" t="n">
        <v>0</v>
      </c>
      <c r="C15" s="30" t="n">
        <v>0.15</v>
      </c>
      <c r="D15" s="10">
        <f>(1+B15)*(1+C15)-1</f>
        <v/>
      </c>
      <c r="E15" s="32">
        <f>(1+C15)^(1/12)-1</f>
        <v/>
      </c>
      <c r="F15" s="32">
        <f>(1+B15)^(1/12)-1</f>
        <v/>
      </c>
      <c r="G15" s="30" t="n">
        <v>0.075</v>
      </c>
    </row>
    <row r="16">
      <c r="A16" s="2" t="inlineStr">
        <is>
          <t>Suma pesos:</t>
        </is>
      </c>
      <c r="G16" s="33">
        <f>SUM(G11:G15)</f>
        <v/>
      </c>
    </row>
  </sheetData>
  <mergeCells count="2"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2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PROYECCIÓN MENSUAL (motor de cálculo — no editar manualmente, se alimenta de 'Parámetros Proyección' y 'Cartera Detalle')</t>
        </is>
      </c>
    </row>
    <row r="3">
      <c r="A3" s="7" t="inlineStr">
        <is>
          <t>Mes</t>
        </is>
      </c>
      <c r="B3" s="7" t="inlineStr">
        <is>
          <t>Fecha</t>
        </is>
      </c>
      <c r="C3" s="7" t="inlineStr">
        <is>
          <t>Año</t>
        </is>
      </c>
      <c r="D3" s="7" t="inlineStr">
        <is>
          <t>Aporte
base</t>
        </is>
      </c>
      <c r="E3" s="7" t="inlineStr">
        <is>
          <t>Dividendos
Saldo Ini</t>
        </is>
      </c>
      <c r="F3" s="7" t="inlineStr">
        <is>
          <t>Dividendos
Post Apr.</t>
        </is>
      </c>
      <c r="G3" s="7" t="inlineStr">
        <is>
          <t>Dividendos
Div. mes</t>
        </is>
      </c>
      <c r="H3" s="7" t="inlineStr">
        <is>
          <t>Dividendos
Post Crec.</t>
        </is>
      </c>
      <c r="I3" s="7" t="inlineStr">
        <is>
          <t>Dividendos
Aporte</t>
        </is>
      </c>
      <c r="J3" s="7" t="inlineStr">
        <is>
          <t>Dividendos
Saldo Fin</t>
        </is>
      </c>
      <c r="K3" s="7" t="inlineStr">
        <is>
          <t>USA
Saldo Ini</t>
        </is>
      </c>
      <c r="L3" s="7" t="inlineStr">
        <is>
          <t>USA
Post Apr.</t>
        </is>
      </c>
      <c r="M3" s="7" t="inlineStr">
        <is>
          <t>USA
Div. mes</t>
        </is>
      </c>
      <c r="N3" s="7" t="inlineStr">
        <is>
          <t>USA
Post Crec.</t>
        </is>
      </c>
      <c r="O3" s="7" t="inlineStr">
        <is>
          <t>USA
Aporte</t>
        </is>
      </c>
      <c r="P3" s="7" t="inlineStr">
        <is>
          <t>USA
Saldo Fin</t>
        </is>
      </c>
      <c r="Q3" s="7" t="inlineStr">
        <is>
          <t>Emergentes
Saldo Ini</t>
        </is>
      </c>
      <c r="R3" s="7" t="inlineStr">
        <is>
          <t>Emergentes
Post Apr.</t>
        </is>
      </c>
      <c r="S3" s="7" t="inlineStr">
        <is>
          <t>Emergentes
Div. mes</t>
        </is>
      </c>
      <c r="T3" s="7" t="inlineStr">
        <is>
          <t>Emergentes
Post Crec.</t>
        </is>
      </c>
      <c r="U3" s="7" t="inlineStr">
        <is>
          <t>Emergentes
Aporte</t>
        </is>
      </c>
      <c r="V3" s="7" t="inlineStr">
        <is>
          <t>Emergentes
Saldo Fin</t>
        </is>
      </c>
      <c r="W3" s="7" t="inlineStr">
        <is>
          <t>Internacional
Saldo Ini</t>
        </is>
      </c>
      <c r="X3" s="7" t="inlineStr">
        <is>
          <t>Internacional
Post Apr.</t>
        </is>
      </c>
      <c r="Y3" s="7" t="inlineStr">
        <is>
          <t>Internacional
Div. mes</t>
        </is>
      </c>
      <c r="Z3" s="7" t="inlineStr">
        <is>
          <t>Internacional
Post Crec.</t>
        </is>
      </c>
      <c r="AA3" s="7" t="inlineStr">
        <is>
          <t>Internacional
Aporte</t>
        </is>
      </c>
      <c r="AB3" s="7" t="inlineStr">
        <is>
          <t>Internacional
Saldo Fin</t>
        </is>
      </c>
      <c r="AC3" s="7" t="inlineStr">
        <is>
          <t>Crypto
Saldo Ini</t>
        </is>
      </c>
      <c r="AD3" s="7" t="inlineStr">
        <is>
          <t>Crypto
Post Apr.</t>
        </is>
      </c>
      <c r="AE3" s="7" t="inlineStr">
        <is>
          <t>Crypto
Div. mes</t>
        </is>
      </c>
      <c r="AF3" s="7" t="inlineStr">
        <is>
          <t>Crypto
Post Crec.</t>
        </is>
      </c>
      <c r="AG3" s="7" t="inlineStr">
        <is>
          <t>Crypto
Aporte</t>
        </is>
      </c>
      <c r="AH3" s="7" t="inlineStr">
        <is>
          <t>Crypto
Saldo Fin</t>
        </is>
      </c>
      <c r="AI3" s="7" t="inlineStr">
        <is>
          <t>Total
Post Crec.</t>
        </is>
      </c>
      <c r="AJ3" s="7" t="inlineStr">
        <is>
          <t>% Cripto
(post crec.)</t>
        </is>
      </c>
      <c r="AK3" s="7" t="inlineStr">
        <is>
          <t>Cripto
¿sobre tope?</t>
        </is>
      </c>
      <c r="AL3" s="7" t="inlineStr">
        <is>
          <t>Dividendos
del mes (tot)</t>
        </is>
      </c>
      <c r="AM3" s="7" t="inlineStr">
        <is>
          <t>Aportes
acumulados</t>
        </is>
      </c>
      <c r="AN3" s="7" t="inlineStr">
        <is>
          <t>Dividendos
acumulados</t>
        </is>
      </c>
      <c r="AO3" s="7" t="inlineStr">
        <is>
          <t>TOTAL
PORTAFOLIO</t>
        </is>
      </c>
    </row>
    <row r="4">
      <c r="A4" t="n">
        <v>1</v>
      </c>
      <c r="B4" s="34">
        <f>'Parámetros Proyección'!$B$6</f>
        <v/>
      </c>
      <c r="C4">
        <f>YEAR(B4)</f>
        <v/>
      </c>
      <c r="D4" s="35">
        <f>'Parámetros Proyección'!$B$3*(1+'Parámetros Proyección'!$B$4)^(C4-YEAR('Parámetros Proyección'!$B$6))</f>
        <v/>
      </c>
      <c r="E4" s="35">
        <f>SUMIF('Cartera Detalle'!$B$4:$B$18,"Dividendos",'Cartera Detalle'!$H$4:$H$18)</f>
        <v/>
      </c>
      <c r="F4" s="35">
        <f>E4*(1+'Parámetros Proyección'!$E$11)</f>
        <v/>
      </c>
      <c r="G4" s="35">
        <f>F4*'Parámetros Proyección'!$F$11</f>
        <v/>
      </c>
      <c r="H4" s="35">
        <f>F4+G4</f>
        <v/>
      </c>
      <c r="I4" s="35">
        <f>IF((H4/AI4&gt;'Parámetros Proyección'!$G$11),0,D4*'Parámetros Proyección'!$G$11/(IF((H4/AI4&gt;'Parámetros Proyección'!$G$11),0,'Parámetros Proyección'!$G$11)+IF((N4/AI4&gt;'Parámetros Proyección'!$G$12),0,'Parámetros Proyección'!$G$12)+IF((T4/AI4&gt;'Parámetros Proyección'!$G$13),0,'Parámetros Proyección'!$G$13)+IF((Z4/AI4&gt;'Parámetros Proyección'!$G$14),0,'Parámetros Proyección'!$G$14)+IF((AF4/AI4&gt;'Parámetros Proyección'!$G$15),0,'Parámetros Proyección'!$G$15)))</f>
        <v/>
      </c>
      <c r="J4" s="35">
        <f>H4+I4</f>
        <v/>
      </c>
      <c r="K4" s="35">
        <f>SUMIF('Cartera Detalle'!$B$4:$B$18,"USA",'Cartera Detalle'!$H$4:$H$18)</f>
        <v/>
      </c>
      <c r="L4" s="35">
        <f>K4*(1+'Parámetros Proyección'!$E$12)</f>
        <v/>
      </c>
      <c r="M4" s="35">
        <f>L4*'Parámetros Proyección'!$F$12</f>
        <v/>
      </c>
      <c r="N4" s="35">
        <f>L4+M4</f>
        <v/>
      </c>
      <c r="O4" s="35">
        <f>IF((N4/AI4&gt;'Parámetros Proyección'!$G$12),0,D4*'Parámetros Proyección'!$G$12/(IF((H4/AI4&gt;'Parámetros Proyección'!$G$11),0,'Parámetros Proyección'!$G$11)+IF((N4/AI4&gt;'Parámetros Proyección'!$G$12),0,'Parámetros Proyección'!$G$12)+IF((T4/AI4&gt;'Parámetros Proyección'!$G$13),0,'Parámetros Proyección'!$G$13)+IF((Z4/AI4&gt;'Parámetros Proyección'!$G$14),0,'Parámetros Proyección'!$G$14)+IF((AF4/AI4&gt;'Parámetros Proyección'!$G$15),0,'Parámetros Proyección'!$G$15)))</f>
        <v/>
      </c>
      <c r="P4" s="35">
        <f>N4+O4</f>
        <v/>
      </c>
      <c r="Q4" s="35">
        <f>SUMIF('Cartera Detalle'!$B$4:$B$18,"Emergentes",'Cartera Detalle'!$H$4:$H$18)</f>
        <v/>
      </c>
      <c r="R4" s="35">
        <f>Q4*(1+'Parámetros Proyección'!$E$13)</f>
        <v/>
      </c>
      <c r="S4" s="35">
        <f>R4*'Parámetros Proyección'!$F$13</f>
        <v/>
      </c>
      <c r="T4" s="35">
        <f>R4+S4</f>
        <v/>
      </c>
      <c r="U4" s="35">
        <f>IF((T4/AI4&gt;'Parámetros Proyección'!$G$13),0,D4*'Parámetros Proyección'!$G$13/(IF((H4/AI4&gt;'Parámetros Proyección'!$G$11),0,'Parámetros Proyección'!$G$11)+IF((N4/AI4&gt;'Parámetros Proyección'!$G$12),0,'Parámetros Proyección'!$G$12)+IF((T4/AI4&gt;'Parámetros Proyección'!$G$13),0,'Parámetros Proyección'!$G$13)+IF((Z4/AI4&gt;'Parámetros Proyección'!$G$14),0,'Parámetros Proyección'!$G$14)+IF((AF4/AI4&gt;'Parámetros Proyección'!$G$15),0,'Parámetros Proyección'!$G$15)))</f>
        <v/>
      </c>
      <c r="V4" s="35">
        <f>T4+U4</f>
        <v/>
      </c>
      <c r="W4" s="35">
        <f>SUMIF('Cartera Detalle'!$B$4:$B$18,"Internacional",'Cartera Detalle'!$H$4:$H$18)</f>
        <v/>
      </c>
      <c r="X4" s="35">
        <f>W4*(1+'Parámetros Proyección'!$E$14)</f>
        <v/>
      </c>
      <c r="Y4" s="35">
        <f>X4*'Parámetros Proyección'!$F$14</f>
        <v/>
      </c>
      <c r="Z4" s="35">
        <f>X4+Y4</f>
        <v/>
      </c>
      <c r="AA4" s="35">
        <f>IF((Z4/AI4&gt;'Parámetros Proyección'!$G$14),0,D4*'Parámetros Proyección'!$G$14/(IF((H4/AI4&gt;'Parámetros Proyección'!$G$11),0,'Parámetros Proyección'!$G$11)+IF((N4/AI4&gt;'Parámetros Proyección'!$G$12),0,'Parámetros Proyección'!$G$12)+IF((T4/AI4&gt;'Parámetros Proyección'!$G$13),0,'Parámetros Proyección'!$G$13)+IF((Z4/AI4&gt;'Parámetros Proyección'!$G$14),0,'Parámetros Proyección'!$G$14)+IF((AF4/AI4&gt;'Parámetros Proyección'!$G$15),0,'Parámetros Proyección'!$G$15)))</f>
        <v/>
      </c>
      <c r="AB4" s="35">
        <f>Z4+AA4</f>
        <v/>
      </c>
      <c r="AC4" s="35">
        <f>SUMIF('Cartera Detalle'!$B$4:$B$18,"Crypto",'Cartera Detalle'!$H$4:$H$18)</f>
        <v/>
      </c>
      <c r="AD4" s="35">
        <f>AC4*(1+'Parámetros Proyección'!$E$15)</f>
        <v/>
      </c>
      <c r="AE4" s="35">
        <f>AD4*'Parámetros Proyección'!$F$15</f>
        <v/>
      </c>
      <c r="AF4" s="35">
        <f>AD4+AE4</f>
        <v/>
      </c>
      <c r="AG4" s="35">
        <f>IF((AF4/AI4&gt;'Parámetros Proyección'!$G$15),0,D4*'Parámetros Proyección'!$G$15/(IF((H4/AI4&gt;'Parámetros Proyección'!$G$11),0,'Parámetros Proyección'!$G$11)+IF((N4/AI4&gt;'Parámetros Proyección'!$G$12),0,'Parámetros Proyección'!$G$12)+IF((T4/AI4&gt;'Parámetros Proyección'!$G$13),0,'Parámetros Proyección'!$G$13)+IF((Z4/AI4&gt;'Parámetros Proyección'!$G$14),0,'Parámetros Proyección'!$G$14)+IF((AF4/AI4&gt;'Parámetros Proyección'!$G$15),0,'Parámetros Proyección'!$G$15)))</f>
        <v/>
      </c>
      <c r="AH4" s="35">
        <f>AF4+AG4</f>
        <v/>
      </c>
      <c r="AI4" s="35">
        <f>H4+N4+T4+Z4+AF4</f>
        <v/>
      </c>
      <c r="AJ4" s="33">
        <f>AF4/AI4</f>
        <v/>
      </c>
      <c r="AK4">
        <f>IF(AJ4&gt;'Parámetros Proyección'!$B$5,1,0)</f>
        <v/>
      </c>
      <c r="AL4" s="35">
        <f>G4+M4+S4+Y4+AE4</f>
        <v/>
      </c>
      <c r="AM4" s="35">
        <f>D4</f>
        <v/>
      </c>
      <c r="AN4" s="35">
        <f>AL4</f>
        <v/>
      </c>
      <c r="AO4" s="35">
        <f>J4+P4+V4+AB4+AH4</f>
        <v/>
      </c>
    </row>
    <row r="5">
      <c r="A5" t="n">
        <v>2</v>
      </c>
      <c r="B5" s="34">
        <f>EDATE(B4,1)</f>
        <v/>
      </c>
      <c r="C5">
        <f>YEAR(B5)</f>
        <v/>
      </c>
      <c r="D5" s="35">
        <f>'Parámetros Proyección'!$B$3*(1+'Parámetros Proyección'!$B$4)^(C5-YEAR('Parámetros Proyección'!$B$6))</f>
        <v/>
      </c>
      <c r="E5" s="35">
        <f>J4</f>
        <v/>
      </c>
      <c r="F5" s="35">
        <f>E5*(1+'Parámetros Proyección'!$E$11)</f>
        <v/>
      </c>
      <c r="G5" s="35">
        <f>F5*'Parámetros Proyección'!$F$11</f>
        <v/>
      </c>
      <c r="H5" s="35">
        <f>F5+G5</f>
        <v/>
      </c>
      <c r="I5" s="35">
        <f>IF((H5/AI5&gt;'Parámetros Proyección'!$G$11),0,D5*'Parámetros Proyección'!$G$11/(IF((H5/AI5&gt;'Parámetros Proyección'!$G$11),0,'Parámetros Proyección'!$G$11)+IF((N5/AI5&gt;'Parámetros Proyección'!$G$12),0,'Parámetros Proyección'!$G$12)+IF((T5/AI5&gt;'Parámetros Proyección'!$G$13),0,'Parámetros Proyección'!$G$13)+IF((Z5/AI5&gt;'Parámetros Proyección'!$G$14),0,'Parámetros Proyección'!$G$14)+IF((AF5/AI5&gt;'Parámetros Proyección'!$G$15),0,'Parámetros Proyección'!$G$15)))</f>
        <v/>
      </c>
      <c r="J5" s="35">
        <f>H5+I5</f>
        <v/>
      </c>
      <c r="K5" s="35">
        <f>P4</f>
        <v/>
      </c>
      <c r="L5" s="35">
        <f>K5*(1+'Parámetros Proyección'!$E$12)</f>
        <v/>
      </c>
      <c r="M5" s="35">
        <f>L5*'Parámetros Proyección'!$F$12</f>
        <v/>
      </c>
      <c r="N5" s="35">
        <f>L5+M5</f>
        <v/>
      </c>
      <c r="O5" s="35">
        <f>IF((N5/AI5&gt;'Parámetros Proyección'!$G$12),0,D5*'Parámetros Proyección'!$G$12/(IF((H5/AI5&gt;'Parámetros Proyección'!$G$11),0,'Parámetros Proyección'!$G$11)+IF((N5/AI5&gt;'Parámetros Proyección'!$G$12),0,'Parámetros Proyección'!$G$12)+IF((T5/AI5&gt;'Parámetros Proyección'!$G$13),0,'Parámetros Proyección'!$G$13)+IF((Z5/AI5&gt;'Parámetros Proyección'!$G$14),0,'Parámetros Proyección'!$G$14)+IF((AF5/AI5&gt;'Parámetros Proyección'!$G$15),0,'Parámetros Proyección'!$G$15)))</f>
        <v/>
      </c>
      <c r="P5" s="35">
        <f>N5+O5</f>
        <v/>
      </c>
      <c r="Q5" s="35">
        <f>V4</f>
        <v/>
      </c>
      <c r="R5" s="35">
        <f>Q5*(1+'Parámetros Proyección'!$E$13)</f>
        <v/>
      </c>
      <c r="S5" s="35">
        <f>R5*'Parámetros Proyección'!$F$13</f>
        <v/>
      </c>
      <c r="T5" s="35">
        <f>R5+S5</f>
        <v/>
      </c>
      <c r="U5" s="35">
        <f>IF((T5/AI5&gt;'Parámetros Proyección'!$G$13),0,D5*'Parámetros Proyección'!$G$13/(IF((H5/AI5&gt;'Parámetros Proyección'!$G$11),0,'Parámetros Proyección'!$G$11)+IF((N5/AI5&gt;'Parámetros Proyección'!$G$12),0,'Parámetros Proyección'!$G$12)+IF((T5/AI5&gt;'Parámetros Proyección'!$G$13),0,'Parámetros Proyección'!$G$13)+IF((Z5/AI5&gt;'Parámetros Proyección'!$G$14),0,'Parámetros Proyección'!$G$14)+IF((AF5/AI5&gt;'Parámetros Proyección'!$G$15),0,'Parámetros Proyección'!$G$15)))</f>
        <v/>
      </c>
      <c r="V5" s="35">
        <f>T5+U5</f>
        <v/>
      </c>
      <c r="W5" s="35">
        <f>AB4</f>
        <v/>
      </c>
      <c r="X5" s="35">
        <f>W5*(1+'Parámetros Proyección'!$E$14)</f>
        <v/>
      </c>
      <c r="Y5" s="35">
        <f>X5*'Parámetros Proyección'!$F$14</f>
        <v/>
      </c>
      <c r="Z5" s="35">
        <f>X5+Y5</f>
        <v/>
      </c>
      <c r="AA5" s="35">
        <f>IF((Z5/AI5&gt;'Parámetros Proyección'!$G$14),0,D5*'Parámetros Proyección'!$G$14/(IF((H5/AI5&gt;'Parámetros Proyección'!$G$11),0,'Parámetros Proyección'!$G$11)+IF((N5/AI5&gt;'Parámetros Proyección'!$G$12),0,'Parámetros Proyección'!$G$12)+IF((T5/AI5&gt;'Parámetros Proyección'!$G$13),0,'Parámetros Proyección'!$G$13)+IF((Z5/AI5&gt;'Parámetros Proyección'!$G$14),0,'Parámetros Proyección'!$G$14)+IF((AF5/AI5&gt;'Parámetros Proyección'!$G$15),0,'Parámetros Proyección'!$G$15)))</f>
        <v/>
      </c>
      <c r="AB5" s="35">
        <f>Z5+AA5</f>
        <v/>
      </c>
      <c r="AC5" s="35">
        <f>AH4</f>
        <v/>
      </c>
      <c r="AD5" s="35">
        <f>AC5*(1+'Parámetros Proyección'!$E$15)</f>
        <v/>
      </c>
      <c r="AE5" s="35">
        <f>AD5*'Parámetros Proyección'!$F$15</f>
        <v/>
      </c>
      <c r="AF5" s="35">
        <f>AD5+AE5</f>
        <v/>
      </c>
      <c r="AG5" s="35">
        <f>IF((AF5/AI5&gt;'Parámetros Proyección'!$G$15),0,D5*'Parámetros Proyección'!$G$15/(IF((H5/AI5&gt;'Parámetros Proyección'!$G$11),0,'Parámetros Proyección'!$G$11)+IF((N5/AI5&gt;'Parámetros Proyección'!$G$12),0,'Parámetros Proyección'!$G$12)+IF((T5/AI5&gt;'Parámetros Proyección'!$G$13),0,'Parámetros Proyección'!$G$13)+IF((Z5/AI5&gt;'Parámetros Proyección'!$G$14),0,'Parámetros Proyección'!$G$14)+IF((AF5/AI5&gt;'Parámetros Proyección'!$G$15),0,'Parámetros Proyección'!$G$15)))</f>
        <v/>
      </c>
      <c r="AH5" s="35">
        <f>AF5+AG5</f>
        <v/>
      </c>
      <c r="AI5" s="35">
        <f>H5+N5+T5+Z5+AF5</f>
        <v/>
      </c>
      <c r="AJ5" s="33">
        <f>AF5/AI5</f>
        <v/>
      </c>
      <c r="AK5">
        <f>IF(AJ5&gt;'Parámetros Proyección'!$B$5,1,0)</f>
        <v/>
      </c>
      <c r="AL5" s="35">
        <f>G5+M5+S5+Y5+AE5</f>
        <v/>
      </c>
      <c r="AM5" s="35">
        <f>AM4+D5</f>
        <v/>
      </c>
      <c r="AN5" s="35">
        <f>AN4+AL5</f>
        <v/>
      </c>
      <c r="AO5" s="35">
        <f>J5+P5+V5+AB5+AH5</f>
        <v/>
      </c>
    </row>
    <row r="6">
      <c r="A6" t="n">
        <v>3</v>
      </c>
      <c r="B6" s="34">
        <f>EDATE(B5,1)</f>
        <v/>
      </c>
      <c r="C6">
        <f>YEAR(B6)</f>
        <v/>
      </c>
      <c r="D6" s="35">
        <f>'Parámetros Proyección'!$B$3*(1+'Parámetros Proyección'!$B$4)^(C6-YEAR('Parámetros Proyección'!$B$6))</f>
        <v/>
      </c>
      <c r="E6" s="35">
        <f>J5</f>
        <v/>
      </c>
      <c r="F6" s="35">
        <f>E6*(1+'Parámetros Proyección'!$E$11)</f>
        <v/>
      </c>
      <c r="G6" s="35">
        <f>F6*'Parámetros Proyección'!$F$11</f>
        <v/>
      </c>
      <c r="H6" s="35">
        <f>F6+G6</f>
        <v/>
      </c>
      <c r="I6" s="35">
        <f>IF((H6/AI6&gt;'Parámetros Proyección'!$G$11),0,D6*'Parámetros Proyección'!$G$11/(IF((H6/AI6&gt;'Parámetros Proyección'!$G$11),0,'Parámetros Proyección'!$G$11)+IF((N6/AI6&gt;'Parámetros Proyección'!$G$12),0,'Parámetros Proyección'!$G$12)+IF((T6/AI6&gt;'Parámetros Proyección'!$G$13),0,'Parámetros Proyección'!$G$13)+IF((Z6/AI6&gt;'Parámetros Proyección'!$G$14),0,'Parámetros Proyección'!$G$14)+IF((AF6/AI6&gt;'Parámetros Proyección'!$G$15),0,'Parámetros Proyección'!$G$15)))</f>
        <v/>
      </c>
      <c r="J6" s="35">
        <f>H6+I6</f>
        <v/>
      </c>
      <c r="K6" s="35">
        <f>P5</f>
        <v/>
      </c>
      <c r="L6" s="35">
        <f>K6*(1+'Parámetros Proyección'!$E$12)</f>
        <v/>
      </c>
      <c r="M6" s="35">
        <f>L6*'Parámetros Proyección'!$F$12</f>
        <v/>
      </c>
      <c r="N6" s="35">
        <f>L6+M6</f>
        <v/>
      </c>
      <c r="O6" s="35">
        <f>IF((N6/AI6&gt;'Parámetros Proyección'!$G$12),0,D6*'Parámetros Proyección'!$G$12/(IF((H6/AI6&gt;'Parámetros Proyección'!$G$11),0,'Parámetros Proyección'!$G$11)+IF((N6/AI6&gt;'Parámetros Proyección'!$G$12),0,'Parámetros Proyección'!$G$12)+IF((T6/AI6&gt;'Parámetros Proyección'!$G$13),0,'Parámetros Proyección'!$G$13)+IF((Z6/AI6&gt;'Parámetros Proyección'!$G$14),0,'Parámetros Proyección'!$G$14)+IF((AF6/AI6&gt;'Parámetros Proyección'!$G$15),0,'Parámetros Proyección'!$G$15)))</f>
        <v/>
      </c>
      <c r="P6" s="35">
        <f>N6+O6</f>
        <v/>
      </c>
      <c r="Q6" s="35">
        <f>V5</f>
        <v/>
      </c>
      <c r="R6" s="35">
        <f>Q6*(1+'Parámetros Proyección'!$E$13)</f>
        <v/>
      </c>
      <c r="S6" s="35">
        <f>R6*'Parámetros Proyección'!$F$13</f>
        <v/>
      </c>
      <c r="T6" s="35">
        <f>R6+S6</f>
        <v/>
      </c>
      <c r="U6" s="35">
        <f>IF((T6/AI6&gt;'Parámetros Proyección'!$G$13),0,D6*'Parámetros Proyección'!$G$13/(IF((H6/AI6&gt;'Parámetros Proyección'!$G$11),0,'Parámetros Proyección'!$G$11)+IF((N6/AI6&gt;'Parámetros Proyección'!$G$12),0,'Parámetros Proyección'!$G$12)+IF((T6/AI6&gt;'Parámetros Proyección'!$G$13),0,'Parámetros Proyección'!$G$13)+IF((Z6/AI6&gt;'Parámetros Proyección'!$G$14),0,'Parámetros Proyección'!$G$14)+IF((AF6/AI6&gt;'Parámetros Proyección'!$G$15),0,'Parámetros Proyección'!$G$15)))</f>
        <v/>
      </c>
      <c r="V6" s="35">
        <f>T6+U6</f>
        <v/>
      </c>
      <c r="W6" s="35">
        <f>AB5</f>
        <v/>
      </c>
      <c r="X6" s="35">
        <f>W6*(1+'Parámetros Proyección'!$E$14)</f>
        <v/>
      </c>
      <c r="Y6" s="35">
        <f>X6*'Parámetros Proyección'!$F$14</f>
        <v/>
      </c>
      <c r="Z6" s="35">
        <f>X6+Y6</f>
        <v/>
      </c>
      <c r="AA6" s="35">
        <f>IF((Z6/AI6&gt;'Parámetros Proyección'!$G$14),0,D6*'Parámetros Proyección'!$G$14/(IF((H6/AI6&gt;'Parámetros Proyección'!$G$11),0,'Parámetros Proyección'!$G$11)+IF((N6/AI6&gt;'Parámetros Proyección'!$G$12),0,'Parámetros Proyección'!$G$12)+IF((T6/AI6&gt;'Parámetros Proyección'!$G$13),0,'Parámetros Proyección'!$G$13)+IF((Z6/AI6&gt;'Parámetros Proyección'!$G$14),0,'Parámetros Proyección'!$G$14)+IF((AF6/AI6&gt;'Parámetros Proyección'!$G$15),0,'Parámetros Proyección'!$G$15)))</f>
        <v/>
      </c>
      <c r="AB6" s="35">
        <f>Z6+AA6</f>
        <v/>
      </c>
      <c r="AC6" s="35">
        <f>AH5</f>
        <v/>
      </c>
      <c r="AD6" s="35">
        <f>AC6*(1+'Parámetros Proyección'!$E$15)</f>
        <v/>
      </c>
      <c r="AE6" s="35">
        <f>AD6*'Parámetros Proyección'!$F$15</f>
        <v/>
      </c>
      <c r="AF6" s="35">
        <f>AD6+AE6</f>
        <v/>
      </c>
      <c r="AG6" s="35">
        <f>IF((AF6/AI6&gt;'Parámetros Proyección'!$G$15),0,D6*'Parámetros Proyección'!$G$15/(IF((H6/AI6&gt;'Parámetros Proyección'!$G$11),0,'Parámetros Proyección'!$G$11)+IF((N6/AI6&gt;'Parámetros Proyección'!$G$12),0,'Parámetros Proyección'!$G$12)+IF((T6/AI6&gt;'Parámetros Proyección'!$G$13),0,'Parámetros Proyección'!$G$13)+IF((Z6/AI6&gt;'Parámetros Proyección'!$G$14),0,'Parámetros Proyección'!$G$14)+IF((AF6/AI6&gt;'Parámetros Proyección'!$G$15),0,'Parámetros Proyección'!$G$15)))</f>
        <v/>
      </c>
      <c r="AH6" s="35">
        <f>AF6+AG6</f>
        <v/>
      </c>
      <c r="AI6" s="35">
        <f>H6+N6+T6+Z6+AF6</f>
        <v/>
      </c>
      <c r="AJ6" s="33">
        <f>AF6/AI6</f>
        <v/>
      </c>
      <c r="AK6">
        <f>IF(AJ6&gt;'Parámetros Proyección'!$B$5,1,0)</f>
        <v/>
      </c>
      <c r="AL6" s="35">
        <f>G6+M6+S6+Y6+AE6</f>
        <v/>
      </c>
      <c r="AM6" s="35">
        <f>AM5+D6</f>
        <v/>
      </c>
      <c r="AN6" s="35">
        <f>AN5+AL6</f>
        <v/>
      </c>
      <c r="AO6" s="35">
        <f>J6+P6+V6+AB6+AH6</f>
        <v/>
      </c>
    </row>
    <row r="7">
      <c r="A7" t="n">
        <v>4</v>
      </c>
      <c r="B7" s="34">
        <f>EDATE(B6,1)</f>
        <v/>
      </c>
      <c r="C7">
        <f>YEAR(B7)</f>
        <v/>
      </c>
      <c r="D7" s="35">
        <f>'Parámetros Proyección'!$B$3*(1+'Parámetros Proyección'!$B$4)^(C7-YEAR('Parámetros Proyección'!$B$6))</f>
        <v/>
      </c>
      <c r="E7" s="35">
        <f>J6</f>
        <v/>
      </c>
      <c r="F7" s="35">
        <f>E7*(1+'Parámetros Proyección'!$E$11)</f>
        <v/>
      </c>
      <c r="G7" s="35">
        <f>F7*'Parámetros Proyección'!$F$11</f>
        <v/>
      </c>
      <c r="H7" s="35">
        <f>F7+G7</f>
        <v/>
      </c>
      <c r="I7" s="35">
        <f>IF((H7/AI7&gt;'Parámetros Proyección'!$G$11),0,D7*'Parámetros Proyección'!$G$11/(IF((H7/AI7&gt;'Parámetros Proyección'!$G$11),0,'Parámetros Proyección'!$G$11)+IF((N7/AI7&gt;'Parámetros Proyección'!$G$12),0,'Parámetros Proyección'!$G$12)+IF((T7/AI7&gt;'Parámetros Proyección'!$G$13),0,'Parámetros Proyección'!$G$13)+IF((Z7/AI7&gt;'Parámetros Proyección'!$G$14),0,'Parámetros Proyección'!$G$14)+IF((AF7/AI7&gt;'Parámetros Proyección'!$G$15),0,'Parámetros Proyección'!$G$15)))</f>
        <v/>
      </c>
      <c r="J7" s="35">
        <f>H7+I7</f>
        <v/>
      </c>
      <c r="K7" s="35">
        <f>P6</f>
        <v/>
      </c>
      <c r="L7" s="35">
        <f>K7*(1+'Parámetros Proyección'!$E$12)</f>
        <v/>
      </c>
      <c r="M7" s="35">
        <f>L7*'Parámetros Proyección'!$F$12</f>
        <v/>
      </c>
      <c r="N7" s="35">
        <f>L7+M7</f>
        <v/>
      </c>
      <c r="O7" s="35">
        <f>IF((N7/AI7&gt;'Parámetros Proyección'!$G$12),0,D7*'Parámetros Proyección'!$G$12/(IF((H7/AI7&gt;'Parámetros Proyección'!$G$11),0,'Parámetros Proyección'!$G$11)+IF((N7/AI7&gt;'Parámetros Proyección'!$G$12),0,'Parámetros Proyección'!$G$12)+IF((T7/AI7&gt;'Parámetros Proyección'!$G$13),0,'Parámetros Proyección'!$G$13)+IF((Z7/AI7&gt;'Parámetros Proyección'!$G$14),0,'Parámetros Proyección'!$G$14)+IF((AF7/AI7&gt;'Parámetros Proyección'!$G$15),0,'Parámetros Proyección'!$G$15)))</f>
        <v/>
      </c>
      <c r="P7" s="35">
        <f>N7+O7</f>
        <v/>
      </c>
      <c r="Q7" s="35">
        <f>V6</f>
        <v/>
      </c>
      <c r="R7" s="35">
        <f>Q7*(1+'Parámetros Proyección'!$E$13)</f>
        <v/>
      </c>
      <c r="S7" s="35">
        <f>R7*'Parámetros Proyección'!$F$13</f>
        <v/>
      </c>
      <c r="T7" s="35">
        <f>R7+S7</f>
        <v/>
      </c>
      <c r="U7" s="35">
        <f>IF((T7/AI7&gt;'Parámetros Proyección'!$G$13),0,D7*'Parámetros Proyección'!$G$13/(IF((H7/AI7&gt;'Parámetros Proyección'!$G$11),0,'Parámetros Proyección'!$G$11)+IF((N7/AI7&gt;'Parámetros Proyección'!$G$12),0,'Parámetros Proyección'!$G$12)+IF((T7/AI7&gt;'Parámetros Proyección'!$G$13),0,'Parámetros Proyección'!$G$13)+IF((Z7/AI7&gt;'Parámetros Proyección'!$G$14),0,'Parámetros Proyección'!$G$14)+IF((AF7/AI7&gt;'Parámetros Proyección'!$G$15),0,'Parámetros Proyección'!$G$15)))</f>
        <v/>
      </c>
      <c r="V7" s="35">
        <f>T7+U7</f>
        <v/>
      </c>
      <c r="W7" s="35">
        <f>AB6</f>
        <v/>
      </c>
      <c r="X7" s="35">
        <f>W7*(1+'Parámetros Proyección'!$E$14)</f>
        <v/>
      </c>
      <c r="Y7" s="35">
        <f>X7*'Parámetros Proyección'!$F$14</f>
        <v/>
      </c>
      <c r="Z7" s="35">
        <f>X7+Y7</f>
        <v/>
      </c>
      <c r="AA7" s="35">
        <f>IF((Z7/AI7&gt;'Parámetros Proyección'!$G$14),0,D7*'Parámetros Proyección'!$G$14/(IF((H7/AI7&gt;'Parámetros Proyección'!$G$11),0,'Parámetros Proyección'!$G$11)+IF((N7/AI7&gt;'Parámetros Proyección'!$G$12),0,'Parámetros Proyección'!$G$12)+IF((T7/AI7&gt;'Parámetros Proyección'!$G$13),0,'Parámetros Proyección'!$G$13)+IF((Z7/AI7&gt;'Parámetros Proyección'!$G$14),0,'Parámetros Proyección'!$G$14)+IF((AF7/AI7&gt;'Parámetros Proyección'!$G$15),0,'Parámetros Proyección'!$G$15)))</f>
        <v/>
      </c>
      <c r="AB7" s="35">
        <f>Z7+AA7</f>
        <v/>
      </c>
      <c r="AC7" s="35">
        <f>AH6</f>
        <v/>
      </c>
      <c r="AD7" s="35">
        <f>AC7*(1+'Parámetros Proyección'!$E$15)</f>
        <v/>
      </c>
      <c r="AE7" s="35">
        <f>AD7*'Parámetros Proyección'!$F$15</f>
        <v/>
      </c>
      <c r="AF7" s="35">
        <f>AD7+AE7</f>
        <v/>
      </c>
      <c r="AG7" s="35">
        <f>IF((AF7/AI7&gt;'Parámetros Proyección'!$G$15),0,D7*'Parámetros Proyección'!$G$15/(IF((H7/AI7&gt;'Parámetros Proyección'!$G$11),0,'Parámetros Proyección'!$G$11)+IF((N7/AI7&gt;'Parámetros Proyección'!$G$12),0,'Parámetros Proyección'!$G$12)+IF((T7/AI7&gt;'Parámetros Proyección'!$G$13),0,'Parámetros Proyección'!$G$13)+IF((Z7/AI7&gt;'Parámetros Proyección'!$G$14),0,'Parámetros Proyección'!$G$14)+IF((AF7/AI7&gt;'Parámetros Proyección'!$G$15),0,'Parámetros Proyección'!$G$15)))</f>
        <v/>
      </c>
      <c r="AH7" s="35">
        <f>AF7+AG7</f>
        <v/>
      </c>
      <c r="AI7" s="35">
        <f>H7+N7+T7+Z7+AF7</f>
        <v/>
      </c>
      <c r="AJ7" s="33">
        <f>AF7/AI7</f>
        <v/>
      </c>
      <c r="AK7">
        <f>IF(AJ7&gt;'Parámetros Proyección'!$B$5,1,0)</f>
        <v/>
      </c>
      <c r="AL7" s="35">
        <f>G7+M7+S7+Y7+AE7</f>
        <v/>
      </c>
      <c r="AM7" s="35">
        <f>AM6+D7</f>
        <v/>
      </c>
      <c r="AN7" s="35">
        <f>AN6+AL7</f>
        <v/>
      </c>
      <c r="AO7" s="35">
        <f>J7+P7+V7+AB7+AH7</f>
        <v/>
      </c>
    </row>
    <row r="8">
      <c r="A8" t="n">
        <v>5</v>
      </c>
      <c r="B8" s="34">
        <f>EDATE(B7,1)</f>
        <v/>
      </c>
      <c r="C8">
        <f>YEAR(B8)</f>
        <v/>
      </c>
      <c r="D8" s="35">
        <f>'Parámetros Proyección'!$B$3*(1+'Parámetros Proyección'!$B$4)^(C8-YEAR('Parámetros Proyección'!$B$6))</f>
        <v/>
      </c>
      <c r="E8" s="35">
        <f>J7</f>
        <v/>
      </c>
      <c r="F8" s="35">
        <f>E8*(1+'Parámetros Proyección'!$E$11)</f>
        <v/>
      </c>
      <c r="G8" s="35">
        <f>F8*'Parámetros Proyección'!$F$11</f>
        <v/>
      </c>
      <c r="H8" s="35">
        <f>F8+G8</f>
        <v/>
      </c>
      <c r="I8" s="35">
        <f>IF((H8/AI8&gt;'Parámetros Proyección'!$G$11),0,D8*'Parámetros Proyección'!$G$11/(IF((H8/AI8&gt;'Parámetros Proyección'!$G$11),0,'Parámetros Proyección'!$G$11)+IF((N8/AI8&gt;'Parámetros Proyección'!$G$12),0,'Parámetros Proyección'!$G$12)+IF((T8/AI8&gt;'Parámetros Proyección'!$G$13),0,'Parámetros Proyección'!$G$13)+IF((Z8/AI8&gt;'Parámetros Proyección'!$G$14),0,'Parámetros Proyección'!$G$14)+IF((AF8/AI8&gt;'Parámetros Proyección'!$G$15),0,'Parámetros Proyección'!$G$15)))</f>
        <v/>
      </c>
      <c r="J8" s="35">
        <f>H8+I8</f>
        <v/>
      </c>
      <c r="K8" s="35">
        <f>P7</f>
        <v/>
      </c>
      <c r="L8" s="35">
        <f>K8*(1+'Parámetros Proyección'!$E$12)</f>
        <v/>
      </c>
      <c r="M8" s="35">
        <f>L8*'Parámetros Proyección'!$F$12</f>
        <v/>
      </c>
      <c r="N8" s="35">
        <f>L8+M8</f>
        <v/>
      </c>
      <c r="O8" s="35">
        <f>IF((N8/AI8&gt;'Parámetros Proyección'!$G$12),0,D8*'Parámetros Proyección'!$G$12/(IF((H8/AI8&gt;'Parámetros Proyección'!$G$11),0,'Parámetros Proyección'!$G$11)+IF((N8/AI8&gt;'Parámetros Proyección'!$G$12),0,'Parámetros Proyección'!$G$12)+IF((T8/AI8&gt;'Parámetros Proyección'!$G$13),0,'Parámetros Proyección'!$G$13)+IF((Z8/AI8&gt;'Parámetros Proyección'!$G$14),0,'Parámetros Proyección'!$G$14)+IF((AF8/AI8&gt;'Parámetros Proyección'!$G$15),0,'Parámetros Proyección'!$G$15)))</f>
        <v/>
      </c>
      <c r="P8" s="35">
        <f>N8+O8</f>
        <v/>
      </c>
      <c r="Q8" s="35">
        <f>V7</f>
        <v/>
      </c>
      <c r="R8" s="35">
        <f>Q8*(1+'Parámetros Proyección'!$E$13)</f>
        <v/>
      </c>
      <c r="S8" s="35">
        <f>R8*'Parámetros Proyección'!$F$13</f>
        <v/>
      </c>
      <c r="T8" s="35">
        <f>R8+S8</f>
        <v/>
      </c>
      <c r="U8" s="35">
        <f>IF((T8/AI8&gt;'Parámetros Proyección'!$G$13),0,D8*'Parámetros Proyección'!$G$13/(IF((H8/AI8&gt;'Parámetros Proyección'!$G$11),0,'Parámetros Proyección'!$G$11)+IF((N8/AI8&gt;'Parámetros Proyección'!$G$12),0,'Parámetros Proyección'!$G$12)+IF((T8/AI8&gt;'Parámetros Proyección'!$G$13),0,'Parámetros Proyección'!$G$13)+IF((Z8/AI8&gt;'Parámetros Proyección'!$G$14),0,'Parámetros Proyección'!$G$14)+IF((AF8/AI8&gt;'Parámetros Proyección'!$G$15),0,'Parámetros Proyección'!$G$15)))</f>
        <v/>
      </c>
      <c r="V8" s="35">
        <f>T8+U8</f>
        <v/>
      </c>
      <c r="W8" s="35">
        <f>AB7</f>
        <v/>
      </c>
      <c r="X8" s="35">
        <f>W8*(1+'Parámetros Proyección'!$E$14)</f>
        <v/>
      </c>
      <c r="Y8" s="35">
        <f>X8*'Parámetros Proyección'!$F$14</f>
        <v/>
      </c>
      <c r="Z8" s="35">
        <f>X8+Y8</f>
        <v/>
      </c>
      <c r="AA8" s="35">
        <f>IF((Z8/AI8&gt;'Parámetros Proyección'!$G$14),0,D8*'Parámetros Proyección'!$G$14/(IF((H8/AI8&gt;'Parámetros Proyección'!$G$11),0,'Parámetros Proyección'!$G$11)+IF((N8/AI8&gt;'Parámetros Proyección'!$G$12),0,'Parámetros Proyección'!$G$12)+IF((T8/AI8&gt;'Parámetros Proyección'!$G$13),0,'Parámetros Proyección'!$G$13)+IF((Z8/AI8&gt;'Parámetros Proyección'!$G$14),0,'Parámetros Proyección'!$G$14)+IF((AF8/AI8&gt;'Parámetros Proyección'!$G$15),0,'Parámetros Proyección'!$G$15)))</f>
        <v/>
      </c>
      <c r="AB8" s="35">
        <f>Z8+AA8</f>
        <v/>
      </c>
      <c r="AC8" s="35">
        <f>AH7</f>
        <v/>
      </c>
      <c r="AD8" s="35">
        <f>AC8*(1+'Parámetros Proyección'!$E$15)</f>
        <v/>
      </c>
      <c r="AE8" s="35">
        <f>AD8*'Parámetros Proyección'!$F$15</f>
        <v/>
      </c>
      <c r="AF8" s="35">
        <f>AD8+AE8</f>
        <v/>
      </c>
      <c r="AG8" s="35">
        <f>IF((AF8/AI8&gt;'Parámetros Proyección'!$G$15),0,D8*'Parámetros Proyección'!$G$15/(IF((H8/AI8&gt;'Parámetros Proyección'!$G$11),0,'Parámetros Proyección'!$G$11)+IF((N8/AI8&gt;'Parámetros Proyección'!$G$12),0,'Parámetros Proyección'!$G$12)+IF((T8/AI8&gt;'Parámetros Proyección'!$G$13),0,'Parámetros Proyección'!$G$13)+IF((Z8/AI8&gt;'Parámetros Proyección'!$G$14),0,'Parámetros Proyección'!$G$14)+IF((AF8/AI8&gt;'Parámetros Proyección'!$G$15),0,'Parámetros Proyección'!$G$15)))</f>
        <v/>
      </c>
      <c r="AH8" s="35">
        <f>AF8+AG8</f>
        <v/>
      </c>
      <c r="AI8" s="35">
        <f>H8+N8+T8+Z8+AF8</f>
        <v/>
      </c>
      <c r="AJ8" s="33">
        <f>AF8/AI8</f>
        <v/>
      </c>
      <c r="AK8">
        <f>IF(AJ8&gt;'Parámetros Proyección'!$B$5,1,0)</f>
        <v/>
      </c>
      <c r="AL8" s="35">
        <f>G8+M8+S8+Y8+AE8</f>
        <v/>
      </c>
      <c r="AM8" s="35">
        <f>AM7+D8</f>
        <v/>
      </c>
      <c r="AN8" s="35">
        <f>AN7+AL8</f>
        <v/>
      </c>
      <c r="AO8" s="35">
        <f>J8+P8+V8+AB8+AH8</f>
        <v/>
      </c>
    </row>
    <row r="9">
      <c r="A9" t="n">
        <v>6</v>
      </c>
      <c r="B9" s="34">
        <f>EDATE(B8,1)</f>
        <v/>
      </c>
      <c r="C9">
        <f>YEAR(B9)</f>
        <v/>
      </c>
      <c r="D9" s="35">
        <f>'Parámetros Proyección'!$B$3*(1+'Parámetros Proyección'!$B$4)^(C9-YEAR('Parámetros Proyección'!$B$6))</f>
        <v/>
      </c>
      <c r="E9" s="35">
        <f>J8</f>
        <v/>
      </c>
      <c r="F9" s="35">
        <f>E9*(1+'Parámetros Proyección'!$E$11)</f>
        <v/>
      </c>
      <c r="G9" s="35">
        <f>F9*'Parámetros Proyección'!$F$11</f>
        <v/>
      </c>
      <c r="H9" s="35">
        <f>F9+G9</f>
        <v/>
      </c>
      <c r="I9" s="35">
        <f>IF((H9/AI9&gt;'Parámetros Proyección'!$G$11),0,D9*'Parámetros Proyección'!$G$11/(IF((H9/AI9&gt;'Parámetros Proyección'!$G$11),0,'Parámetros Proyección'!$G$11)+IF((N9/AI9&gt;'Parámetros Proyección'!$G$12),0,'Parámetros Proyección'!$G$12)+IF((T9/AI9&gt;'Parámetros Proyección'!$G$13),0,'Parámetros Proyección'!$G$13)+IF((Z9/AI9&gt;'Parámetros Proyección'!$G$14),0,'Parámetros Proyección'!$G$14)+IF((AF9/AI9&gt;'Parámetros Proyección'!$G$15),0,'Parámetros Proyección'!$G$15)))</f>
        <v/>
      </c>
      <c r="J9" s="35">
        <f>H9+I9</f>
        <v/>
      </c>
      <c r="K9" s="35">
        <f>P8</f>
        <v/>
      </c>
      <c r="L9" s="35">
        <f>K9*(1+'Parámetros Proyección'!$E$12)</f>
        <v/>
      </c>
      <c r="M9" s="35">
        <f>L9*'Parámetros Proyección'!$F$12</f>
        <v/>
      </c>
      <c r="N9" s="35">
        <f>L9+M9</f>
        <v/>
      </c>
      <c r="O9" s="35">
        <f>IF((N9/AI9&gt;'Parámetros Proyección'!$G$12),0,D9*'Parámetros Proyección'!$G$12/(IF((H9/AI9&gt;'Parámetros Proyección'!$G$11),0,'Parámetros Proyección'!$G$11)+IF((N9/AI9&gt;'Parámetros Proyección'!$G$12),0,'Parámetros Proyección'!$G$12)+IF((T9/AI9&gt;'Parámetros Proyección'!$G$13),0,'Parámetros Proyección'!$G$13)+IF((Z9/AI9&gt;'Parámetros Proyección'!$G$14),0,'Parámetros Proyección'!$G$14)+IF((AF9/AI9&gt;'Parámetros Proyección'!$G$15),0,'Parámetros Proyección'!$G$15)))</f>
        <v/>
      </c>
      <c r="P9" s="35">
        <f>N9+O9</f>
        <v/>
      </c>
      <c r="Q9" s="35">
        <f>V8</f>
        <v/>
      </c>
      <c r="R9" s="35">
        <f>Q9*(1+'Parámetros Proyección'!$E$13)</f>
        <v/>
      </c>
      <c r="S9" s="35">
        <f>R9*'Parámetros Proyección'!$F$13</f>
        <v/>
      </c>
      <c r="T9" s="35">
        <f>R9+S9</f>
        <v/>
      </c>
      <c r="U9" s="35">
        <f>IF((T9/AI9&gt;'Parámetros Proyección'!$G$13),0,D9*'Parámetros Proyección'!$G$13/(IF((H9/AI9&gt;'Parámetros Proyección'!$G$11),0,'Parámetros Proyección'!$G$11)+IF((N9/AI9&gt;'Parámetros Proyección'!$G$12),0,'Parámetros Proyección'!$G$12)+IF((T9/AI9&gt;'Parámetros Proyección'!$G$13),0,'Parámetros Proyección'!$G$13)+IF((Z9/AI9&gt;'Parámetros Proyección'!$G$14),0,'Parámetros Proyección'!$G$14)+IF((AF9/AI9&gt;'Parámetros Proyección'!$G$15),0,'Parámetros Proyección'!$G$15)))</f>
        <v/>
      </c>
      <c r="V9" s="35">
        <f>T9+U9</f>
        <v/>
      </c>
      <c r="W9" s="35">
        <f>AB8</f>
        <v/>
      </c>
      <c r="X9" s="35">
        <f>W9*(1+'Parámetros Proyección'!$E$14)</f>
        <v/>
      </c>
      <c r="Y9" s="35">
        <f>X9*'Parámetros Proyección'!$F$14</f>
        <v/>
      </c>
      <c r="Z9" s="35">
        <f>X9+Y9</f>
        <v/>
      </c>
      <c r="AA9" s="35">
        <f>IF((Z9/AI9&gt;'Parámetros Proyección'!$G$14),0,D9*'Parámetros Proyección'!$G$14/(IF((H9/AI9&gt;'Parámetros Proyección'!$G$11),0,'Parámetros Proyección'!$G$11)+IF((N9/AI9&gt;'Parámetros Proyección'!$G$12),0,'Parámetros Proyección'!$G$12)+IF((T9/AI9&gt;'Parámetros Proyección'!$G$13),0,'Parámetros Proyección'!$G$13)+IF((Z9/AI9&gt;'Parámetros Proyección'!$G$14),0,'Parámetros Proyección'!$G$14)+IF((AF9/AI9&gt;'Parámetros Proyección'!$G$15),0,'Parámetros Proyección'!$G$15)))</f>
        <v/>
      </c>
      <c r="AB9" s="35">
        <f>Z9+AA9</f>
        <v/>
      </c>
      <c r="AC9" s="35">
        <f>AH8</f>
        <v/>
      </c>
      <c r="AD9" s="35">
        <f>AC9*(1+'Parámetros Proyección'!$E$15)</f>
        <v/>
      </c>
      <c r="AE9" s="35">
        <f>AD9*'Parámetros Proyección'!$F$15</f>
        <v/>
      </c>
      <c r="AF9" s="35">
        <f>AD9+AE9</f>
        <v/>
      </c>
      <c r="AG9" s="35">
        <f>IF((AF9/AI9&gt;'Parámetros Proyección'!$G$15),0,D9*'Parámetros Proyección'!$G$15/(IF((H9/AI9&gt;'Parámetros Proyección'!$G$11),0,'Parámetros Proyección'!$G$11)+IF((N9/AI9&gt;'Parámetros Proyección'!$G$12),0,'Parámetros Proyección'!$G$12)+IF((T9/AI9&gt;'Parámetros Proyección'!$G$13),0,'Parámetros Proyección'!$G$13)+IF((Z9/AI9&gt;'Parámetros Proyección'!$G$14),0,'Parámetros Proyección'!$G$14)+IF((AF9/AI9&gt;'Parámetros Proyección'!$G$15),0,'Parámetros Proyección'!$G$15)))</f>
        <v/>
      </c>
      <c r="AH9" s="35">
        <f>AF9+AG9</f>
        <v/>
      </c>
      <c r="AI9" s="35">
        <f>H9+N9+T9+Z9+AF9</f>
        <v/>
      </c>
      <c r="AJ9" s="33">
        <f>AF9/AI9</f>
        <v/>
      </c>
      <c r="AK9">
        <f>IF(AJ9&gt;'Parámetros Proyección'!$B$5,1,0)</f>
        <v/>
      </c>
      <c r="AL9" s="35">
        <f>G9+M9+S9+Y9+AE9</f>
        <v/>
      </c>
      <c r="AM9" s="35">
        <f>AM8+D9</f>
        <v/>
      </c>
      <c r="AN9" s="35">
        <f>AN8+AL9</f>
        <v/>
      </c>
      <c r="AO9" s="35">
        <f>J9+P9+V9+AB9+AH9</f>
        <v/>
      </c>
    </row>
    <row r="10">
      <c r="A10" t="n">
        <v>7</v>
      </c>
      <c r="B10" s="34">
        <f>EDATE(B9,1)</f>
        <v/>
      </c>
      <c r="C10">
        <f>YEAR(B10)</f>
        <v/>
      </c>
      <c r="D10" s="35">
        <f>'Parámetros Proyección'!$B$3*(1+'Parámetros Proyección'!$B$4)^(C10-YEAR('Parámetros Proyección'!$B$6))</f>
        <v/>
      </c>
      <c r="E10" s="35">
        <f>J9</f>
        <v/>
      </c>
      <c r="F10" s="35">
        <f>E10*(1+'Parámetros Proyección'!$E$11)</f>
        <v/>
      </c>
      <c r="G10" s="35">
        <f>F10*'Parámetros Proyección'!$F$11</f>
        <v/>
      </c>
      <c r="H10" s="35">
        <f>F10+G10</f>
        <v/>
      </c>
      <c r="I10" s="35">
        <f>IF((H10/AI10&gt;'Parámetros Proyección'!$G$11),0,D10*'Parámetros Proyección'!$G$11/(IF((H10/AI10&gt;'Parámetros Proyección'!$G$11),0,'Parámetros Proyección'!$G$11)+IF((N10/AI10&gt;'Parámetros Proyección'!$G$12),0,'Parámetros Proyección'!$G$12)+IF((T10/AI10&gt;'Parámetros Proyección'!$G$13),0,'Parámetros Proyección'!$G$13)+IF((Z10/AI10&gt;'Parámetros Proyección'!$G$14),0,'Parámetros Proyección'!$G$14)+IF((AF10/AI10&gt;'Parámetros Proyección'!$G$15),0,'Parámetros Proyección'!$G$15)))</f>
        <v/>
      </c>
      <c r="J10" s="35">
        <f>H10+I10</f>
        <v/>
      </c>
      <c r="K10" s="35">
        <f>P9</f>
        <v/>
      </c>
      <c r="L10" s="35">
        <f>K10*(1+'Parámetros Proyección'!$E$12)</f>
        <v/>
      </c>
      <c r="M10" s="35">
        <f>L10*'Parámetros Proyección'!$F$12</f>
        <v/>
      </c>
      <c r="N10" s="35">
        <f>L10+M10</f>
        <v/>
      </c>
      <c r="O10" s="35">
        <f>IF((N10/AI10&gt;'Parámetros Proyección'!$G$12),0,D10*'Parámetros Proyección'!$G$12/(IF((H10/AI10&gt;'Parámetros Proyección'!$G$11),0,'Parámetros Proyección'!$G$11)+IF((N10/AI10&gt;'Parámetros Proyección'!$G$12),0,'Parámetros Proyección'!$G$12)+IF((T10/AI10&gt;'Parámetros Proyección'!$G$13),0,'Parámetros Proyección'!$G$13)+IF((Z10/AI10&gt;'Parámetros Proyección'!$G$14),0,'Parámetros Proyección'!$G$14)+IF((AF10/AI10&gt;'Parámetros Proyección'!$G$15),0,'Parámetros Proyección'!$G$15)))</f>
        <v/>
      </c>
      <c r="P10" s="35">
        <f>N10+O10</f>
        <v/>
      </c>
      <c r="Q10" s="35">
        <f>V9</f>
        <v/>
      </c>
      <c r="R10" s="35">
        <f>Q10*(1+'Parámetros Proyección'!$E$13)</f>
        <v/>
      </c>
      <c r="S10" s="35">
        <f>R10*'Parámetros Proyección'!$F$13</f>
        <v/>
      </c>
      <c r="T10" s="35">
        <f>R10+S10</f>
        <v/>
      </c>
      <c r="U10" s="35">
        <f>IF((T10/AI10&gt;'Parámetros Proyección'!$G$13),0,D10*'Parámetros Proyección'!$G$13/(IF((H10/AI10&gt;'Parámetros Proyección'!$G$11),0,'Parámetros Proyección'!$G$11)+IF((N10/AI10&gt;'Parámetros Proyección'!$G$12),0,'Parámetros Proyección'!$G$12)+IF((T10/AI10&gt;'Parámetros Proyección'!$G$13),0,'Parámetros Proyección'!$G$13)+IF((Z10/AI10&gt;'Parámetros Proyección'!$G$14),0,'Parámetros Proyección'!$G$14)+IF((AF10/AI10&gt;'Parámetros Proyección'!$G$15),0,'Parámetros Proyección'!$G$15)))</f>
        <v/>
      </c>
      <c r="V10" s="35">
        <f>T10+U10</f>
        <v/>
      </c>
      <c r="W10" s="35">
        <f>AB9</f>
        <v/>
      </c>
      <c r="X10" s="35">
        <f>W10*(1+'Parámetros Proyección'!$E$14)</f>
        <v/>
      </c>
      <c r="Y10" s="35">
        <f>X10*'Parámetros Proyección'!$F$14</f>
        <v/>
      </c>
      <c r="Z10" s="35">
        <f>X10+Y10</f>
        <v/>
      </c>
      <c r="AA10" s="35">
        <f>IF((Z10/AI10&gt;'Parámetros Proyección'!$G$14),0,D10*'Parámetros Proyección'!$G$14/(IF((H10/AI10&gt;'Parámetros Proyección'!$G$11),0,'Parámetros Proyección'!$G$11)+IF((N10/AI10&gt;'Parámetros Proyección'!$G$12),0,'Parámetros Proyección'!$G$12)+IF((T10/AI10&gt;'Parámetros Proyección'!$G$13),0,'Parámetros Proyección'!$G$13)+IF((Z10/AI10&gt;'Parámetros Proyección'!$G$14),0,'Parámetros Proyección'!$G$14)+IF((AF10/AI10&gt;'Parámetros Proyección'!$G$15),0,'Parámetros Proyección'!$G$15)))</f>
        <v/>
      </c>
      <c r="AB10" s="35">
        <f>Z10+AA10</f>
        <v/>
      </c>
      <c r="AC10" s="35">
        <f>AH9</f>
        <v/>
      </c>
      <c r="AD10" s="35">
        <f>AC10*(1+'Parámetros Proyección'!$E$15)</f>
        <v/>
      </c>
      <c r="AE10" s="35">
        <f>AD10*'Parámetros Proyección'!$F$15</f>
        <v/>
      </c>
      <c r="AF10" s="35">
        <f>AD10+AE10</f>
        <v/>
      </c>
      <c r="AG10" s="35">
        <f>IF((AF10/AI10&gt;'Parámetros Proyección'!$G$15),0,D10*'Parámetros Proyección'!$G$15/(IF((H10/AI10&gt;'Parámetros Proyección'!$G$11),0,'Parámetros Proyección'!$G$11)+IF((N10/AI10&gt;'Parámetros Proyección'!$G$12),0,'Parámetros Proyección'!$G$12)+IF((T10/AI10&gt;'Parámetros Proyección'!$G$13),0,'Parámetros Proyección'!$G$13)+IF((Z10/AI10&gt;'Parámetros Proyección'!$G$14),0,'Parámetros Proyección'!$G$14)+IF((AF10/AI10&gt;'Parámetros Proyección'!$G$15),0,'Parámetros Proyección'!$G$15)))</f>
        <v/>
      </c>
      <c r="AH10" s="35">
        <f>AF10+AG10</f>
        <v/>
      </c>
      <c r="AI10" s="35">
        <f>H10+N10+T10+Z10+AF10</f>
        <v/>
      </c>
      <c r="AJ10" s="33">
        <f>AF10/AI10</f>
        <v/>
      </c>
      <c r="AK10">
        <f>IF(AJ10&gt;'Parámetros Proyección'!$B$5,1,0)</f>
        <v/>
      </c>
      <c r="AL10" s="35">
        <f>G10+M10+S10+Y10+AE10</f>
        <v/>
      </c>
      <c r="AM10" s="35">
        <f>AM9+D10</f>
        <v/>
      </c>
      <c r="AN10" s="35">
        <f>AN9+AL10</f>
        <v/>
      </c>
      <c r="AO10" s="35">
        <f>J10+P10+V10+AB10+AH10</f>
        <v/>
      </c>
    </row>
    <row r="11">
      <c r="A11" t="n">
        <v>8</v>
      </c>
      <c r="B11" s="34">
        <f>EDATE(B10,1)</f>
        <v/>
      </c>
      <c r="C11">
        <f>YEAR(B11)</f>
        <v/>
      </c>
      <c r="D11" s="35">
        <f>'Parámetros Proyección'!$B$3*(1+'Parámetros Proyección'!$B$4)^(C11-YEAR('Parámetros Proyección'!$B$6))</f>
        <v/>
      </c>
      <c r="E11" s="35">
        <f>J10</f>
        <v/>
      </c>
      <c r="F11" s="35">
        <f>E11*(1+'Parámetros Proyección'!$E$11)</f>
        <v/>
      </c>
      <c r="G11" s="35">
        <f>F11*'Parámetros Proyección'!$F$11</f>
        <v/>
      </c>
      <c r="H11" s="35">
        <f>F11+G11</f>
        <v/>
      </c>
      <c r="I11" s="35">
        <f>IF((H11/AI11&gt;'Parámetros Proyección'!$G$11),0,D11*'Parámetros Proyección'!$G$11/(IF((H11/AI11&gt;'Parámetros Proyección'!$G$11),0,'Parámetros Proyección'!$G$11)+IF((N11/AI11&gt;'Parámetros Proyección'!$G$12),0,'Parámetros Proyección'!$G$12)+IF((T11/AI11&gt;'Parámetros Proyección'!$G$13),0,'Parámetros Proyección'!$G$13)+IF((Z11/AI11&gt;'Parámetros Proyección'!$G$14),0,'Parámetros Proyección'!$G$14)+IF((AF11/AI11&gt;'Parámetros Proyección'!$G$15),0,'Parámetros Proyección'!$G$15)))</f>
        <v/>
      </c>
      <c r="J11" s="35">
        <f>H11+I11</f>
        <v/>
      </c>
      <c r="K11" s="35">
        <f>P10</f>
        <v/>
      </c>
      <c r="L11" s="35">
        <f>K11*(1+'Parámetros Proyección'!$E$12)</f>
        <v/>
      </c>
      <c r="M11" s="35">
        <f>L11*'Parámetros Proyección'!$F$12</f>
        <v/>
      </c>
      <c r="N11" s="35">
        <f>L11+M11</f>
        <v/>
      </c>
      <c r="O11" s="35">
        <f>IF((N11/AI11&gt;'Parámetros Proyección'!$G$12),0,D11*'Parámetros Proyección'!$G$12/(IF((H11/AI11&gt;'Parámetros Proyección'!$G$11),0,'Parámetros Proyección'!$G$11)+IF((N11/AI11&gt;'Parámetros Proyección'!$G$12),0,'Parámetros Proyección'!$G$12)+IF((T11/AI11&gt;'Parámetros Proyección'!$G$13),0,'Parámetros Proyección'!$G$13)+IF((Z11/AI11&gt;'Parámetros Proyección'!$G$14),0,'Parámetros Proyección'!$G$14)+IF((AF11/AI11&gt;'Parámetros Proyección'!$G$15),0,'Parámetros Proyección'!$G$15)))</f>
        <v/>
      </c>
      <c r="P11" s="35">
        <f>N11+O11</f>
        <v/>
      </c>
      <c r="Q11" s="35">
        <f>V10</f>
        <v/>
      </c>
      <c r="R11" s="35">
        <f>Q11*(1+'Parámetros Proyección'!$E$13)</f>
        <v/>
      </c>
      <c r="S11" s="35">
        <f>R11*'Parámetros Proyección'!$F$13</f>
        <v/>
      </c>
      <c r="T11" s="35">
        <f>R11+S11</f>
        <v/>
      </c>
      <c r="U11" s="35">
        <f>IF((T11/AI11&gt;'Parámetros Proyección'!$G$13),0,D11*'Parámetros Proyección'!$G$13/(IF((H11/AI11&gt;'Parámetros Proyección'!$G$11),0,'Parámetros Proyección'!$G$11)+IF((N11/AI11&gt;'Parámetros Proyección'!$G$12),0,'Parámetros Proyección'!$G$12)+IF((T11/AI11&gt;'Parámetros Proyección'!$G$13),0,'Parámetros Proyección'!$G$13)+IF((Z11/AI11&gt;'Parámetros Proyección'!$G$14),0,'Parámetros Proyección'!$G$14)+IF((AF11/AI11&gt;'Parámetros Proyección'!$G$15),0,'Parámetros Proyección'!$G$15)))</f>
        <v/>
      </c>
      <c r="V11" s="35">
        <f>T11+U11</f>
        <v/>
      </c>
      <c r="W11" s="35">
        <f>AB10</f>
        <v/>
      </c>
      <c r="X11" s="35">
        <f>W11*(1+'Parámetros Proyección'!$E$14)</f>
        <v/>
      </c>
      <c r="Y11" s="35">
        <f>X11*'Parámetros Proyección'!$F$14</f>
        <v/>
      </c>
      <c r="Z11" s="35">
        <f>X11+Y11</f>
        <v/>
      </c>
      <c r="AA11" s="35">
        <f>IF((Z11/AI11&gt;'Parámetros Proyección'!$G$14),0,D11*'Parámetros Proyección'!$G$14/(IF((H11/AI11&gt;'Parámetros Proyección'!$G$11),0,'Parámetros Proyección'!$G$11)+IF((N11/AI11&gt;'Parámetros Proyección'!$G$12),0,'Parámetros Proyección'!$G$12)+IF((T11/AI11&gt;'Parámetros Proyección'!$G$13),0,'Parámetros Proyección'!$G$13)+IF((Z11/AI11&gt;'Parámetros Proyección'!$G$14),0,'Parámetros Proyección'!$G$14)+IF((AF11/AI11&gt;'Parámetros Proyección'!$G$15),0,'Parámetros Proyección'!$G$15)))</f>
        <v/>
      </c>
      <c r="AB11" s="35">
        <f>Z11+AA11</f>
        <v/>
      </c>
      <c r="AC11" s="35">
        <f>AH10</f>
        <v/>
      </c>
      <c r="AD11" s="35">
        <f>AC11*(1+'Parámetros Proyección'!$E$15)</f>
        <v/>
      </c>
      <c r="AE11" s="35">
        <f>AD11*'Parámetros Proyección'!$F$15</f>
        <v/>
      </c>
      <c r="AF11" s="35">
        <f>AD11+AE11</f>
        <v/>
      </c>
      <c r="AG11" s="35">
        <f>IF((AF11/AI11&gt;'Parámetros Proyección'!$G$15),0,D11*'Parámetros Proyección'!$G$15/(IF((H11/AI11&gt;'Parámetros Proyección'!$G$11),0,'Parámetros Proyección'!$G$11)+IF((N11/AI11&gt;'Parámetros Proyección'!$G$12),0,'Parámetros Proyección'!$G$12)+IF((T11/AI11&gt;'Parámetros Proyección'!$G$13),0,'Parámetros Proyección'!$G$13)+IF((Z11/AI11&gt;'Parámetros Proyección'!$G$14),0,'Parámetros Proyección'!$G$14)+IF((AF11/AI11&gt;'Parámetros Proyección'!$G$15),0,'Parámetros Proyección'!$G$15)))</f>
        <v/>
      </c>
      <c r="AH11" s="35">
        <f>AF11+AG11</f>
        <v/>
      </c>
      <c r="AI11" s="35">
        <f>H11+N11+T11+Z11+AF11</f>
        <v/>
      </c>
      <c r="AJ11" s="33">
        <f>AF11/AI11</f>
        <v/>
      </c>
      <c r="AK11">
        <f>IF(AJ11&gt;'Parámetros Proyección'!$B$5,1,0)</f>
        <v/>
      </c>
      <c r="AL11" s="35">
        <f>G11+M11+S11+Y11+AE11</f>
        <v/>
      </c>
      <c r="AM11" s="35">
        <f>AM10+D11</f>
        <v/>
      </c>
      <c r="AN11" s="35">
        <f>AN10+AL11</f>
        <v/>
      </c>
      <c r="AO11" s="35">
        <f>J11+P11+V11+AB11+AH11</f>
        <v/>
      </c>
    </row>
    <row r="12">
      <c r="A12" t="n">
        <v>9</v>
      </c>
      <c r="B12" s="34">
        <f>EDATE(B11,1)</f>
        <v/>
      </c>
      <c r="C12">
        <f>YEAR(B12)</f>
        <v/>
      </c>
      <c r="D12" s="35">
        <f>'Parámetros Proyección'!$B$3*(1+'Parámetros Proyección'!$B$4)^(C12-YEAR('Parámetros Proyección'!$B$6))</f>
        <v/>
      </c>
      <c r="E12" s="35">
        <f>J11</f>
        <v/>
      </c>
      <c r="F12" s="35">
        <f>E12*(1+'Parámetros Proyección'!$E$11)</f>
        <v/>
      </c>
      <c r="G12" s="35">
        <f>F12*'Parámetros Proyección'!$F$11</f>
        <v/>
      </c>
      <c r="H12" s="35">
        <f>F12+G12</f>
        <v/>
      </c>
      <c r="I12" s="35">
        <f>IF((H12/AI12&gt;'Parámetros Proyección'!$G$11),0,D12*'Parámetros Proyección'!$G$11/(IF((H12/AI12&gt;'Parámetros Proyección'!$G$11),0,'Parámetros Proyección'!$G$11)+IF((N12/AI12&gt;'Parámetros Proyección'!$G$12),0,'Parámetros Proyección'!$G$12)+IF((T12/AI12&gt;'Parámetros Proyección'!$G$13),0,'Parámetros Proyección'!$G$13)+IF((Z12/AI12&gt;'Parámetros Proyección'!$G$14),0,'Parámetros Proyección'!$G$14)+IF((AF12/AI12&gt;'Parámetros Proyección'!$G$15),0,'Parámetros Proyección'!$G$15)))</f>
        <v/>
      </c>
      <c r="J12" s="35">
        <f>H12+I12</f>
        <v/>
      </c>
      <c r="K12" s="35">
        <f>P11</f>
        <v/>
      </c>
      <c r="L12" s="35">
        <f>K12*(1+'Parámetros Proyección'!$E$12)</f>
        <v/>
      </c>
      <c r="M12" s="35">
        <f>L12*'Parámetros Proyección'!$F$12</f>
        <v/>
      </c>
      <c r="N12" s="35">
        <f>L12+M12</f>
        <v/>
      </c>
      <c r="O12" s="35">
        <f>IF((N12/AI12&gt;'Parámetros Proyección'!$G$12),0,D12*'Parámetros Proyección'!$G$12/(IF((H12/AI12&gt;'Parámetros Proyección'!$G$11),0,'Parámetros Proyección'!$G$11)+IF((N12/AI12&gt;'Parámetros Proyección'!$G$12),0,'Parámetros Proyección'!$G$12)+IF((T12/AI12&gt;'Parámetros Proyección'!$G$13),0,'Parámetros Proyección'!$G$13)+IF((Z12/AI12&gt;'Parámetros Proyección'!$G$14),0,'Parámetros Proyección'!$G$14)+IF((AF12/AI12&gt;'Parámetros Proyección'!$G$15),0,'Parámetros Proyección'!$G$15)))</f>
        <v/>
      </c>
      <c r="P12" s="35">
        <f>N12+O12</f>
        <v/>
      </c>
      <c r="Q12" s="35">
        <f>V11</f>
        <v/>
      </c>
      <c r="R12" s="35">
        <f>Q12*(1+'Parámetros Proyección'!$E$13)</f>
        <v/>
      </c>
      <c r="S12" s="35">
        <f>R12*'Parámetros Proyección'!$F$13</f>
        <v/>
      </c>
      <c r="T12" s="35">
        <f>R12+S12</f>
        <v/>
      </c>
      <c r="U12" s="35">
        <f>IF((T12/AI12&gt;'Parámetros Proyección'!$G$13),0,D12*'Parámetros Proyección'!$G$13/(IF((H12/AI12&gt;'Parámetros Proyección'!$G$11),0,'Parámetros Proyección'!$G$11)+IF((N12/AI12&gt;'Parámetros Proyección'!$G$12),0,'Parámetros Proyección'!$G$12)+IF((T12/AI12&gt;'Parámetros Proyección'!$G$13),0,'Parámetros Proyección'!$G$13)+IF((Z12/AI12&gt;'Parámetros Proyección'!$G$14),0,'Parámetros Proyección'!$G$14)+IF((AF12/AI12&gt;'Parámetros Proyección'!$G$15),0,'Parámetros Proyección'!$G$15)))</f>
        <v/>
      </c>
      <c r="V12" s="35">
        <f>T12+U12</f>
        <v/>
      </c>
      <c r="W12" s="35">
        <f>AB11</f>
        <v/>
      </c>
      <c r="X12" s="35">
        <f>W12*(1+'Parámetros Proyección'!$E$14)</f>
        <v/>
      </c>
      <c r="Y12" s="35">
        <f>X12*'Parámetros Proyección'!$F$14</f>
        <v/>
      </c>
      <c r="Z12" s="35">
        <f>X12+Y12</f>
        <v/>
      </c>
      <c r="AA12" s="35">
        <f>IF((Z12/AI12&gt;'Parámetros Proyección'!$G$14),0,D12*'Parámetros Proyección'!$G$14/(IF((H12/AI12&gt;'Parámetros Proyección'!$G$11),0,'Parámetros Proyección'!$G$11)+IF((N12/AI12&gt;'Parámetros Proyección'!$G$12),0,'Parámetros Proyección'!$G$12)+IF((T12/AI12&gt;'Parámetros Proyección'!$G$13),0,'Parámetros Proyección'!$G$13)+IF((Z12/AI12&gt;'Parámetros Proyección'!$G$14),0,'Parámetros Proyección'!$G$14)+IF((AF12/AI12&gt;'Parámetros Proyección'!$G$15),0,'Parámetros Proyección'!$G$15)))</f>
        <v/>
      </c>
      <c r="AB12" s="35">
        <f>Z12+AA12</f>
        <v/>
      </c>
      <c r="AC12" s="35">
        <f>AH11</f>
        <v/>
      </c>
      <c r="AD12" s="35">
        <f>AC12*(1+'Parámetros Proyección'!$E$15)</f>
        <v/>
      </c>
      <c r="AE12" s="35">
        <f>AD12*'Parámetros Proyección'!$F$15</f>
        <v/>
      </c>
      <c r="AF12" s="35">
        <f>AD12+AE12</f>
        <v/>
      </c>
      <c r="AG12" s="35">
        <f>IF((AF12/AI12&gt;'Parámetros Proyección'!$G$15),0,D12*'Parámetros Proyección'!$G$15/(IF((H12/AI12&gt;'Parámetros Proyección'!$G$11),0,'Parámetros Proyección'!$G$11)+IF((N12/AI12&gt;'Parámetros Proyección'!$G$12),0,'Parámetros Proyección'!$G$12)+IF((T12/AI12&gt;'Parámetros Proyección'!$G$13),0,'Parámetros Proyección'!$G$13)+IF((Z12/AI12&gt;'Parámetros Proyección'!$G$14),0,'Parámetros Proyección'!$G$14)+IF((AF12/AI12&gt;'Parámetros Proyección'!$G$15),0,'Parámetros Proyección'!$G$15)))</f>
        <v/>
      </c>
      <c r="AH12" s="35">
        <f>AF12+AG12</f>
        <v/>
      </c>
      <c r="AI12" s="35">
        <f>H12+N12+T12+Z12+AF12</f>
        <v/>
      </c>
      <c r="AJ12" s="33">
        <f>AF12/AI12</f>
        <v/>
      </c>
      <c r="AK12">
        <f>IF(AJ12&gt;'Parámetros Proyección'!$B$5,1,0)</f>
        <v/>
      </c>
      <c r="AL12" s="35">
        <f>G12+M12+S12+Y12+AE12</f>
        <v/>
      </c>
      <c r="AM12" s="35">
        <f>AM11+D12</f>
        <v/>
      </c>
      <c r="AN12" s="35">
        <f>AN11+AL12</f>
        <v/>
      </c>
      <c r="AO12" s="35">
        <f>J12+P12+V12+AB12+AH12</f>
        <v/>
      </c>
    </row>
    <row r="13">
      <c r="A13" t="n">
        <v>10</v>
      </c>
      <c r="B13" s="34">
        <f>EDATE(B12,1)</f>
        <v/>
      </c>
      <c r="C13">
        <f>YEAR(B13)</f>
        <v/>
      </c>
      <c r="D13" s="35">
        <f>'Parámetros Proyección'!$B$3*(1+'Parámetros Proyección'!$B$4)^(C13-YEAR('Parámetros Proyección'!$B$6))</f>
        <v/>
      </c>
      <c r="E13" s="35">
        <f>J12</f>
        <v/>
      </c>
      <c r="F13" s="35">
        <f>E13*(1+'Parámetros Proyección'!$E$11)</f>
        <v/>
      </c>
      <c r="G13" s="35">
        <f>F13*'Parámetros Proyección'!$F$11</f>
        <v/>
      </c>
      <c r="H13" s="35">
        <f>F13+G13</f>
        <v/>
      </c>
      <c r="I13" s="35">
        <f>IF((H13/AI13&gt;'Parámetros Proyección'!$G$11),0,D13*'Parámetros Proyección'!$G$11/(IF((H13/AI13&gt;'Parámetros Proyección'!$G$11),0,'Parámetros Proyección'!$G$11)+IF((N13/AI13&gt;'Parámetros Proyección'!$G$12),0,'Parámetros Proyección'!$G$12)+IF((T13/AI13&gt;'Parámetros Proyección'!$G$13),0,'Parámetros Proyección'!$G$13)+IF((Z13/AI13&gt;'Parámetros Proyección'!$G$14),0,'Parámetros Proyección'!$G$14)+IF((AF13/AI13&gt;'Parámetros Proyección'!$G$15),0,'Parámetros Proyección'!$G$15)))</f>
        <v/>
      </c>
      <c r="J13" s="35">
        <f>H13+I13</f>
        <v/>
      </c>
      <c r="K13" s="35">
        <f>P12</f>
        <v/>
      </c>
      <c r="L13" s="35">
        <f>K13*(1+'Parámetros Proyección'!$E$12)</f>
        <v/>
      </c>
      <c r="M13" s="35">
        <f>L13*'Parámetros Proyección'!$F$12</f>
        <v/>
      </c>
      <c r="N13" s="35">
        <f>L13+M13</f>
        <v/>
      </c>
      <c r="O13" s="35">
        <f>IF((N13/AI13&gt;'Parámetros Proyección'!$G$12),0,D13*'Parámetros Proyección'!$G$12/(IF((H13/AI13&gt;'Parámetros Proyección'!$G$11),0,'Parámetros Proyección'!$G$11)+IF((N13/AI13&gt;'Parámetros Proyección'!$G$12),0,'Parámetros Proyección'!$G$12)+IF((T13/AI13&gt;'Parámetros Proyección'!$G$13),0,'Parámetros Proyección'!$G$13)+IF((Z13/AI13&gt;'Parámetros Proyección'!$G$14),0,'Parámetros Proyección'!$G$14)+IF((AF13/AI13&gt;'Parámetros Proyección'!$G$15),0,'Parámetros Proyección'!$G$15)))</f>
        <v/>
      </c>
      <c r="P13" s="35">
        <f>N13+O13</f>
        <v/>
      </c>
      <c r="Q13" s="35">
        <f>V12</f>
        <v/>
      </c>
      <c r="R13" s="35">
        <f>Q13*(1+'Parámetros Proyección'!$E$13)</f>
        <v/>
      </c>
      <c r="S13" s="35">
        <f>R13*'Parámetros Proyección'!$F$13</f>
        <v/>
      </c>
      <c r="T13" s="35">
        <f>R13+S13</f>
        <v/>
      </c>
      <c r="U13" s="35">
        <f>IF((T13/AI13&gt;'Parámetros Proyección'!$G$13),0,D13*'Parámetros Proyección'!$G$13/(IF((H13/AI13&gt;'Parámetros Proyección'!$G$11),0,'Parámetros Proyección'!$G$11)+IF((N13/AI13&gt;'Parámetros Proyección'!$G$12),0,'Parámetros Proyección'!$G$12)+IF((T13/AI13&gt;'Parámetros Proyección'!$G$13),0,'Parámetros Proyección'!$G$13)+IF((Z13/AI13&gt;'Parámetros Proyección'!$G$14),0,'Parámetros Proyección'!$G$14)+IF((AF13/AI13&gt;'Parámetros Proyección'!$G$15),0,'Parámetros Proyección'!$G$15)))</f>
        <v/>
      </c>
      <c r="V13" s="35">
        <f>T13+U13</f>
        <v/>
      </c>
      <c r="W13" s="35">
        <f>AB12</f>
        <v/>
      </c>
      <c r="X13" s="35">
        <f>W13*(1+'Parámetros Proyección'!$E$14)</f>
        <v/>
      </c>
      <c r="Y13" s="35">
        <f>X13*'Parámetros Proyección'!$F$14</f>
        <v/>
      </c>
      <c r="Z13" s="35">
        <f>X13+Y13</f>
        <v/>
      </c>
      <c r="AA13" s="35">
        <f>IF((Z13/AI13&gt;'Parámetros Proyección'!$G$14),0,D13*'Parámetros Proyección'!$G$14/(IF((H13/AI13&gt;'Parámetros Proyección'!$G$11),0,'Parámetros Proyección'!$G$11)+IF((N13/AI13&gt;'Parámetros Proyección'!$G$12),0,'Parámetros Proyección'!$G$12)+IF((T13/AI13&gt;'Parámetros Proyección'!$G$13),0,'Parámetros Proyección'!$G$13)+IF((Z13/AI13&gt;'Parámetros Proyección'!$G$14),0,'Parámetros Proyección'!$G$14)+IF((AF13/AI13&gt;'Parámetros Proyección'!$G$15),0,'Parámetros Proyección'!$G$15)))</f>
        <v/>
      </c>
      <c r="AB13" s="35">
        <f>Z13+AA13</f>
        <v/>
      </c>
      <c r="AC13" s="35">
        <f>AH12</f>
        <v/>
      </c>
      <c r="AD13" s="35">
        <f>AC13*(1+'Parámetros Proyección'!$E$15)</f>
        <v/>
      </c>
      <c r="AE13" s="35">
        <f>AD13*'Parámetros Proyección'!$F$15</f>
        <v/>
      </c>
      <c r="AF13" s="35">
        <f>AD13+AE13</f>
        <v/>
      </c>
      <c r="AG13" s="35">
        <f>IF((AF13/AI13&gt;'Parámetros Proyección'!$G$15),0,D13*'Parámetros Proyección'!$G$15/(IF((H13/AI13&gt;'Parámetros Proyección'!$G$11),0,'Parámetros Proyección'!$G$11)+IF((N13/AI13&gt;'Parámetros Proyección'!$G$12),0,'Parámetros Proyección'!$G$12)+IF((T13/AI13&gt;'Parámetros Proyección'!$G$13),0,'Parámetros Proyección'!$G$13)+IF((Z13/AI13&gt;'Parámetros Proyección'!$G$14),0,'Parámetros Proyección'!$G$14)+IF((AF13/AI13&gt;'Parámetros Proyección'!$G$15),0,'Parámetros Proyección'!$G$15)))</f>
        <v/>
      </c>
      <c r="AH13" s="35">
        <f>AF13+AG13</f>
        <v/>
      </c>
      <c r="AI13" s="35">
        <f>H13+N13+T13+Z13+AF13</f>
        <v/>
      </c>
      <c r="AJ13" s="33">
        <f>AF13/AI13</f>
        <v/>
      </c>
      <c r="AK13">
        <f>IF(AJ13&gt;'Parámetros Proyección'!$B$5,1,0)</f>
        <v/>
      </c>
      <c r="AL13" s="35">
        <f>G13+M13+S13+Y13+AE13</f>
        <v/>
      </c>
      <c r="AM13" s="35">
        <f>AM12+D13</f>
        <v/>
      </c>
      <c r="AN13" s="35">
        <f>AN12+AL13</f>
        <v/>
      </c>
      <c r="AO13" s="35">
        <f>J13+P13+V13+AB13+AH13</f>
        <v/>
      </c>
    </row>
    <row r="14">
      <c r="A14" t="n">
        <v>11</v>
      </c>
      <c r="B14" s="34">
        <f>EDATE(B13,1)</f>
        <v/>
      </c>
      <c r="C14">
        <f>YEAR(B14)</f>
        <v/>
      </c>
      <c r="D14" s="35">
        <f>'Parámetros Proyección'!$B$3*(1+'Parámetros Proyección'!$B$4)^(C14-YEAR('Parámetros Proyección'!$B$6))</f>
        <v/>
      </c>
      <c r="E14" s="35">
        <f>J13</f>
        <v/>
      </c>
      <c r="F14" s="35">
        <f>E14*(1+'Parámetros Proyección'!$E$11)</f>
        <v/>
      </c>
      <c r="G14" s="35">
        <f>F14*'Parámetros Proyección'!$F$11</f>
        <v/>
      </c>
      <c r="H14" s="35">
        <f>F14+G14</f>
        <v/>
      </c>
      <c r="I14" s="35">
        <f>IF((H14/AI14&gt;'Parámetros Proyección'!$G$11),0,D14*'Parámetros Proyección'!$G$11/(IF((H14/AI14&gt;'Parámetros Proyección'!$G$11),0,'Parámetros Proyección'!$G$11)+IF((N14/AI14&gt;'Parámetros Proyección'!$G$12),0,'Parámetros Proyección'!$G$12)+IF((T14/AI14&gt;'Parámetros Proyección'!$G$13),0,'Parámetros Proyección'!$G$13)+IF((Z14/AI14&gt;'Parámetros Proyección'!$G$14),0,'Parámetros Proyección'!$G$14)+IF((AF14/AI14&gt;'Parámetros Proyección'!$G$15),0,'Parámetros Proyección'!$G$15)))</f>
        <v/>
      </c>
      <c r="J14" s="35">
        <f>H14+I14</f>
        <v/>
      </c>
      <c r="K14" s="35">
        <f>P13</f>
        <v/>
      </c>
      <c r="L14" s="35">
        <f>K14*(1+'Parámetros Proyección'!$E$12)</f>
        <v/>
      </c>
      <c r="M14" s="35">
        <f>L14*'Parámetros Proyección'!$F$12</f>
        <v/>
      </c>
      <c r="N14" s="35">
        <f>L14+M14</f>
        <v/>
      </c>
      <c r="O14" s="35">
        <f>IF((N14/AI14&gt;'Parámetros Proyección'!$G$12),0,D14*'Parámetros Proyección'!$G$12/(IF((H14/AI14&gt;'Parámetros Proyección'!$G$11),0,'Parámetros Proyección'!$G$11)+IF((N14/AI14&gt;'Parámetros Proyección'!$G$12),0,'Parámetros Proyección'!$G$12)+IF((T14/AI14&gt;'Parámetros Proyección'!$G$13),0,'Parámetros Proyección'!$G$13)+IF((Z14/AI14&gt;'Parámetros Proyección'!$G$14),0,'Parámetros Proyección'!$G$14)+IF((AF14/AI14&gt;'Parámetros Proyección'!$G$15),0,'Parámetros Proyección'!$G$15)))</f>
        <v/>
      </c>
      <c r="P14" s="35">
        <f>N14+O14</f>
        <v/>
      </c>
      <c r="Q14" s="35">
        <f>V13</f>
        <v/>
      </c>
      <c r="R14" s="35">
        <f>Q14*(1+'Parámetros Proyección'!$E$13)</f>
        <v/>
      </c>
      <c r="S14" s="35">
        <f>R14*'Parámetros Proyección'!$F$13</f>
        <v/>
      </c>
      <c r="T14" s="35">
        <f>R14+S14</f>
        <v/>
      </c>
      <c r="U14" s="35">
        <f>IF((T14/AI14&gt;'Parámetros Proyección'!$G$13),0,D14*'Parámetros Proyección'!$G$13/(IF((H14/AI14&gt;'Parámetros Proyección'!$G$11),0,'Parámetros Proyección'!$G$11)+IF((N14/AI14&gt;'Parámetros Proyección'!$G$12),0,'Parámetros Proyección'!$G$12)+IF((T14/AI14&gt;'Parámetros Proyección'!$G$13),0,'Parámetros Proyección'!$G$13)+IF((Z14/AI14&gt;'Parámetros Proyección'!$G$14),0,'Parámetros Proyección'!$G$14)+IF((AF14/AI14&gt;'Parámetros Proyección'!$G$15),0,'Parámetros Proyección'!$G$15)))</f>
        <v/>
      </c>
      <c r="V14" s="35">
        <f>T14+U14</f>
        <v/>
      </c>
      <c r="W14" s="35">
        <f>AB13</f>
        <v/>
      </c>
      <c r="X14" s="35">
        <f>W14*(1+'Parámetros Proyección'!$E$14)</f>
        <v/>
      </c>
      <c r="Y14" s="35">
        <f>X14*'Parámetros Proyección'!$F$14</f>
        <v/>
      </c>
      <c r="Z14" s="35">
        <f>X14+Y14</f>
        <v/>
      </c>
      <c r="AA14" s="35">
        <f>IF((Z14/AI14&gt;'Parámetros Proyección'!$G$14),0,D14*'Parámetros Proyección'!$G$14/(IF((H14/AI14&gt;'Parámetros Proyección'!$G$11),0,'Parámetros Proyección'!$G$11)+IF((N14/AI14&gt;'Parámetros Proyección'!$G$12),0,'Parámetros Proyección'!$G$12)+IF((T14/AI14&gt;'Parámetros Proyección'!$G$13),0,'Parámetros Proyección'!$G$13)+IF((Z14/AI14&gt;'Parámetros Proyección'!$G$14),0,'Parámetros Proyección'!$G$14)+IF((AF14/AI14&gt;'Parámetros Proyección'!$G$15),0,'Parámetros Proyección'!$G$15)))</f>
        <v/>
      </c>
      <c r="AB14" s="35">
        <f>Z14+AA14</f>
        <v/>
      </c>
      <c r="AC14" s="35">
        <f>AH13</f>
        <v/>
      </c>
      <c r="AD14" s="35">
        <f>AC14*(1+'Parámetros Proyección'!$E$15)</f>
        <v/>
      </c>
      <c r="AE14" s="35">
        <f>AD14*'Parámetros Proyección'!$F$15</f>
        <v/>
      </c>
      <c r="AF14" s="35">
        <f>AD14+AE14</f>
        <v/>
      </c>
      <c r="AG14" s="35">
        <f>IF((AF14/AI14&gt;'Parámetros Proyección'!$G$15),0,D14*'Parámetros Proyección'!$G$15/(IF((H14/AI14&gt;'Parámetros Proyección'!$G$11),0,'Parámetros Proyección'!$G$11)+IF((N14/AI14&gt;'Parámetros Proyección'!$G$12),0,'Parámetros Proyección'!$G$12)+IF((T14/AI14&gt;'Parámetros Proyección'!$G$13),0,'Parámetros Proyección'!$G$13)+IF((Z14/AI14&gt;'Parámetros Proyección'!$G$14),0,'Parámetros Proyección'!$G$14)+IF((AF14/AI14&gt;'Parámetros Proyección'!$G$15),0,'Parámetros Proyección'!$G$15)))</f>
        <v/>
      </c>
      <c r="AH14" s="35">
        <f>AF14+AG14</f>
        <v/>
      </c>
      <c r="AI14" s="35">
        <f>H14+N14+T14+Z14+AF14</f>
        <v/>
      </c>
      <c r="AJ14" s="33">
        <f>AF14/AI14</f>
        <v/>
      </c>
      <c r="AK14">
        <f>IF(AJ14&gt;'Parámetros Proyección'!$B$5,1,0)</f>
        <v/>
      </c>
      <c r="AL14" s="35">
        <f>G14+M14+S14+Y14+AE14</f>
        <v/>
      </c>
      <c r="AM14" s="35">
        <f>AM13+D14</f>
        <v/>
      </c>
      <c r="AN14" s="35">
        <f>AN13+AL14</f>
        <v/>
      </c>
      <c r="AO14" s="35">
        <f>J14+P14+V14+AB14+AH14</f>
        <v/>
      </c>
    </row>
    <row r="15">
      <c r="A15" t="n">
        <v>12</v>
      </c>
      <c r="B15" s="34">
        <f>EDATE(B14,1)</f>
        <v/>
      </c>
      <c r="C15">
        <f>YEAR(B15)</f>
        <v/>
      </c>
      <c r="D15" s="35">
        <f>'Parámetros Proyección'!$B$3*(1+'Parámetros Proyección'!$B$4)^(C15-YEAR('Parámetros Proyección'!$B$6))</f>
        <v/>
      </c>
      <c r="E15" s="35">
        <f>J14</f>
        <v/>
      </c>
      <c r="F15" s="35">
        <f>E15*(1+'Parámetros Proyección'!$E$11)</f>
        <v/>
      </c>
      <c r="G15" s="35">
        <f>F15*'Parámetros Proyección'!$F$11</f>
        <v/>
      </c>
      <c r="H15" s="35">
        <f>F15+G15</f>
        <v/>
      </c>
      <c r="I15" s="35">
        <f>IF((H15/AI15&gt;'Parámetros Proyección'!$G$11),0,D15*'Parámetros Proyección'!$G$11/(IF((H15/AI15&gt;'Parámetros Proyección'!$G$11),0,'Parámetros Proyección'!$G$11)+IF((N15/AI15&gt;'Parámetros Proyección'!$G$12),0,'Parámetros Proyección'!$G$12)+IF((T15/AI15&gt;'Parámetros Proyección'!$G$13),0,'Parámetros Proyección'!$G$13)+IF((Z15/AI15&gt;'Parámetros Proyección'!$G$14),0,'Parámetros Proyección'!$G$14)+IF((AF15/AI15&gt;'Parámetros Proyección'!$G$15),0,'Parámetros Proyección'!$G$15)))</f>
        <v/>
      </c>
      <c r="J15" s="35">
        <f>H15+I15</f>
        <v/>
      </c>
      <c r="K15" s="35">
        <f>P14</f>
        <v/>
      </c>
      <c r="L15" s="35">
        <f>K15*(1+'Parámetros Proyección'!$E$12)</f>
        <v/>
      </c>
      <c r="M15" s="35">
        <f>L15*'Parámetros Proyección'!$F$12</f>
        <v/>
      </c>
      <c r="N15" s="35">
        <f>L15+M15</f>
        <v/>
      </c>
      <c r="O15" s="35">
        <f>IF((N15/AI15&gt;'Parámetros Proyección'!$G$12),0,D15*'Parámetros Proyección'!$G$12/(IF((H15/AI15&gt;'Parámetros Proyección'!$G$11),0,'Parámetros Proyección'!$G$11)+IF((N15/AI15&gt;'Parámetros Proyección'!$G$12),0,'Parámetros Proyección'!$G$12)+IF((T15/AI15&gt;'Parámetros Proyección'!$G$13),0,'Parámetros Proyección'!$G$13)+IF((Z15/AI15&gt;'Parámetros Proyección'!$G$14),0,'Parámetros Proyección'!$G$14)+IF((AF15/AI15&gt;'Parámetros Proyección'!$G$15),0,'Parámetros Proyección'!$G$15)))</f>
        <v/>
      </c>
      <c r="P15" s="35">
        <f>N15+O15</f>
        <v/>
      </c>
      <c r="Q15" s="35">
        <f>V14</f>
        <v/>
      </c>
      <c r="R15" s="35">
        <f>Q15*(1+'Parámetros Proyección'!$E$13)</f>
        <v/>
      </c>
      <c r="S15" s="35">
        <f>R15*'Parámetros Proyección'!$F$13</f>
        <v/>
      </c>
      <c r="T15" s="35">
        <f>R15+S15</f>
        <v/>
      </c>
      <c r="U15" s="35">
        <f>IF((T15/AI15&gt;'Parámetros Proyección'!$G$13),0,D15*'Parámetros Proyección'!$G$13/(IF((H15/AI15&gt;'Parámetros Proyección'!$G$11),0,'Parámetros Proyección'!$G$11)+IF((N15/AI15&gt;'Parámetros Proyección'!$G$12),0,'Parámetros Proyección'!$G$12)+IF((T15/AI15&gt;'Parámetros Proyección'!$G$13),0,'Parámetros Proyección'!$G$13)+IF((Z15/AI15&gt;'Parámetros Proyección'!$G$14),0,'Parámetros Proyección'!$G$14)+IF((AF15/AI15&gt;'Parámetros Proyección'!$G$15),0,'Parámetros Proyección'!$G$15)))</f>
        <v/>
      </c>
      <c r="V15" s="35">
        <f>T15+U15</f>
        <v/>
      </c>
      <c r="W15" s="35">
        <f>AB14</f>
        <v/>
      </c>
      <c r="X15" s="35">
        <f>W15*(1+'Parámetros Proyección'!$E$14)</f>
        <v/>
      </c>
      <c r="Y15" s="35">
        <f>X15*'Parámetros Proyección'!$F$14</f>
        <v/>
      </c>
      <c r="Z15" s="35">
        <f>X15+Y15</f>
        <v/>
      </c>
      <c r="AA15" s="35">
        <f>IF((Z15/AI15&gt;'Parámetros Proyección'!$G$14),0,D15*'Parámetros Proyección'!$G$14/(IF((H15/AI15&gt;'Parámetros Proyección'!$G$11),0,'Parámetros Proyección'!$G$11)+IF((N15/AI15&gt;'Parámetros Proyección'!$G$12),0,'Parámetros Proyección'!$G$12)+IF((T15/AI15&gt;'Parámetros Proyección'!$G$13),0,'Parámetros Proyección'!$G$13)+IF((Z15/AI15&gt;'Parámetros Proyección'!$G$14),0,'Parámetros Proyección'!$G$14)+IF((AF15/AI15&gt;'Parámetros Proyección'!$G$15),0,'Parámetros Proyección'!$G$15)))</f>
        <v/>
      </c>
      <c r="AB15" s="35">
        <f>Z15+AA15</f>
        <v/>
      </c>
      <c r="AC15" s="35">
        <f>AH14</f>
        <v/>
      </c>
      <c r="AD15" s="35">
        <f>AC15*(1+'Parámetros Proyección'!$E$15)</f>
        <v/>
      </c>
      <c r="AE15" s="35">
        <f>AD15*'Parámetros Proyección'!$F$15</f>
        <v/>
      </c>
      <c r="AF15" s="35">
        <f>AD15+AE15</f>
        <v/>
      </c>
      <c r="AG15" s="35">
        <f>IF((AF15/AI15&gt;'Parámetros Proyección'!$G$15),0,D15*'Parámetros Proyección'!$G$15/(IF((H15/AI15&gt;'Parámetros Proyección'!$G$11),0,'Parámetros Proyección'!$G$11)+IF((N15/AI15&gt;'Parámetros Proyección'!$G$12),0,'Parámetros Proyección'!$G$12)+IF((T15/AI15&gt;'Parámetros Proyección'!$G$13),0,'Parámetros Proyección'!$G$13)+IF((Z15/AI15&gt;'Parámetros Proyección'!$G$14),0,'Parámetros Proyección'!$G$14)+IF((AF15/AI15&gt;'Parámetros Proyección'!$G$15),0,'Parámetros Proyección'!$G$15)))</f>
        <v/>
      </c>
      <c r="AH15" s="35">
        <f>AF15+AG15</f>
        <v/>
      </c>
      <c r="AI15" s="35">
        <f>H15+N15+T15+Z15+AF15</f>
        <v/>
      </c>
      <c r="AJ15" s="33">
        <f>AF15/AI15</f>
        <v/>
      </c>
      <c r="AK15">
        <f>IF(AJ15&gt;'Parámetros Proyección'!$B$5,1,0)</f>
        <v/>
      </c>
      <c r="AL15" s="35">
        <f>G15+M15+S15+Y15+AE15</f>
        <v/>
      </c>
      <c r="AM15" s="35">
        <f>AM14+D15</f>
        <v/>
      </c>
      <c r="AN15" s="35">
        <f>AN14+AL15</f>
        <v/>
      </c>
      <c r="AO15" s="35">
        <f>J15+P15+V15+AB15+AH15</f>
        <v/>
      </c>
    </row>
    <row r="16">
      <c r="A16" t="n">
        <v>13</v>
      </c>
      <c r="B16" s="34">
        <f>EDATE(B15,1)</f>
        <v/>
      </c>
      <c r="C16">
        <f>YEAR(B16)</f>
        <v/>
      </c>
      <c r="D16" s="35">
        <f>'Parámetros Proyección'!$B$3*(1+'Parámetros Proyección'!$B$4)^(C16-YEAR('Parámetros Proyección'!$B$6))</f>
        <v/>
      </c>
      <c r="E16" s="35">
        <f>J15</f>
        <v/>
      </c>
      <c r="F16" s="35">
        <f>E16*(1+'Parámetros Proyección'!$E$11)</f>
        <v/>
      </c>
      <c r="G16" s="35">
        <f>F16*'Parámetros Proyección'!$F$11</f>
        <v/>
      </c>
      <c r="H16" s="35">
        <f>F16+G16</f>
        <v/>
      </c>
      <c r="I16" s="35">
        <f>IF((H16/AI16&gt;'Parámetros Proyección'!$G$11),0,D16*'Parámetros Proyección'!$G$11/(IF((H16/AI16&gt;'Parámetros Proyección'!$G$11),0,'Parámetros Proyección'!$G$11)+IF((N16/AI16&gt;'Parámetros Proyección'!$G$12),0,'Parámetros Proyección'!$G$12)+IF((T16/AI16&gt;'Parámetros Proyección'!$G$13),0,'Parámetros Proyección'!$G$13)+IF((Z16/AI16&gt;'Parámetros Proyección'!$G$14),0,'Parámetros Proyección'!$G$14)+IF((AF16/AI16&gt;'Parámetros Proyección'!$G$15),0,'Parámetros Proyección'!$G$15)))</f>
        <v/>
      </c>
      <c r="J16" s="35">
        <f>H16+I16</f>
        <v/>
      </c>
      <c r="K16" s="35">
        <f>P15</f>
        <v/>
      </c>
      <c r="L16" s="35">
        <f>K16*(1+'Parámetros Proyección'!$E$12)</f>
        <v/>
      </c>
      <c r="M16" s="35">
        <f>L16*'Parámetros Proyección'!$F$12</f>
        <v/>
      </c>
      <c r="N16" s="35">
        <f>L16+M16</f>
        <v/>
      </c>
      <c r="O16" s="35">
        <f>IF((N16/AI16&gt;'Parámetros Proyección'!$G$12),0,D16*'Parámetros Proyección'!$G$12/(IF((H16/AI16&gt;'Parámetros Proyección'!$G$11),0,'Parámetros Proyección'!$G$11)+IF((N16/AI16&gt;'Parámetros Proyección'!$G$12),0,'Parámetros Proyección'!$G$12)+IF((T16/AI16&gt;'Parámetros Proyección'!$G$13),0,'Parámetros Proyección'!$G$13)+IF((Z16/AI16&gt;'Parámetros Proyección'!$G$14),0,'Parámetros Proyección'!$G$14)+IF((AF16/AI16&gt;'Parámetros Proyección'!$G$15),0,'Parámetros Proyección'!$G$15)))</f>
        <v/>
      </c>
      <c r="P16" s="35">
        <f>N16+O16</f>
        <v/>
      </c>
      <c r="Q16" s="35">
        <f>V15</f>
        <v/>
      </c>
      <c r="R16" s="35">
        <f>Q16*(1+'Parámetros Proyección'!$E$13)</f>
        <v/>
      </c>
      <c r="S16" s="35">
        <f>R16*'Parámetros Proyección'!$F$13</f>
        <v/>
      </c>
      <c r="T16" s="35">
        <f>R16+S16</f>
        <v/>
      </c>
      <c r="U16" s="35">
        <f>IF((T16/AI16&gt;'Parámetros Proyección'!$G$13),0,D16*'Parámetros Proyección'!$G$13/(IF((H16/AI16&gt;'Parámetros Proyección'!$G$11),0,'Parámetros Proyección'!$G$11)+IF((N16/AI16&gt;'Parámetros Proyección'!$G$12),0,'Parámetros Proyección'!$G$12)+IF((T16/AI16&gt;'Parámetros Proyección'!$G$13),0,'Parámetros Proyección'!$G$13)+IF((Z16/AI16&gt;'Parámetros Proyección'!$G$14),0,'Parámetros Proyección'!$G$14)+IF((AF16/AI16&gt;'Parámetros Proyección'!$G$15),0,'Parámetros Proyección'!$G$15)))</f>
        <v/>
      </c>
      <c r="V16" s="35">
        <f>T16+U16</f>
        <v/>
      </c>
      <c r="W16" s="35">
        <f>AB15</f>
        <v/>
      </c>
      <c r="X16" s="35">
        <f>W16*(1+'Parámetros Proyección'!$E$14)</f>
        <v/>
      </c>
      <c r="Y16" s="35">
        <f>X16*'Parámetros Proyección'!$F$14</f>
        <v/>
      </c>
      <c r="Z16" s="35">
        <f>X16+Y16</f>
        <v/>
      </c>
      <c r="AA16" s="35">
        <f>IF((Z16/AI16&gt;'Parámetros Proyección'!$G$14),0,D16*'Parámetros Proyección'!$G$14/(IF((H16/AI16&gt;'Parámetros Proyección'!$G$11),0,'Parámetros Proyección'!$G$11)+IF((N16/AI16&gt;'Parámetros Proyección'!$G$12),0,'Parámetros Proyección'!$G$12)+IF((T16/AI16&gt;'Parámetros Proyección'!$G$13),0,'Parámetros Proyección'!$G$13)+IF((Z16/AI16&gt;'Parámetros Proyección'!$G$14),0,'Parámetros Proyección'!$G$14)+IF((AF16/AI16&gt;'Parámetros Proyección'!$G$15),0,'Parámetros Proyección'!$G$15)))</f>
        <v/>
      </c>
      <c r="AB16" s="35">
        <f>Z16+AA16</f>
        <v/>
      </c>
      <c r="AC16" s="35">
        <f>AH15</f>
        <v/>
      </c>
      <c r="AD16" s="35">
        <f>AC16*(1+'Parámetros Proyección'!$E$15)</f>
        <v/>
      </c>
      <c r="AE16" s="35">
        <f>AD16*'Parámetros Proyección'!$F$15</f>
        <v/>
      </c>
      <c r="AF16" s="35">
        <f>AD16+AE16</f>
        <v/>
      </c>
      <c r="AG16" s="35">
        <f>IF((AF16/AI16&gt;'Parámetros Proyección'!$G$15),0,D16*'Parámetros Proyección'!$G$15/(IF((H16/AI16&gt;'Parámetros Proyección'!$G$11),0,'Parámetros Proyección'!$G$11)+IF((N16/AI16&gt;'Parámetros Proyección'!$G$12),0,'Parámetros Proyección'!$G$12)+IF((T16/AI16&gt;'Parámetros Proyección'!$G$13),0,'Parámetros Proyección'!$G$13)+IF((Z16/AI16&gt;'Parámetros Proyección'!$G$14),0,'Parámetros Proyección'!$G$14)+IF((AF16/AI16&gt;'Parámetros Proyección'!$G$15),0,'Parámetros Proyección'!$G$15)))</f>
        <v/>
      </c>
      <c r="AH16" s="35">
        <f>AF16+AG16</f>
        <v/>
      </c>
      <c r="AI16" s="35">
        <f>H16+N16+T16+Z16+AF16</f>
        <v/>
      </c>
      <c r="AJ16" s="33">
        <f>AF16/AI16</f>
        <v/>
      </c>
      <c r="AK16">
        <f>IF(AJ16&gt;'Parámetros Proyección'!$B$5,1,0)</f>
        <v/>
      </c>
      <c r="AL16" s="35">
        <f>G16+M16+S16+Y16+AE16</f>
        <v/>
      </c>
      <c r="AM16" s="35">
        <f>AM15+D16</f>
        <v/>
      </c>
      <c r="AN16" s="35">
        <f>AN15+AL16</f>
        <v/>
      </c>
      <c r="AO16" s="35">
        <f>J16+P16+V16+AB16+AH16</f>
        <v/>
      </c>
    </row>
    <row r="17">
      <c r="A17" t="n">
        <v>14</v>
      </c>
      <c r="B17" s="34">
        <f>EDATE(B16,1)</f>
        <v/>
      </c>
      <c r="C17">
        <f>YEAR(B17)</f>
        <v/>
      </c>
      <c r="D17" s="35">
        <f>'Parámetros Proyección'!$B$3*(1+'Parámetros Proyección'!$B$4)^(C17-YEAR('Parámetros Proyección'!$B$6))</f>
        <v/>
      </c>
      <c r="E17" s="35">
        <f>J16</f>
        <v/>
      </c>
      <c r="F17" s="35">
        <f>E17*(1+'Parámetros Proyección'!$E$11)</f>
        <v/>
      </c>
      <c r="G17" s="35">
        <f>F17*'Parámetros Proyección'!$F$11</f>
        <v/>
      </c>
      <c r="H17" s="35">
        <f>F17+G17</f>
        <v/>
      </c>
      <c r="I17" s="35">
        <f>IF((H17/AI17&gt;'Parámetros Proyección'!$G$11),0,D17*'Parámetros Proyección'!$G$11/(IF((H17/AI17&gt;'Parámetros Proyección'!$G$11),0,'Parámetros Proyección'!$G$11)+IF((N17/AI17&gt;'Parámetros Proyección'!$G$12),0,'Parámetros Proyección'!$G$12)+IF((T17/AI17&gt;'Parámetros Proyección'!$G$13),0,'Parámetros Proyección'!$G$13)+IF((Z17/AI17&gt;'Parámetros Proyección'!$G$14),0,'Parámetros Proyección'!$G$14)+IF((AF17/AI17&gt;'Parámetros Proyección'!$G$15),0,'Parámetros Proyección'!$G$15)))</f>
        <v/>
      </c>
      <c r="J17" s="35">
        <f>H17+I17</f>
        <v/>
      </c>
      <c r="K17" s="35">
        <f>P16</f>
        <v/>
      </c>
      <c r="L17" s="35">
        <f>K17*(1+'Parámetros Proyección'!$E$12)</f>
        <v/>
      </c>
      <c r="M17" s="35">
        <f>L17*'Parámetros Proyección'!$F$12</f>
        <v/>
      </c>
      <c r="N17" s="35">
        <f>L17+M17</f>
        <v/>
      </c>
      <c r="O17" s="35">
        <f>IF((N17/AI17&gt;'Parámetros Proyección'!$G$12),0,D17*'Parámetros Proyección'!$G$12/(IF((H17/AI17&gt;'Parámetros Proyección'!$G$11),0,'Parámetros Proyección'!$G$11)+IF((N17/AI17&gt;'Parámetros Proyección'!$G$12),0,'Parámetros Proyección'!$G$12)+IF((T17/AI17&gt;'Parámetros Proyección'!$G$13),0,'Parámetros Proyección'!$G$13)+IF((Z17/AI17&gt;'Parámetros Proyección'!$G$14),0,'Parámetros Proyección'!$G$14)+IF((AF17/AI17&gt;'Parámetros Proyección'!$G$15),0,'Parámetros Proyección'!$G$15)))</f>
        <v/>
      </c>
      <c r="P17" s="35">
        <f>N17+O17</f>
        <v/>
      </c>
      <c r="Q17" s="35">
        <f>V16</f>
        <v/>
      </c>
      <c r="R17" s="35">
        <f>Q17*(1+'Parámetros Proyección'!$E$13)</f>
        <v/>
      </c>
      <c r="S17" s="35">
        <f>R17*'Parámetros Proyección'!$F$13</f>
        <v/>
      </c>
      <c r="T17" s="35">
        <f>R17+S17</f>
        <v/>
      </c>
      <c r="U17" s="35">
        <f>IF((T17/AI17&gt;'Parámetros Proyección'!$G$13),0,D17*'Parámetros Proyección'!$G$13/(IF((H17/AI17&gt;'Parámetros Proyección'!$G$11),0,'Parámetros Proyección'!$G$11)+IF((N17/AI17&gt;'Parámetros Proyección'!$G$12),0,'Parámetros Proyección'!$G$12)+IF((T17/AI17&gt;'Parámetros Proyección'!$G$13),0,'Parámetros Proyección'!$G$13)+IF((Z17/AI17&gt;'Parámetros Proyección'!$G$14),0,'Parámetros Proyección'!$G$14)+IF((AF17/AI17&gt;'Parámetros Proyección'!$G$15),0,'Parámetros Proyección'!$G$15)))</f>
        <v/>
      </c>
      <c r="V17" s="35">
        <f>T17+U17</f>
        <v/>
      </c>
      <c r="W17" s="35">
        <f>AB16</f>
        <v/>
      </c>
      <c r="X17" s="35">
        <f>W17*(1+'Parámetros Proyección'!$E$14)</f>
        <v/>
      </c>
      <c r="Y17" s="35">
        <f>X17*'Parámetros Proyección'!$F$14</f>
        <v/>
      </c>
      <c r="Z17" s="35">
        <f>X17+Y17</f>
        <v/>
      </c>
      <c r="AA17" s="35">
        <f>IF((Z17/AI17&gt;'Parámetros Proyección'!$G$14),0,D17*'Parámetros Proyección'!$G$14/(IF((H17/AI17&gt;'Parámetros Proyección'!$G$11),0,'Parámetros Proyección'!$G$11)+IF((N17/AI17&gt;'Parámetros Proyección'!$G$12),0,'Parámetros Proyección'!$G$12)+IF((T17/AI17&gt;'Parámetros Proyección'!$G$13),0,'Parámetros Proyección'!$G$13)+IF((Z17/AI17&gt;'Parámetros Proyección'!$G$14),0,'Parámetros Proyección'!$G$14)+IF((AF17/AI17&gt;'Parámetros Proyección'!$G$15),0,'Parámetros Proyección'!$G$15)))</f>
        <v/>
      </c>
      <c r="AB17" s="35">
        <f>Z17+AA17</f>
        <v/>
      </c>
      <c r="AC17" s="35">
        <f>AH16</f>
        <v/>
      </c>
      <c r="AD17" s="35">
        <f>AC17*(1+'Parámetros Proyección'!$E$15)</f>
        <v/>
      </c>
      <c r="AE17" s="35">
        <f>AD17*'Parámetros Proyección'!$F$15</f>
        <v/>
      </c>
      <c r="AF17" s="35">
        <f>AD17+AE17</f>
        <v/>
      </c>
      <c r="AG17" s="35">
        <f>IF((AF17/AI17&gt;'Parámetros Proyección'!$G$15),0,D17*'Parámetros Proyección'!$G$15/(IF((H17/AI17&gt;'Parámetros Proyección'!$G$11),0,'Parámetros Proyección'!$G$11)+IF((N17/AI17&gt;'Parámetros Proyección'!$G$12),0,'Parámetros Proyección'!$G$12)+IF((T17/AI17&gt;'Parámetros Proyección'!$G$13),0,'Parámetros Proyección'!$G$13)+IF((Z17/AI17&gt;'Parámetros Proyección'!$G$14),0,'Parámetros Proyección'!$G$14)+IF((AF17/AI17&gt;'Parámetros Proyección'!$G$15),0,'Parámetros Proyección'!$G$15)))</f>
        <v/>
      </c>
      <c r="AH17" s="35">
        <f>AF17+AG17</f>
        <v/>
      </c>
      <c r="AI17" s="35">
        <f>H17+N17+T17+Z17+AF17</f>
        <v/>
      </c>
      <c r="AJ17" s="33">
        <f>AF17/AI17</f>
        <v/>
      </c>
      <c r="AK17">
        <f>IF(AJ17&gt;'Parámetros Proyección'!$B$5,1,0)</f>
        <v/>
      </c>
      <c r="AL17" s="35">
        <f>G17+M17+S17+Y17+AE17</f>
        <v/>
      </c>
      <c r="AM17" s="35">
        <f>AM16+D17</f>
        <v/>
      </c>
      <c r="AN17" s="35">
        <f>AN16+AL17</f>
        <v/>
      </c>
      <c r="AO17" s="35">
        <f>J17+P17+V17+AB17+AH17</f>
        <v/>
      </c>
    </row>
    <row r="18">
      <c r="A18" t="n">
        <v>15</v>
      </c>
      <c r="B18" s="34">
        <f>EDATE(B17,1)</f>
        <v/>
      </c>
      <c r="C18">
        <f>YEAR(B18)</f>
        <v/>
      </c>
      <c r="D18" s="35">
        <f>'Parámetros Proyección'!$B$3*(1+'Parámetros Proyección'!$B$4)^(C18-YEAR('Parámetros Proyección'!$B$6))</f>
        <v/>
      </c>
      <c r="E18" s="35">
        <f>J17</f>
        <v/>
      </c>
      <c r="F18" s="35">
        <f>E18*(1+'Parámetros Proyección'!$E$11)</f>
        <v/>
      </c>
      <c r="G18" s="35">
        <f>F18*'Parámetros Proyección'!$F$11</f>
        <v/>
      </c>
      <c r="H18" s="35">
        <f>F18+G18</f>
        <v/>
      </c>
      <c r="I18" s="35">
        <f>IF((H18/AI18&gt;'Parámetros Proyección'!$G$11),0,D18*'Parámetros Proyección'!$G$11/(IF((H18/AI18&gt;'Parámetros Proyección'!$G$11),0,'Parámetros Proyección'!$G$11)+IF((N18/AI18&gt;'Parámetros Proyección'!$G$12),0,'Parámetros Proyección'!$G$12)+IF((T18/AI18&gt;'Parámetros Proyección'!$G$13),0,'Parámetros Proyección'!$G$13)+IF((Z18/AI18&gt;'Parámetros Proyección'!$G$14),0,'Parámetros Proyección'!$G$14)+IF((AF18/AI18&gt;'Parámetros Proyección'!$G$15),0,'Parámetros Proyección'!$G$15)))</f>
        <v/>
      </c>
      <c r="J18" s="35">
        <f>H18+I18</f>
        <v/>
      </c>
      <c r="K18" s="35">
        <f>P17</f>
        <v/>
      </c>
      <c r="L18" s="35">
        <f>K18*(1+'Parámetros Proyección'!$E$12)</f>
        <v/>
      </c>
      <c r="M18" s="35">
        <f>L18*'Parámetros Proyección'!$F$12</f>
        <v/>
      </c>
      <c r="N18" s="35">
        <f>L18+M18</f>
        <v/>
      </c>
      <c r="O18" s="35">
        <f>IF((N18/AI18&gt;'Parámetros Proyección'!$G$12),0,D18*'Parámetros Proyección'!$G$12/(IF((H18/AI18&gt;'Parámetros Proyección'!$G$11),0,'Parámetros Proyección'!$G$11)+IF((N18/AI18&gt;'Parámetros Proyección'!$G$12),0,'Parámetros Proyección'!$G$12)+IF((T18/AI18&gt;'Parámetros Proyección'!$G$13),0,'Parámetros Proyección'!$G$13)+IF((Z18/AI18&gt;'Parámetros Proyección'!$G$14),0,'Parámetros Proyección'!$G$14)+IF((AF18/AI18&gt;'Parámetros Proyección'!$G$15),0,'Parámetros Proyección'!$G$15)))</f>
        <v/>
      </c>
      <c r="P18" s="35">
        <f>N18+O18</f>
        <v/>
      </c>
      <c r="Q18" s="35">
        <f>V17</f>
        <v/>
      </c>
      <c r="R18" s="35">
        <f>Q18*(1+'Parámetros Proyección'!$E$13)</f>
        <v/>
      </c>
      <c r="S18" s="35">
        <f>R18*'Parámetros Proyección'!$F$13</f>
        <v/>
      </c>
      <c r="T18" s="35">
        <f>R18+S18</f>
        <v/>
      </c>
      <c r="U18" s="35">
        <f>IF((T18/AI18&gt;'Parámetros Proyección'!$G$13),0,D18*'Parámetros Proyección'!$G$13/(IF((H18/AI18&gt;'Parámetros Proyección'!$G$11),0,'Parámetros Proyección'!$G$11)+IF((N18/AI18&gt;'Parámetros Proyección'!$G$12),0,'Parámetros Proyección'!$G$12)+IF((T18/AI18&gt;'Parámetros Proyección'!$G$13),0,'Parámetros Proyección'!$G$13)+IF((Z18/AI18&gt;'Parámetros Proyección'!$G$14),0,'Parámetros Proyección'!$G$14)+IF((AF18/AI18&gt;'Parámetros Proyección'!$G$15),0,'Parámetros Proyección'!$G$15)))</f>
        <v/>
      </c>
      <c r="V18" s="35">
        <f>T18+U18</f>
        <v/>
      </c>
      <c r="W18" s="35">
        <f>AB17</f>
        <v/>
      </c>
      <c r="X18" s="35">
        <f>W18*(1+'Parámetros Proyección'!$E$14)</f>
        <v/>
      </c>
      <c r="Y18" s="35">
        <f>X18*'Parámetros Proyección'!$F$14</f>
        <v/>
      </c>
      <c r="Z18" s="35">
        <f>X18+Y18</f>
        <v/>
      </c>
      <c r="AA18" s="35">
        <f>IF((Z18/AI18&gt;'Parámetros Proyección'!$G$14),0,D18*'Parámetros Proyección'!$G$14/(IF((H18/AI18&gt;'Parámetros Proyección'!$G$11),0,'Parámetros Proyección'!$G$11)+IF((N18/AI18&gt;'Parámetros Proyección'!$G$12),0,'Parámetros Proyección'!$G$12)+IF((T18/AI18&gt;'Parámetros Proyección'!$G$13),0,'Parámetros Proyección'!$G$13)+IF((Z18/AI18&gt;'Parámetros Proyección'!$G$14),0,'Parámetros Proyección'!$G$14)+IF((AF18/AI18&gt;'Parámetros Proyección'!$G$15),0,'Parámetros Proyección'!$G$15)))</f>
        <v/>
      </c>
      <c r="AB18" s="35">
        <f>Z18+AA18</f>
        <v/>
      </c>
      <c r="AC18" s="35">
        <f>AH17</f>
        <v/>
      </c>
      <c r="AD18" s="35">
        <f>AC18*(1+'Parámetros Proyección'!$E$15)</f>
        <v/>
      </c>
      <c r="AE18" s="35">
        <f>AD18*'Parámetros Proyección'!$F$15</f>
        <v/>
      </c>
      <c r="AF18" s="35">
        <f>AD18+AE18</f>
        <v/>
      </c>
      <c r="AG18" s="35">
        <f>IF((AF18/AI18&gt;'Parámetros Proyección'!$G$15),0,D18*'Parámetros Proyección'!$G$15/(IF((H18/AI18&gt;'Parámetros Proyección'!$G$11),0,'Parámetros Proyección'!$G$11)+IF((N18/AI18&gt;'Parámetros Proyección'!$G$12),0,'Parámetros Proyección'!$G$12)+IF((T18/AI18&gt;'Parámetros Proyección'!$G$13),0,'Parámetros Proyección'!$G$13)+IF((Z18/AI18&gt;'Parámetros Proyección'!$G$14),0,'Parámetros Proyección'!$G$14)+IF((AF18/AI18&gt;'Parámetros Proyección'!$G$15),0,'Parámetros Proyección'!$G$15)))</f>
        <v/>
      </c>
      <c r="AH18" s="35">
        <f>AF18+AG18</f>
        <v/>
      </c>
      <c r="AI18" s="35">
        <f>H18+N18+T18+Z18+AF18</f>
        <v/>
      </c>
      <c r="AJ18" s="33">
        <f>AF18/AI18</f>
        <v/>
      </c>
      <c r="AK18">
        <f>IF(AJ18&gt;'Parámetros Proyección'!$B$5,1,0)</f>
        <v/>
      </c>
      <c r="AL18" s="35">
        <f>G18+M18+S18+Y18+AE18</f>
        <v/>
      </c>
      <c r="AM18" s="35">
        <f>AM17+D18</f>
        <v/>
      </c>
      <c r="AN18" s="35">
        <f>AN17+AL18</f>
        <v/>
      </c>
      <c r="AO18" s="35">
        <f>J18+P18+V18+AB18+AH18</f>
        <v/>
      </c>
    </row>
    <row r="19">
      <c r="A19" t="n">
        <v>16</v>
      </c>
      <c r="B19" s="34">
        <f>EDATE(B18,1)</f>
        <v/>
      </c>
      <c r="C19">
        <f>YEAR(B19)</f>
        <v/>
      </c>
      <c r="D19" s="35">
        <f>'Parámetros Proyección'!$B$3*(1+'Parámetros Proyección'!$B$4)^(C19-YEAR('Parámetros Proyección'!$B$6))</f>
        <v/>
      </c>
      <c r="E19" s="35">
        <f>J18</f>
        <v/>
      </c>
      <c r="F19" s="35">
        <f>E19*(1+'Parámetros Proyección'!$E$11)</f>
        <v/>
      </c>
      <c r="G19" s="35">
        <f>F19*'Parámetros Proyección'!$F$11</f>
        <v/>
      </c>
      <c r="H19" s="35">
        <f>F19+G19</f>
        <v/>
      </c>
      <c r="I19" s="35">
        <f>IF((H19/AI19&gt;'Parámetros Proyección'!$G$11),0,D19*'Parámetros Proyección'!$G$11/(IF((H19/AI19&gt;'Parámetros Proyección'!$G$11),0,'Parámetros Proyección'!$G$11)+IF((N19/AI19&gt;'Parámetros Proyección'!$G$12),0,'Parámetros Proyección'!$G$12)+IF((T19/AI19&gt;'Parámetros Proyección'!$G$13),0,'Parámetros Proyección'!$G$13)+IF((Z19/AI19&gt;'Parámetros Proyección'!$G$14),0,'Parámetros Proyección'!$G$14)+IF((AF19/AI19&gt;'Parámetros Proyección'!$G$15),0,'Parámetros Proyección'!$G$15)))</f>
        <v/>
      </c>
      <c r="J19" s="35">
        <f>H19+I19</f>
        <v/>
      </c>
      <c r="K19" s="35">
        <f>P18</f>
        <v/>
      </c>
      <c r="L19" s="35">
        <f>K19*(1+'Parámetros Proyección'!$E$12)</f>
        <v/>
      </c>
      <c r="M19" s="35">
        <f>L19*'Parámetros Proyección'!$F$12</f>
        <v/>
      </c>
      <c r="N19" s="35">
        <f>L19+M19</f>
        <v/>
      </c>
      <c r="O19" s="35">
        <f>IF((N19/AI19&gt;'Parámetros Proyección'!$G$12),0,D19*'Parámetros Proyección'!$G$12/(IF((H19/AI19&gt;'Parámetros Proyección'!$G$11),0,'Parámetros Proyección'!$G$11)+IF((N19/AI19&gt;'Parámetros Proyección'!$G$12),0,'Parámetros Proyección'!$G$12)+IF((T19/AI19&gt;'Parámetros Proyección'!$G$13),0,'Parámetros Proyección'!$G$13)+IF((Z19/AI19&gt;'Parámetros Proyección'!$G$14),0,'Parámetros Proyección'!$G$14)+IF((AF19/AI19&gt;'Parámetros Proyección'!$G$15),0,'Parámetros Proyección'!$G$15)))</f>
        <v/>
      </c>
      <c r="P19" s="35">
        <f>N19+O19</f>
        <v/>
      </c>
      <c r="Q19" s="35">
        <f>V18</f>
        <v/>
      </c>
      <c r="R19" s="35">
        <f>Q19*(1+'Parámetros Proyección'!$E$13)</f>
        <v/>
      </c>
      <c r="S19" s="35">
        <f>R19*'Parámetros Proyección'!$F$13</f>
        <v/>
      </c>
      <c r="T19" s="35">
        <f>R19+S19</f>
        <v/>
      </c>
      <c r="U19" s="35">
        <f>IF((T19/AI19&gt;'Parámetros Proyección'!$G$13),0,D19*'Parámetros Proyección'!$G$13/(IF((H19/AI19&gt;'Parámetros Proyección'!$G$11),0,'Parámetros Proyección'!$G$11)+IF((N19/AI19&gt;'Parámetros Proyección'!$G$12),0,'Parámetros Proyección'!$G$12)+IF((T19/AI19&gt;'Parámetros Proyección'!$G$13),0,'Parámetros Proyección'!$G$13)+IF((Z19/AI19&gt;'Parámetros Proyección'!$G$14),0,'Parámetros Proyección'!$G$14)+IF((AF19/AI19&gt;'Parámetros Proyección'!$G$15),0,'Parámetros Proyección'!$G$15)))</f>
        <v/>
      </c>
      <c r="V19" s="35">
        <f>T19+U19</f>
        <v/>
      </c>
      <c r="W19" s="35">
        <f>AB18</f>
        <v/>
      </c>
      <c r="X19" s="35">
        <f>W19*(1+'Parámetros Proyección'!$E$14)</f>
        <v/>
      </c>
      <c r="Y19" s="35">
        <f>X19*'Parámetros Proyección'!$F$14</f>
        <v/>
      </c>
      <c r="Z19" s="35">
        <f>X19+Y19</f>
        <v/>
      </c>
      <c r="AA19" s="35">
        <f>IF((Z19/AI19&gt;'Parámetros Proyección'!$G$14),0,D19*'Parámetros Proyección'!$G$14/(IF((H19/AI19&gt;'Parámetros Proyección'!$G$11),0,'Parámetros Proyección'!$G$11)+IF((N19/AI19&gt;'Parámetros Proyección'!$G$12),0,'Parámetros Proyección'!$G$12)+IF((T19/AI19&gt;'Parámetros Proyección'!$G$13),0,'Parámetros Proyección'!$G$13)+IF((Z19/AI19&gt;'Parámetros Proyección'!$G$14),0,'Parámetros Proyección'!$G$14)+IF((AF19/AI19&gt;'Parámetros Proyección'!$G$15),0,'Parámetros Proyección'!$G$15)))</f>
        <v/>
      </c>
      <c r="AB19" s="35">
        <f>Z19+AA19</f>
        <v/>
      </c>
      <c r="AC19" s="35">
        <f>AH18</f>
        <v/>
      </c>
      <c r="AD19" s="35">
        <f>AC19*(1+'Parámetros Proyección'!$E$15)</f>
        <v/>
      </c>
      <c r="AE19" s="35">
        <f>AD19*'Parámetros Proyección'!$F$15</f>
        <v/>
      </c>
      <c r="AF19" s="35">
        <f>AD19+AE19</f>
        <v/>
      </c>
      <c r="AG19" s="35">
        <f>IF((AF19/AI19&gt;'Parámetros Proyección'!$G$15),0,D19*'Parámetros Proyección'!$G$15/(IF((H19/AI19&gt;'Parámetros Proyección'!$G$11),0,'Parámetros Proyección'!$G$11)+IF((N19/AI19&gt;'Parámetros Proyección'!$G$12),0,'Parámetros Proyección'!$G$12)+IF((T19/AI19&gt;'Parámetros Proyección'!$G$13),0,'Parámetros Proyección'!$G$13)+IF((Z19/AI19&gt;'Parámetros Proyección'!$G$14),0,'Parámetros Proyección'!$G$14)+IF((AF19/AI19&gt;'Parámetros Proyección'!$G$15),0,'Parámetros Proyección'!$G$15)))</f>
        <v/>
      </c>
      <c r="AH19" s="35">
        <f>AF19+AG19</f>
        <v/>
      </c>
      <c r="AI19" s="35">
        <f>H19+N19+T19+Z19+AF19</f>
        <v/>
      </c>
      <c r="AJ19" s="33">
        <f>AF19/AI19</f>
        <v/>
      </c>
      <c r="AK19">
        <f>IF(AJ19&gt;'Parámetros Proyección'!$B$5,1,0)</f>
        <v/>
      </c>
      <c r="AL19" s="35">
        <f>G19+M19+S19+Y19+AE19</f>
        <v/>
      </c>
      <c r="AM19" s="35">
        <f>AM18+D19</f>
        <v/>
      </c>
      <c r="AN19" s="35">
        <f>AN18+AL19</f>
        <v/>
      </c>
      <c r="AO19" s="35">
        <f>J19+P19+V19+AB19+AH19</f>
        <v/>
      </c>
    </row>
    <row r="20">
      <c r="A20" t="n">
        <v>17</v>
      </c>
      <c r="B20" s="34">
        <f>EDATE(B19,1)</f>
        <v/>
      </c>
      <c r="C20">
        <f>YEAR(B20)</f>
        <v/>
      </c>
      <c r="D20" s="35">
        <f>'Parámetros Proyección'!$B$3*(1+'Parámetros Proyección'!$B$4)^(C20-YEAR('Parámetros Proyección'!$B$6))</f>
        <v/>
      </c>
      <c r="E20" s="35">
        <f>J19</f>
        <v/>
      </c>
      <c r="F20" s="35">
        <f>E20*(1+'Parámetros Proyección'!$E$11)</f>
        <v/>
      </c>
      <c r="G20" s="35">
        <f>F20*'Parámetros Proyección'!$F$11</f>
        <v/>
      </c>
      <c r="H20" s="35">
        <f>F20+G20</f>
        <v/>
      </c>
      <c r="I20" s="35">
        <f>IF((H20/AI20&gt;'Parámetros Proyección'!$G$11),0,D20*'Parámetros Proyección'!$G$11/(IF((H20/AI20&gt;'Parámetros Proyección'!$G$11),0,'Parámetros Proyección'!$G$11)+IF((N20/AI20&gt;'Parámetros Proyección'!$G$12),0,'Parámetros Proyección'!$G$12)+IF((T20/AI20&gt;'Parámetros Proyección'!$G$13),0,'Parámetros Proyección'!$G$13)+IF((Z20/AI20&gt;'Parámetros Proyección'!$G$14),0,'Parámetros Proyección'!$G$14)+IF((AF20/AI20&gt;'Parámetros Proyección'!$G$15),0,'Parámetros Proyección'!$G$15)))</f>
        <v/>
      </c>
      <c r="J20" s="35">
        <f>H20+I20</f>
        <v/>
      </c>
      <c r="K20" s="35">
        <f>P19</f>
        <v/>
      </c>
      <c r="L20" s="35">
        <f>K20*(1+'Parámetros Proyección'!$E$12)</f>
        <v/>
      </c>
      <c r="M20" s="35">
        <f>L20*'Parámetros Proyección'!$F$12</f>
        <v/>
      </c>
      <c r="N20" s="35">
        <f>L20+M20</f>
        <v/>
      </c>
      <c r="O20" s="35">
        <f>IF((N20/AI20&gt;'Parámetros Proyección'!$G$12),0,D20*'Parámetros Proyección'!$G$12/(IF((H20/AI20&gt;'Parámetros Proyección'!$G$11),0,'Parámetros Proyección'!$G$11)+IF((N20/AI20&gt;'Parámetros Proyección'!$G$12),0,'Parámetros Proyección'!$G$12)+IF((T20/AI20&gt;'Parámetros Proyección'!$G$13),0,'Parámetros Proyección'!$G$13)+IF((Z20/AI20&gt;'Parámetros Proyección'!$G$14),0,'Parámetros Proyección'!$G$14)+IF((AF20/AI20&gt;'Parámetros Proyección'!$G$15),0,'Parámetros Proyección'!$G$15)))</f>
        <v/>
      </c>
      <c r="P20" s="35">
        <f>N20+O20</f>
        <v/>
      </c>
      <c r="Q20" s="35">
        <f>V19</f>
        <v/>
      </c>
      <c r="R20" s="35">
        <f>Q20*(1+'Parámetros Proyección'!$E$13)</f>
        <v/>
      </c>
      <c r="S20" s="35">
        <f>R20*'Parámetros Proyección'!$F$13</f>
        <v/>
      </c>
      <c r="T20" s="35">
        <f>R20+S20</f>
        <v/>
      </c>
      <c r="U20" s="35">
        <f>IF((T20/AI20&gt;'Parámetros Proyección'!$G$13),0,D20*'Parámetros Proyección'!$G$13/(IF((H20/AI20&gt;'Parámetros Proyección'!$G$11),0,'Parámetros Proyección'!$G$11)+IF((N20/AI20&gt;'Parámetros Proyección'!$G$12),0,'Parámetros Proyección'!$G$12)+IF((T20/AI20&gt;'Parámetros Proyección'!$G$13),0,'Parámetros Proyección'!$G$13)+IF((Z20/AI20&gt;'Parámetros Proyección'!$G$14),0,'Parámetros Proyección'!$G$14)+IF((AF20/AI20&gt;'Parámetros Proyección'!$G$15),0,'Parámetros Proyección'!$G$15)))</f>
        <v/>
      </c>
      <c r="V20" s="35">
        <f>T20+U20</f>
        <v/>
      </c>
      <c r="W20" s="35">
        <f>AB19</f>
        <v/>
      </c>
      <c r="X20" s="35">
        <f>W20*(1+'Parámetros Proyección'!$E$14)</f>
        <v/>
      </c>
      <c r="Y20" s="35">
        <f>X20*'Parámetros Proyección'!$F$14</f>
        <v/>
      </c>
      <c r="Z20" s="35">
        <f>X20+Y20</f>
        <v/>
      </c>
      <c r="AA20" s="35">
        <f>IF((Z20/AI20&gt;'Parámetros Proyección'!$G$14),0,D20*'Parámetros Proyección'!$G$14/(IF((H20/AI20&gt;'Parámetros Proyección'!$G$11),0,'Parámetros Proyección'!$G$11)+IF((N20/AI20&gt;'Parámetros Proyección'!$G$12),0,'Parámetros Proyección'!$G$12)+IF((T20/AI20&gt;'Parámetros Proyección'!$G$13),0,'Parámetros Proyección'!$G$13)+IF((Z20/AI20&gt;'Parámetros Proyección'!$G$14),0,'Parámetros Proyección'!$G$14)+IF((AF20/AI20&gt;'Parámetros Proyección'!$G$15),0,'Parámetros Proyección'!$G$15)))</f>
        <v/>
      </c>
      <c r="AB20" s="35">
        <f>Z20+AA20</f>
        <v/>
      </c>
      <c r="AC20" s="35">
        <f>AH19</f>
        <v/>
      </c>
      <c r="AD20" s="35">
        <f>AC20*(1+'Parámetros Proyección'!$E$15)</f>
        <v/>
      </c>
      <c r="AE20" s="35">
        <f>AD20*'Parámetros Proyección'!$F$15</f>
        <v/>
      </c>
      <c r="AF20" s="35">
        <f>AD20+AE20</f>
        <v/>
      </c>
      <c r="AG20" s="35">
        <f>IF((AF20/AI20&gt;'Parámetros Proyección'!$G$15),0,D20*'Parámetros Proyección'!$G$15/(IF((H20/AI20&gt;'Parámetros Proyección'!$G$11),0,'Parámetros Proyección'!$G$11)+IF((N20/AI20&gt;'Parámetros Proyección'!$G$12),0,'Parámetros Proyección'!$G$12)+IF((T20/AI20&gt;'Parámetros Proyección'!$G$13),0,'Parámetros Proyección'!$G$13)+IF((Z20/AI20&gt;'Parámetros Proyección'!$G$14),0,'Parámetros Proyección'!$G$14)+IF((AF20/AI20&gt;'Parámetros Proyección'!$G$15),0,'Parámetros Proyección'!$G$15)))</f>
        <v/>
      </c>
      <c r="AH20" s="35">
        <f>AF20+AG20</f>
        <v/>
      </c>
      <c r="AI20" s="35">
        <f>H20+N20+T20+Z20+AF20</f>
        <v/>
      </c>
      <c r="AJ20" s="33">
        <f>AF20/AI20</f>
        <v/>
      </c>
      <c r="AK20">
        <f>IF(AJ20&gt;'Parámetros Proyección'!$B$5,1,0)</f>
        <v/>
      </c>
      <c r="AL20" s="35">
        <f>G20+M20+S20+Y20+AE20</f>
        <v/>
      </c>
      <c r="AM20" s="35">
        <f>AM19+D20</f>
        <v/>
      </c>
      <c r="AN20" s="35">
        <f>AN19+AL20</f>
        <v/>
      </c>
      <c r="AO20" s="35">
        <f>J20+P20+V20+AB20+AH20</f>
        <v/>
      </c>
    </row>
    <row r="21">
      <c r="A21" t="n">
        <v>18</v>
      </c>
      <c r="B21" s="34">
        <f>EDATE(B20,1)</f>
        <v/>
      </c>
      <c r="C21">
        <f>YEAR(B21)</f>
        <v/>
      </c>
      <c r="D21" s="35">
        <f>'Parámetros Proyección'!$B$3*(1+'Parámetros Proyección'!$B$4)^(C21-YEAR('Parámetros Proyección'!$B$6))</f>
        <v/>
      </c>
      <c r="E21" s="35">
        <f>J20</f>
        <v/>
      </c>
      <c r="F21" s="35">
        <f>E21*(1+'Parámetros Proyección'!$E$11)</f>
        <v/>
      </c>
      <c r="G21" s="35">
        <f>F21*'Parámetros Proyección'!$F$11</f>
        <v/>
      </c>
      <c r="H21" s="35">
        <f>F21+G21</f>
        <v/>
      </c>
      <c r="I21" s="35">
        <f>IF((H21/AI21&gt;'Parámetros Proyección'!$G$11),0,D21*'Parámetros Proyección'!$G$11/(IF((H21/AI21&gt;'Parámetros Proyección'!$G$11),0,'Parámetros Proyección'!$G$11)+IF((N21/AI21&gt;'Parámetros Proyección'!$G$12),0,'Parámetros Proyección'!$G$12)+IF((T21/AI21&gt;'Parámetros Proyección'!$G$13),0,'Parámetros Proyección'!$G$13)+IF((Z21/AI21&gt;'Parámetros Proyección'!$G$14),0,'Parámetros Proyección'!$G$14)+IF((AF21/AI21&gt;'Parámetros Proyección'!$G$15),0,'Parámetros Proyección'!$G$15)))</f>
        <v/>
      </c>
      <c r="J21" s="35">
        <f>H21+I21</f>
        <v/>
      </c>
      <c r="K21" s="35">
        <f>P20</f>
        <v/>
      </c>
      <c r="L21" s="35">
        <f>K21*(1+'Parámetros Proyección'!$E$12)</f>
        <v/>
      </c>
      <c r="M21" s="35">
        <f>L21*'Parámetros Proyección'!$F$12</f>
        <v/>
      </c>
      <c r="N21" s="35">
        <f>L21+M21</f>
        <v/>
      </c>
      <c r="O21" s="35">
        <f>IF((N21/AI21&gt;'Parámetros Proyección'!$G$12),0,D21*'Parámetros Proyección'!$G$12/(IF((H21/AI21&gt;'Parámetros Proyección'!$G$11),0,'Parámetros Proyección'!$G$11)+IF((N21/AI21&gt;'Parámetros Proyección'!$G$12),0,'Parámetros Proyección'!$G$12)+IF((T21/AI21&gt;'Parámetros Proyección'!$G$13),0,'Parámetros Proyección'!$G$13)+IF((Z21/AI21&gt;'Parámetros Proyección'!$G$14),0,'Parámetros Proyección'!$G$14)+IF((AF21/AI21&gt;'Parámetros Proyección'!$G$15),0,'Parámetros Proyección'!$G$15)))</f>
        <v/>
      </c>
      <c r="P21" s="35">
        <f>N21+O21</f>
        <v/>
      </c>
      <c r="Q21" s="35">
        <f>V20</f>
        <v/>
      </c>
      <c r="R21" s="35">
        <f>Q21*(1+'Parámetros Proyección'!$E$13)</f>
        <v/>
      </c>
      <c r="S21" s="35">
        <f>R21*'Parámetros Proyección'!$F$13</f>
        <v/>
      </c>
      <c r="T21" s="35">
        <f>R21+S21</f>
        <v/>
      </c>
      <c r="U21" s="35">
        <f>IF((T21/AI21&gt;'Parámetros Proyección'!$G$13),0,D21*'Parámetros Proyección'!$G$13/(IF((H21/AI21&gt;'Parámetros Proyección'!$G$11),0,'Parámetros Proyección'!$G$11)+IF((N21/AI21&gt;'Parámetros Proyección'!$G$12),0,'Parámetros Proyección'!$G$12)+IF((T21/AI21&gt;'Parámetros Proyección'!$G$13),0,'Parámetros Proyección'!$G$13)+IF((Z21/AI21&gt;'Parámetros Proyección'!$G$14),0,'Parámetros Proyección'!$G$14)+IF((AF21/AI21&gt;'Parámetros Proyección'!$G$15),0,'Parámetros Proyección'!$G$15)))</f>
        <v/>
      </c>
      <c r="V21" s="35">
        <f>T21+U21</f>
        <v/>
      </c>
      <c r="W21" s="35">
        <f>AB20</f>
        <v/>
      </c>
      <c r="X21" s="35">
        <f>W21*(1+'Parámetros Proyección'!$E$14)</f>
        <v/>
      </c>
      <c r="Y21" s="35">
        <f>X21*'Parámetros Proyección'!$F$14</f>
        <v/>
      </c>
      <c r="Z21" s="35">
        <f>X21+Y21</f>
        <v/>
      </c>
      <c r="AA21" s="35">
        <f>IF((Z21/AI21&gt;'Parámetros Proyección'!$G$14),0,D21*'Parámetros Proyección'!$G$14/(IF((H21/AI21&gt;'Parámetros Proyección'!$G$11),0,'Parámetros Proyección'!$G$11)+IF((N21/AI21&gt;'Parámetros Proyección'!$G$12),0,'Parámetros Proyección'!$G$12)+IF((T21/AI21&gt;'Parámetros Proyección'!$G$13),0,'Parámetros Proyección'!$G$13)+IF((Z21/AI21&gt;'Parámetros Proyección'!$G$14),0,'Parámetros Proyección'!$G$14)+IF((AF21/AI21&gt;'Parámetros Proyección'!$G$15),0,'Parámetros Proyección'!$G$15)))</f>
        <v/>
      </c>
      <c r="AB21" s="35">
        <f>Z21+AA21</f>
        <v/>
      </c>
      <c r="AC21" s="35">
        <f>AH20</f>
        <v/>
      </c>
      <c r="AD21" s="35">
        <f>AC21*(1+'Parámetros Proyección'!$E$15)</f>
        <v/>
      </c>
      <c r="AE21" s="35">
        <f>AD21*'Parámetros Proyección'!$F$15</f>
        <v/>
      </c>
      <c r="AF21" s="35">
        <f>AD21+AE21</f>
        <v/>
      </c>
      <c r="AG21" s="35">
        <f>IF((AF21/AI21&gt;'Parámetros Proyección'!$G$15),0,D21*'Parámetros Proyección'!$G$15/(IF((H21/AI21&gt;'Parámetros Proyección'!$G$11),0,'Parámetros Proyección'!$G$11)+IF((N21/AI21&gt;'Parámetros Proyección'!$G$12),0,'Parámetros Proyección'!$G$12)+IF((T21/AI21&gt;'Parámetros Proyección'!$G$13),0,'Parámetros Proyección'!$G$13)+IF((Z21/AI21&gt;'Parámetros Proyección'!$G$14),0,'Parámetros Proyección'!$G$14)+IF((AF21/AI21&gt;'Parámetros Proyección'!$G$15),0,'Parámetros Proyección'!$G$15)))</f>
        <v/>
      </c>
      <c r="AH21" s="35">
        <f>AF21+AG21</f>
        <v/>
      </c>
      <c r="AI21" s="35">
        <f>H21+N21+T21+Z21+AF21</f>
        <v/>
      </c>
      <c r="AJ21" s="33">
        <f>AF21/AI21</f>
        <v/>
      </c>
      <c r="AK21">
        <f>IF(AJ21&gt;'Parámetros Proyección'!$B$5,1,0)</f>
        <v/>
      </c>
      <c r="AL21" s="35">
        <f>G21+M21+S21+Y21+AE21</f>
        <v/>
      </c>
      <c r="AM21" s="35">
        <f>AM20+D21</f>
        <v/>
      </c>
      <c r="AN21" s="35">
        <f>AN20+AL21</f>
        <v/>
      </c>
      <c r="AO21" s="35">
        <f>J21+P21+V21+AB21+AH21</f>
        <v/>
      </c>
    </row>
    <row r="22">
      <c r="A22" t="n">
        <v>19</v>
      </c>
      <c r="B22" s="34">
        <f>EDATE(B21,1)</f>
        <v/>
      </c>
      <c r="C22">
        <f>YEAR(B22)</f>
        <v/>
      </c>
      <c r="D22" s="35">
        <f>'Parámetros Proyección'!$B$3*(1+'Parámetros Proyección'!$B$4)^(C22-YEAR('Parámetros Proyección'!$B$6))</f>
        <v/>
      </c>
      <c r="E22" s="35">
        <f>J21</f>
        <v/>
      </c>
      <c r="F22" s="35">
        <f>E22*(1+'Parámetros Proyección'!$E$11)</f>
        <v/>
      </c>
      <c r="G22" s="35">
        <f>F22*'Parámetros Proyección'!$F$11</f>
        <v/>
      </c>
      <c r="H22" s="35">
        <f>F22+G22</f>
        <v/>
      </c>
      <c r="I22" s="35">
        <f>IF((H22/AI22&gt;'Parámetros Proyección'!$G$11),0,D22*'Parámetros Proyección'!$G$11/(IF((H22/AI22&gt;'Parámetros Proyección'!$G$11),0,'Parámetros Proyección'!$G$11)+IF((N22/AI22&gt;'Parámetros Proyección'!$G$12),0,'Parámetros Proyección'!$G$12)+IF((T22/AI22&gt;'Parámetros Proyección'!$G$13),0,'Parámetros Proyección'!$G$13)+IF((Z22/AI22&gt;'Parámetros Proyección'!$G$14),0,'Parámetros Proyección'!$G$14)+IF((AF22/AI22&gt;'Parámetros Proyección'!$G$15),0,'Parámetros Proyección'!$G$15)))</f>
        <v/>
      </c>
      <c r="J22" s="35">
        <f>H22+I22</f>
        <v/>
      </c>
      <c r="K22" s="35">
        <f>P21</f>
        <v/>
      </c>
      <c r="L22" s="35">
        <f>K22*(1+'Parámetros Proyección'!$E$12)</f>
        <v/>
      </c>
      <c r="M22" s="35">
        <f>L22*'Parámetros Proyección'!$F$12</f>
        <v/>
      </c>
      <c r="N22" s="35">
        <f>L22+M22</f>
        <v/>
      </c>
      <c r="O22" s="35">
        <f>IF((N22/AI22&gt;'Parámetros Proyección'!$G$12),0,D22*'Parámetros Proyección'!$G$12/(IF((H22/AI22&gt;'Parámetros Proyección'!$G$11),0,'Parámetros Proyección'!$G$11)+IF((N22/AI22&gt;'Parámetros Proyección'!$G$12),0,'Parámetros Proyección'!$G$12)+IF((T22/AI22&gt;'Parámetros Proyección'!$G$13),0,'Parámetros Proyección'!$G$13)+IF((Z22/AI22&gt;'Parámetros Proyección'!$G$14),0,'Parámetros Proyección'!$G$14)+IF((AF22/AI22&gt;'Parámetros Proyección'!$G$15),0,'Parámetros Proyección'!$G$15)))</f>
        <v/>
      </c>
      <c r="P22" s="35">
        <f>N22+O22</f>
        <v/>
      </c>
      <c r="Q22" s="35">
        <f>V21</f>
        <v/>
      </c>
      <c r="R22" s="35">
        <f>Q22*(1+'Parámetros Proyección'!$E$13)</f>
        <v/>
      </c>
      <c r="S22" s="35">
        <f>R22*'Parámetros Proyección'!$F$13</f>
        <v/>
      </c>
      <c r="T22" s="35">
        <f>R22+S22</f>
        <v/>
      </c>
      <c r="U22" s="35">
        <f>IF((T22/AI22&gt;'Parámetros Proyección'!$G$13),0,D22*'Parámetros Proyección'!$G$13/(IF((H22/AI22&gt;'Parámetros Proyección'!$G$11),0,'Parámetros Proyección'!$G$11)+IF((N22/AI22&gt;'Parámetros Proyección'!$G$12),0,'Parámetros Proyección'!$G$12)+IF((T22/AI22&gt;'Parámetros Proyección'!$G$13),0,'Parámetros Proyección'!$G$13)+IF((Z22/AI22&gt;'Parámetros Proyección'!$G$14),0,'Parámetros Proyección'!$G$14)+IF((AF22/AI22&gt;'Parámetros Proyección'!$G$15),0,'Parámetros Proyección'!$G$15)))</f>
        <v/>
      </c>
      <c r="V22" s="35">
        <f>T22+U22</f>
        <v/>
      </c>
      <c r="W22" s="35">
        <f>AB21</f>
        <v/>
      </c>
      <c r="X22" s="35">
        <f>W22*(1+'Parámetros Proyección'!$E$14)</f>
        <v/>
      </c>
      <c r="Y22" s="35">
        <f>X22*'Parámetros Proyección'!$F$14</f>
        <v/>
      </c>
      <c r="Z22" s="35">
        <f>X22+Y22</f>
        <v/>
      </c>
      <c r="AA22" s="35">
        <f>IF((Z22/AI22&gt;'Parámetros Proyección'!$G$14),0,D22*'Parámetros Proyección'!$G$14/(IF((H22/AI22&gt;'Parámetros Proyección'!$G$11),0,'Parámetros Proyección'!$G$11)+IF((N22/AI22&gt;'Parámetros Proyección'!$G$12),0,'Parámetros Proyección'!$G$12)+IF((T22/AI22&gt;'Parámetros Proyección'!$G$13),0,'Parámetros Proyección'!$G$13)+IF((Z22/AI22&gt;'Parámetros Proyección'!$G$14),0,'Parámetros Proyección'!$G$14)+IF((AF22/AI22&gt;'Parámetros Proyección'!$G$15),0,'Parámetros Proyección'!$G$15)))</f>
        <v/>
      </c>
      <c r="AB22" s="35">
        <f>Z22+AA22</f>
        <v/>
      </c>
      <c r="AC22" s="35">
        <f>AH21</f>
        <v/>
      </c>
      <c r="AD22" s="35">
        <f>AC22*(1+'Parámetros Proyección'!$E$15)</f>
        <v/>
      </c>
      <c r="AE22" s="35">
        <f>AD22*'Parámetros Proyección'!$F$15</f>
        <v/>
      </c>
      <c r="AF22" s="35">
        <f>AD22+AE22</f>
        <v/>
      </c>
      <c r="AG22" s="35">
        <f>IF((AF22/AI22&gt;'Parámetros Proyección'!$G$15),0,D22*'Parámetros Proyección'!$G$15/(IF((H22/AI22&gt;'Parámetros Proyección'!$G$11),0,'Parámetros Proyección'!$G$11)+IF((N22/AI22&gt;'Parámetros Proyección'!$G$12),0,'Parámetros Proyección'!$G$12)+IF((T22/AI22&gt;'Parámetros Proyección'!$G$13),0,'Parámetros Proyección'!$G$13)+IF((Z22/AI22&gt;'Parámetros Proyección'!$G$14),0,'Parámetros Proyección'!$G$14)+IF((AF22/AI22&gt;'Parámetros Proyección'!$G$15),0,'Parámetros Proyección'!$G$15)))</f>
        <v/>
      </c>
      <c r="AH22" s="35">
        <f>AF22+AG22</f>
        <v/>
      </c>
      <c r="AI22" s="35">
        <f>H22+N22+T22+Z22+AF22</f>
        <v/>
      </c>
      <c r="AJ22" s="33">
        <f>AF22/AI22</f>
        <v/>
      </c>
      <c r="AK22">
        <f>IF(AJ22&gt;'Parámetros Proyección'!$B$5,1,0)</f>
        <v/>
      </c>
      <c r="AL22" s="35">
        <f>G22+M22+S22+Y22+AE22</f>
        <v/>
      </c>
      <c r="AM22" s="35">
        <f>AM21+D22</f>
        <v/>
      </c>
      <c r="AN22" s="35">
        <f>AN21+AL22</f>
        <v/>
      </c>
      <c r="AO22" s="35">
        <f>J22+P22+V22+AB22+AH22</f>
        <v/>
      </c>
    </row>
    <row r="23">
      <c r="A23" t="n">
        <v>20</v>
      </c>
      <c r="B23" s="34">
        <f>EDATE(B22,1)</f>
        <v/>
      </c>
      <c r="C23">
        <f>YEAR(B23)</f>
        <v/>
      </c>
      <c r="D23" s="35">
        <f>'Parámetros Proyección'!$B$3*(1+'Parámetros Proyección'!$B$4)^(C23-YEAR('Parámetros Proyección'!$B$6))</f>
        <v/>
      </c>
      <c r="E23" s="35">
        <f>J22</f>
        <v/>
      </c>
      <c r="F23" s="35">
        <f>E23*(1+'Parámetros Proyección'!$E$11)</f>
        <v/>
      </c>
      <c r="G23" s="35">
        <f>F23*'Parámetros Proyección'!$F$11</f>
        <v/>
      </c>
      <c r="H23" s="35">
        <f>F23+G23</f>
        <v/>
      </c>
      <c r="I23" s="35">
        <f>IF((H23/AI23&gt;'Parámetros Proyección'!$G$11),0,D23*'Parámetros Proyección'!$G$11/(IF((H23/AI23&gt;'Parámetros Proyección'!$G$11),0,'Parámetros Proyección'!$G$11)+IF((N23/AI23&gt;'Parámetros Proyección'!$G$12),0,'Parámetros Proyección'!$G$12)+IF((T23/AI23&gt;'Parámetros Proyección'!$G$13),0,'Parámetros Proyección'!$G$13)+IF((Z23/AI23&gt;'Parámetros Proyección'!$G$14),0,'Parámetros Proyección'!$G$14)+IF((AF23/AI23&gt;'Parámetros Proyección'!$G$15),0,'Parámetros Proyección'!$G$15)))</f>
        <v/>
      </c>
      <c r="J23" s="35">
        <f>H23+I23</f>
        <v/>
      </c>
      <c r="K23" s="35">
        <f>P22</f>
        <v/>
      </c>
      <c r="L23" s="35">
        <f>K23*(1+'Parámetros Proyección'!$E$12)</f>
        <v/>
      </c>
      <c r="M23" s="35">
        <f>L23*'Parámetros Proyección'!$F$12</f>
        <v/>
      </c>
      <c r="N23" s="35">
        <f>L23+M23</f>
        <v/>
      </c>
      <c r="O23" s="35">
        <f>IF((N23/AI23&gt;'Parámetros Proyección'!$G$12),0,D23*'Parámetros Proyección'!$G$12/(IF((H23/AI23&gt;'Parámetros Proyección'!$G$11),0,'Parámetros Proyección'!$G$11)+IF((N23/AI23&gt;'Parámetros Proyección'!$G$12),0,'Parámetros Proyección'!$G$12)+IF((T23/AI23&gt;'Parámetros Proyección'!$G$13),0,'Parámetros Proyección'!$G$13)+IF((Z23/AI23&gt;'Parámetros Proyección'!$G$14),0,'Parámetros Proyección'!$G$14)+IF((AF23/AI23&gt;'Parámetros Proyección'!$G$15),0,'Parámetros Proyección'!$G$15)))</f>
        <v/>
      </c>
      <c r="P23" s="35">
        <f>N23+O23</f>
        <v/>
      </c>
      <c r="Q23" s="35">
        <f>V22</f>
        <v/>
      </c>
      <c r="R23" s="35">
        <f>Q23*(1+'Parámetros Proyección'!$E$13)</f>
        <v/>
      </c>
      <c r="S23" s="35">
        <f>R23*'Parámetros Proyección'!$F$13</f>
        <v/>
      </c>
      <c r="T23" s="35">
        <f>R23+S23</f>
        <v/>
      </c>
      <c r="U23" s="35">
        <f>IF((T23/AI23&gt;'Parámetros Proyección'!$G$13),0,D23*'Parámetros Proyección'!$G$13/(IF((H23/AI23&gt;'Parámetros Proyección'!$G$11),0,'Parámetros Proyección'!$G$11)+IF((N23/AI23&gt;'Parámetros Proyección'!$G$12),0,'Parámetros Proyección'!$G$12)+IF((T23/AI23&gt;'Parámetros Proyección'!$G$13),0,'Parámetros Proyección'!$G$13)+IF((Z23/AI23&gt;'Parámetros Proyección'!$G$14),0,'Parámetros Proyección'!$G$14)+IF((AF23/AI23&gt;'Parámetros Proyección'!$G$15),0,'Parámetros Proyección'!$G$15)))</f>
        <v/>
      </c>
      <c r="V23" s="35">
        <f>T23+U23</f>
        <v/>
      </c>
      <c r="W23" s="35">
        <f>AB22</f>
        <v/>
      </c>
      <c r="X23" s="35">
        <f>W23*(1+'Parámetros Proyección'!$E$14)</f>
        <v/>
      </c>
      <c r="Y23" s="35">
        <f>X23*'Parámetros Proyección'!$F$14</f>
        <v/>
      </c>
      <c r="Z23" s="35">
        <f>X23+Y23</f>
        <v/>
      </c>
      <c r="AA23" s="35">
        <f>IF((Z23/AI23&gt;'Parámetros Proyección'!$G$14),0,D23*'Parámetros Proyección'!$G$14/(IF((H23/AI23&gt;'Parámetros Proyección'!$G$11),0,'Parámetros Proyección'!$G$11)+IF((N23/AI23&gt;'Parámetros Proyección'!$G$12),0,'Parámetros Proyección'!$G$12)+IF((T23/AI23&gt;'Parámetros Proyección'!$G$13),0,'Parámetros Proyección'!$G$13)+IF((Z23/AI23&gt;'Parámetros Proyección'!$G$14),0,'Parámetros Proyección'!$G$14)+IF((AF23/AI23&gt;'Parámetros Proyección'!$G$15),0,'Parámetros Proyección'!$G$15)))</f>
        <v/>
      </c>
      <c r="AB23" s="35">
        <f>Z23+AA23</f>
        <v/>
      </c>
      <c r="AC23" s="35">
        <f>AH22</f>
        <v/>
      </c>
      <c r="AD23" s="35">
        <f>AC23*(1+'Parámetros Proyección'!$E$15)</f>
        <v/>
      </c>
      <c r="AE23" s="35">
        <f>AD23*'Parámetros Proyección'!$F$15</f>
        <v/>
      </c>
      <c r="AF23" s="35">
        <f>AD23+AE23</f>
        <v/>
      </c>
      <c r="AG23" s="35">
        <f>IF((AF23/AI23&gt;'Parámetros Proyección'!$G$15),0,D23*'Parámetros Proyección'!$G$15/(IF((H23/AI23&gt;'Parámetros Proyección'!$G$11),0,'Parámetros Proyección'!$G$11)+IF((N23/AI23&gt;'Parámetros Proyección'!$G$12),0,'Parámetros Proyección'!$G$12)+IF((T23/AI23&gt;'Parámetros Proyección'!$G$13),0,'Parámetros Proyección'!$G$13)+IF((Z23/AI23&gt;'Parámetros Proyección'!$G$14),0,'Parámetros Proyección'!$G$14)+IF((AF23/AI23&gt;'Parámetros Proyección'!$G$15),0,'Parámetros Proyección'!$G$15)))</f>
        <v/>
      </c>
      <c r="AH23" s="35">
        <f>AF23+AG23</f>
        <v/>
      </c>
      <c r="AI23" s="35">
        <f>H23+N23+T23+Z23+AF23</f>
        <v/>
      </c>
      <c r="AJ23" s="33">
        <f>AF23/AI23</f>
        <v/>
      </c>
      <c r="AK23">
        <f>IF(AJ23&gt;'Parámetros Proyección'!$B$5,1,0)</f>
        <v/>
      </c>
      <c r="AL23" s="35">
        <f>G23+M23+S23+Y23+AE23</f>
        <v/>
      </c>
      <c r="AM23" s="35">
        <f>AM22+D23</f>
        <v/>
      </c>
      <c r="AN23" s="35">
        <f>AN22+AL23</f>
        <v/>
      </c>
      <c r="AO23" s="35">
        <f>J23+P23+V23+AB23+AH23</f>
        <v/>
      </c>
    </row>
    <row r="24">
      <c r="A24" t="n">
        <v>21</v>
      </c>
      <c r="B24" s="34">
        <f>EDATE(B23,1)</f>
        <v/>
      </c>
      <c r="C24">
        <f>YEAR(B24)</f>
        <v/>
      </c>
      <c r="D24" s="35">
        <f>'Parámetros Proyección'!$B$3*(1+'Parámetros Proyección'!$B$4)^(C24-YEAR('Parámetros Proyección'!$B$6))</f>
        <v/>
      </c>
      <c r="E24" s="35">
        <f>J23</f>
        <v/>
      </c>
      <c r="F24" s="35">
        <f>E24*(1+'Parámetros Proyección'!$E$11)</f>
        <v/>
      </c>
      <c r="G24" s="35">
        <f>F24*'Parámetros Proyección'!$F$11</f>
        <v/>
      </c>
      <c r="H24" s="35">
        <f>F24+G24</f>
        <v/>
      </c>
      <c r="I24" s="35">
        <f>IF((H24/AI24&gt;'Parámetros Proyección'!$G$11),0,D24*'Parámetros Proyección'!$G$11/(IF((H24/AI24&gt;'Parámetros Proyección'!$G$11),0,'Parámetros Proyección'!$G$11)+IF((N24/AI24&gt;'Parámetros Proyección'!$G$12),0,'Parámetros Proyección'!$G$12)+IF((T24/AI24&gt;'Parámetros Proyección'!$G$13),0,'Parámetros Proyección'!$G$13)+IF((Z24/AI24&gt;'Parámetros Proyección'!$G$14),0,'Parámetros Proyección'!$G$14)+IF((AF24/AI24&gt;'Parámetros Proyección'!$G$15),0,'Parámetros Proyección'!$G$15)))</f>
        <v/>
      </c>
      <c r="J24" s="35">
        <f>H24+I24</f>
        <v/>
      </c>
      <c r="K24" s="35">
        <f>P23</f>
        <v/>
      </c>
      <c r="L24" s="35">
        <f>K24*(1+'Parámetros Proyección'!$E$12)</f>
        <v/>
      </c>
      <c r="M24" s="35">
        <f>L24*'Parámetros Proyección'!$F$12</f>
        <v/>
      </c>
      <c r="N24" s="35">
        <f>L24+M24</f>
        <v/>
      </c>
      <c r="O24" s="35">
        <f>IF((N24/AI24&gt;'Parámetros Proyección'!$G$12),0,D24*'Parámetros Proyección'!$G$12/(IF((H24/AI24&gt;'Parámetros Proyección'!$G$11),0,'Parámetros Proyección'!$G$11)+IF((N24/AI24&gt;'Parámetros Proyección'!$G$12),0,'Parámetros Proyección'!$G$12)+IF((T24/AI24&gt;'Parámetros Proyección'!$G$13),0,'Parámetros Proyección'!$G$13)+IF((Z24/AI24&gt;'Parámetros Proyección'!$G$14),0,'Parámetros Proyección'!$G$14)+IF((AF24/AI24&gt;'Parámetros Proyección'!$G$15),0,'Parámetros Proyección'!$G$15)))</f>
        <v/>
      </c>
      <c r="P24" s="35">
        <f>N24+O24</f>
        <v/>
      </c>
      <c r="Q24" s="35">
        <f>V23</f>
        <v/>
      </c>
      <c r="R24" s="35">
        <f>Q24*(1+'Parámetros Proyección'!$E$13)</f>
        <v/>
      </c>
      <c r="S24" s="35">
        <f>R24*'Parámetros Proyección'!$F$13</f>
        <v/>
      </c>
      <c r="T24" s="35">
        <f>R24+S24</f>
        <v/>
      </c>
      <c r="U24" s="35">
        <f>IF((T24/AI24&gt;'Parámetros Proyección'!$G$13),0,D24*'Parámetros Proyección'!$G$13/(IF((H24/AI24&gt;'Parámetros Proyección'!$G$11),0,'Parámetros Proyección'!$G$11)+IF((N24/AI24&gt;'Parámetros Proyección'!$G$12),0,'Parámetros Proyección'!$G$12)+IF((T24/AI24&gt;'Parámetros Proyección'!$G$13),0,'Parámetros Proyección'!$G$13)+IF((Z24/AI24&gt;'Parámetros Proyección'!$G$14),0,'Parámetros Proyección'!$G$14)+IF((AF24/AI24&gt;'Parámetros Proyección'!$G$15),0,'Parámetros Proyección'!$G$15)))</f>
        <v/>
      </c>
      <c r="V24" s="35">
        <f>T24+U24</f>
        <v/>
      </c>
      <c r="W24" s="35">
        <f>AB23</f>
        <v/>
      </c>
      <c r="X24" s="35">
        <f>W24*(1+'Parámetros Proyección'!$E$14)</f>
        <v/>
      </c>
      <c r="Y24" s="35">
        <f>X24*'Parámetros Proyección'!$F$14</f>
        <v/>
      </c>
      <c r="Z24" s="35">
        <f>X24+Y24</f>
        <v/>
      </c>
      <c r="AA24" s="35">
        <f>IF((Z24/AI24&gt;'Parámetros Proyección'!$G$14),0,D24*'Parámetros Proyección'!$G$14/(IF((H24/AI24&gt;'Parámetros Proyección'!$G$11),0,'Parámetros Proyección'!$G$11)+IF((N24/AI24&gt;'Parámetros Proyección'!$G$12),0,'Parámetros Proyección'!$G$12)+IF((T24/AI24&gt;'Parámetros Proyección'!$G$13),0,'Parámetros Proyección'!$G$13)+IF((Z24/AI24&gt;'Parámetros Proyección'!$G$14),0,'Parámetros Proyección'!$G$14)+IF((AF24/AI24&gt;'Parámetros Proyección'!$G$15),0,'Parámetros Proyección'!$G$15)))</f>
        <v/>
      </c>
      <c r="AB24" s="35">
        <f>Z24+AA24</f>
        <v/>
      </c>
      <c r="AC24" s="35">
        <f>AH23</f>
        <v/>
      </c>
      <c r="AD24" s="35">
        <f>AC24*(1+'Parámetros Proyección'!$E$15)</f>
        <v/>
      </c>
      <c r="AE24" s="35">
        <f>AD24*'Parámetros Proyección'!$F$15</f>
        <v/>
      </c>
      <c r="AF24" s="35">
        <f>AD24+AE24</f>
        <v/>
      </c>
      <c r="AG24" s="35">
        <f>IF((AF24/AI24&gt;'Parámetros Proyección'!$G$15),0,D24*'Parámetros Proyección'!$G$15/(IF((H24/AI24&gt;'Parámetros Proyección'!$G$11),0,'Parámetros Proyección'!$G$11)+IF((N24/AI24&gt;'Parámetros Proyección'!$G$12),0,'Parámetros Proyección'!$G$12)+IF((T24/AI24&gt;'Parámetros Proyección'!$G$13),0,'Parámetros Proyección'!$G$13)+IF((Z24/AI24&gt;'Parámetros Proyección'!$G$14),0,'Parámetros Proyección'!$G$14)+IF((AF24/AI24&gt;'Parámetros Proyección'!$G$15),0,'Parámetros Proyección'!$G$15)))</f>
        <v/>
      </c>
      <c r="AH24" s="35">
        <f>AF24+AG24</f>
        <v/>
      </c>
      <c r="AI24" s="35">
        <f>H24+N24+T24+Z24+AF24</f>
        <v/>
      </c>
      <c r="AJ24" s="33">
        <f>AF24/AI24</f>
        <v/>
      </c>
      <c r="AK24">
        <f>IF(AJ24&gt;'Parámetros Proyección'!$B$5,1,0)</f>
        <v/>
      </c>
      <c r="AL24" s="35">
        <f>G24+M24+S24+Y24+AE24</f>
        <v/>
      </c>
      <c r="AM24" s="35">
        <f>AM23+D24</f>
        <v/>
      </c>
      <c r="AN24" s="35">
        <f>AN23+AL24</f>
        <v/>
      </c>
      <c r="AO24" s="35">
        <f>J24+P24+V24+AB24+AH24</f>
        <v/>
      </c>
    </row>
    <row r="25">
      <c r="A25" t="n">
        <v>22</v>
      </c>
      <c r="B25" s="34">
        <f>EDATE(B24,1)</f>
        <v/>
      </c>
      <c r="C25">
        <f>YEAR(B25)</f>
        <v/>
      </c>
      <c r="D25" s="35">
        <f>'Parámetros Proyección'!$B$3*(1+'Parámetros Proyección'!$B$4)^(C25-YEAR('Parámetros Proyección'!$B$6))</f>
        <v/>
      </c>
      <c r="E25" s="35">
        <f>J24</f>
        <v/>
      </c>
      <c r="F25" s="35">
        <f>E25*(1+'Parámetros Proyección'!$E$11)</f>
        <v/>
      </c>
      <c r="G25" s="35">
        <f>F25*'Parámetros Proyección'!$F$11</f>
        <v/>
      </c>
      <c r="H25" s="35">
        <f>F25+G25</f>
        <v/>
      </c>
      <c r="I25" s="35">
        <f>IF((H25/AI25&gt;'Parámetros Proyección'!$G$11),0,D25*'Parámetros Proyección'!$G$11/(IF((H25/AI25&gt;'Parámetros Proyección'!$G$11),0,'Parámetros Proyección'!$G$11)+IF((N25/AI25&gt;'Parámetros Proyección'!$G$12),0,'Parámetros Proyección'!$G$12)+IF((T25/AI25&gt;'Parámetros Proyección'!$G$13),0,'Parámetros Proyección'!$G$13)+IF((Z25/AI25&gt;'Parámetros Proyección'!$G$14),0,'Parámetros Proyección'!$G$14)+IF((AF25/AI25&gt;'Parámetros Proyección'!$G$15),0,'Parámetros Proyección'!$G$15)))</f>
        <v/>
      </c>
      <c r="J25" s="35">
        <f>H25+I25</f>
        <v/>
      </c>
      <c r="K25" s="35">
        <f>P24</f>
        <v/>
      </c>
      <c r="L25" s="35">
        <f>K25*(1+'Parámetros Proyección'!$E$12)</f>
        <v/>
      </c>
      <c r="M25" s="35">
        <f>L25*'Parámetros Proyección'!$F$12</f>
        <v/>
      </c>
      <c r="N25" s="35">
        <f>L25+M25</f>
        <v/>
      </c>
      <c r="O25" s="35">
        <f>IF((N25/AI25&gt;'Parámetros Proyección'!$G$12),0,D25*'Parámetros Proyección'!$G$12/(IF((H25/AI25&gt;'Parámetros Proyección'!$G$11),0,'Parámetros Proyección'!$G$11)+IF((N25/AI25&gt;'Parámetros Proyección'!$G$12),0,'Parámetros Proyección'!$G$12)+IF((T25/AI25&gt;'Parámetros Proyección'!$G$13),0,'Parámetros Proyección'!$G$13)+IF((Z25/AI25&gt;'Parámetros Proyección'!$G$14),0,'Parámetros Proyección'!$G$14)+IF((AF25/AI25&gt;'Parámetros Proyección'!$G$15),0,'Parámetros Proyección'!$G$15)))</f>
        <v/>
      </c>
      <c r="P25" s="35">
        <f>N25+O25</f>
        <v/>
      </c>
      <c r="Q25" s="35">
        <f>V24</f>
        <v/>
      </c>
      <c r="R25" s="35">
        <f>Q25*(1+'Parámetros Proyección'!$E$13)</f>
        <v/>
      </c>
      <c r="S25" s="35">
        <f>R25*'Parámetros Proyección'!$F$13</f>
        <v/>
      </c>
      <c r="T25" s="35">
        <f>R25+S25</f>
        <v/>
      </c>
      <c r="U25" s="35">
        <f>IF((T25/AI25&gt;'Parámetros Proyección'!$G$13),0,D25*'Parámetros Proyección'!$G$13/(IF((H25/AI25&gt;'Parámetros Proyección'!$G$11),0,'Parámetros Proyección'!$G$11)+IF((N25/AI25&gt;'Parámetros Proyección'!$G$12),0,'Parámetros Proyección'!$G$12)+IF((T25/AI25&gt;'Parámetros Proyección'!$G$13),0,'Parámetros Proyección'!$G$13)+IF((Z25/AI25&gt;'Parámetros Proyección'!$G$14),0,'Parámetros Proyección'!$G$14)+IF((AF25/AI25&gt;'Parámetros Proyección'!$G$15),0,'Parámetros Proyección'!$G$15)))</f>
        <v/>
      </c>
      <c r="V25" s="35">
        <f>T25+U25</f>
        <v/>
      </c>
      <c r="W25" s="35">
        <f>AB24</f>
        <v/>
      </c>
      <c r="X25" s="35">
        <f>W25*(1+'Parámetros Proyección'!$E$14)</f>
        <v/>
      </c>
      <c r="Y25" s="35">
        <f>X25*'Parámetros Proyección'!$F$14</f>
        <v/>
      </c>
      <c r="Z25" s="35">
        <f>X25+Y25</f>
        <v/>
      </c>
      <c r="AA25" s="35">
        <f>IF((Z25/AI25&gt;'Parámetros Proyección'!$G$14),0,D25*'Parámetros Proyección'!$G$14/(IF((H25/AI25&gt;'Parámetros Proyección'!$G$11),0,'Parámetros Proyección'!$G$11)+IF((N25/AI25&gt;'Parámetros Proyección'!$G$12),0,'Parámetros Proyección'!$G$12)+IF((T25/AI25&gt;'Parámetros Proyección'!$G$13),0,'Parámetros Proyección'!$G$13)+IF((Z25/AI25&gt;'Parámetros Proyección'!$G$14),0,'Parámetros Proyección'!$G$14)+IF((AF25/AI25&gt;'Parámetros Proyección'!$G$15),0,'Parámetros Proyección'!$G$15)))</f>
        <v/>
      </c>
      <c r="AB25" s="35">
        <f>Z25+AA25</f>
        <v/>
      </c>
      <c r="AC25" s="35">
        <f>AH24</f>
        <v/>
      </c>
      <c r="AD25" s="35">
        <f>AC25*(1+'Parámetros Proyección'!$E$15)</f>
        <v/>
      </c>
      <c r="AE25" s="35">
        <f>AD25*'Parámetros Proyección'!$F$15</f>
        <v/>
      </c>
      <c r="AF25" s="35">
        <f>AD25+AE25</f>
        <v/>
      </c>
      <c r="AG25" s="35">
        <f>IF((AF25/AI25&gt;'Parámetros Proyección'!$G$15),0,D25*'Parámetros Proyección'!$G$15/(IF((H25/AI25&gt;'Parámetros Proyección'!$G$11),0,'Parámetros Proyección'!$G$11)+IF((N25/AI25&gt;'Parámetros Proyección'!$G$12),0,'Parámetros Proyección'!$G$12)+IF((T25/AI25&gt;'Parámetros Proyección'!$G$13),0,'Parámetros Proyección'!$G$13)+IF((Z25/AI25&gt;'Parámetros Proyección'!$G$14),0,'Parámetros Proyección'!$G$14)+IF((AF25/AI25&gt;'Parámetros Proyección'!$G$15),0,'Parámetros Proyección'!$G$15)))</f>
        <v/>
      </c>
      <c r="AH25" s="35">
        <f>AF25+AG25</f>
        <v/>
      </c>
      <c r="AI25" s="35">
        <f>H25+N25+T25+Z25+AF25</f>
        <v/>
      </c>
      <c r="AJ25" s="33">
        <f>AF25/AI25</f>
        <v/>
      </c>
      <c r="AK25">
        <f>IF(AJ25&gt;'Parámetros Proyección'!$B$5,1,0)</f>
        <v/>
      </c>
      <c r="AL25" s="35">
        <f>G25+M25+S25+Y25+AE25</f>
        <v/>
      </c>
      <c r="AM25" s="35">
        <f>AM24+D25</f>
        <v/>
      </c>
      <c r="AN25" s="35">
        <f>AN24+AL25</f>
        <v/>
      </c>
      <c r="AO25" s="35">
        <f>J25+P25+V25+AB25+AH25</f>
        <v/>
      </c>
    </row>
    <row r="26">
      <c r="A26" t="n">
        <v>23</v>
      </c>
      <c r="B26" s="34">
        <f>EDATE(B25,1)</f>
        <v/>
      </c>
      <c r="C26">
        <f>YEAR(B26)</f>
        <v/>
      </c>
      <c r="D26" s="35">
        <f>'Parámetros Proyección'!$B$3*(1+'Parámetros Proyección'!$B$4)^(C26-YEAR('Parámetros Proyección'!$B$6))</f>
        <v/>
      </c>
      <c r="E26" s="35">
        <f>J25</f>
        <v/>
      </c>
      <c r="F26" s="35">
        <f>E26*(1+'Parámetros Proyección'!$E$11)</f>
        <v/>
      </c>
      <c r="G26" s="35">
        <f>F26*'Parámetros Proyección'!$F$11</f>
        <v/>
      </c>
      <c r="H26" s="35">
        <f>F26+G26</f>
        <v/>
      </c>
      <c r="I26" s="35">
        <f>IF((H26/AI26&gt;'Parámetros Proyección'!$G$11),0,D26*'Parámetros Proyección'!$G$11/(IF((H26/AI26&gt;'Parámetros Proyección'!$G$11),0,'Parámetros Proyección'!$G$11)+IF((N26/AI26&gt;'Parámetros Proyección'!$G$12),0,'Parámetros Proyección'!$G$12)+IF((T26/AI26&gt;'Parámetros Proyección'!$G$13),0,'Parámetros Proyección'!$G$13)+IF((Z26/AI26&gt;'Parámetros Proyección'!$G$14),0,'Parámetros Proyección'!$G$14)+IF((AF26/AI26&gt;'Parámetros Proyección'!$G$15),0,'Parámetros Proyección'!$G$15)))</f>
        <v/>
      </c>
      <c r="J26" s="35">
        <f>H26+I26</f>
        <v/>
      </c>
      <c r="K26" s="35">
        <f>P25</f>
        <v/>
      </c>
      <c r="L26" s="35">
        <f>K26*(1+'Parámetros Proyección'!$E$12)</f>
        <v/>
      </c>
      <c r="M26" s="35">
        <f>L26*'Parámetros Proyección'!$F$12</f>
        <v/>
      </c>
      <c r="N26" s="35">
        <f>L26+M26</f>
        <v/>
      </c>
      <c r="O26" s="35">
        <f>IF((N26/AI26&gt;'Parámetros Proyección'!$G$12),0,D26*'Parámetros Proyección'!$G$12/(IF((H26/AI26&gt;'Parámetros Proyección'!$G$11),0,'Parámetros Proyección'!$G$11)+IF((N26/AI26&gt;'Parámetros Proyección'!$G$12),0,'Parámetros Proyección'!$G$12)+IF((T26/AI26&gt;'Parámetros Proyección'!$G$13),0,'Parámetros Proyección'!$G$13)+IF((Z26/AI26&gt;'Parámetros Proyección'!$G$14),0,'Parámetros Proyección'!$G$14)+IF((AF26/AI26&gt;'Parámetros Proyección'!$G$15),0,'Parámetros Proyección'!$G$15)))</f>
        <v/>
      </c>
      <c r="P26" s="35">
        <f>N26+O26</f>
        <v/>
      </c>
      <c r="Q26" s="35">
        <f>V25</f>
        <v/>
      </c>
      <c r="R26" s="35">
        <f>Q26*(1+'Parámetros Proyección'!$E$13)</f>
        <v/>
      </c>
      <c r="S26" s="35">
        <f>R26*'Parámetros Proyección'!$F$13</f>
        <v/>
      </c>
      <c r="T26" s="35">
        <f>R26+S26</f>
        <v/>
      </c>
      <c r="U26" s="35">
        <f>IF((T26/AI26&gt;'Parámetros Proyección'!$G$13),0,D26*'Parámetros Proyección'!$G$13/(IF((H26/AI26&gt;'Parámetros Proyección'!$G$11),0,'Parámetros Proyección'!$G$11)+IF((N26/AI26&gt;'Parámetros Proyección'!$G$12),0,'Parámetros Proyección'!$G$12)+IF((T26/AI26&gt;'Parámetros Proyección'!$G$13),0,'Parámetros Proyección'!$G$13)+IF((Z26/AI26&gt;'Parámetros Proyección'!$G$14),0,'Parámetros Proyección'!$G$14)+IF((AF26/AI26&gt;'Parámetros Proyección'!$G$15),0,'Parámetros Proyección'!$G$15)))</f>
        <v/>
      </c>
      <c r="V26" s="35">
        <f>T26+U26</f>
        <v/>
      </c>
      <c r="W26" s="35">
        <f>AB25</f>
        <v/>
      </c>
      <c r="X26" s="35">
        <f>W26*(1+'Parámetros Proyección'!$E$14)</f>
        <v/>
      </c>
      <c r="Y26" s="35">
        <f>X26*'Parámetros Proyección'!$F$14</f>
        <v/>
      </c>
      <c r="Z26" s="35">
        <f>X26+Y26</f>
        <v/>
      </c>
      <c r="AA26" s="35">
        <f>IF((Z26/AI26&gt;'Parámetros Proyección'!$G$14),0,D26*'Parámetros Proyección'!$G$14/(IF((H26/AI26&gt;'Parámetros Proyección'!$G$11),0,'Parámetros Proyección'!$G$11)+IF((N26/AI26&gt;'Parámetros Proyección'!$G$12),0,'Parámetros Proyección'!$G$12)+IF((T26/AI26&gt;'Parámetros Proyección'!$G$13),0,'Parámetros Proyección'!$G$13)+IF((Z26/AI26&gt;'Parámetros Proyección'!$G$14),0,'Parámetros Proyección'!$G$14)+IF((AF26/AI26&gt;'Parámetros Proyección'!$G$15),0,'Parámetros Proyección'!$G$15)))</f>
        <v/>
      </c>
      <c r="AB26" s="35">
        <f>Z26+AA26</f>
        <v/>
      </c>
      <c r="AC26" s="35">
        <f>AH25</f>
        <v/>
      </c>
      <c r="AD26" s="35">
        <f>AC26*(1+'Parámetros Proyección'!$E$15)</f>
        <v/>
      </c>
      <c r="AE26" s="35">
        <f>AD26*'Parámetros Proyección'!$F$15</f>
        <v/>
      </c>
      <c r="AF26" s="35">
        <f>AD26+AE26</f>
        <v/>
      </c>
      <c r="AG26" s="35">
        <f>IF((AF26/AI26&gt;'Parámetros Proyección'!$G$15),0,D26*'Parámetros Proyección'!$G$15/(IF((H26/AI26&gt;'Parámetros Proyección'!$G$11),0,'Parámetros Proyección'!$G$11)+IF((N26/AI26&gt;'Parámetros Proyección'!$G$12),0,'Parámetros Proyección'!$G$12)+IF((T26/AI26&gt;'Parámetros Proyección'!$G$13),0,'Parámetros Proyección'!$G$13)+IF((Z26/AI26&gt;'Parámetros Proyección'!$G$14),0,'Parámetros Proyección'!$G$14)+IF((AF26/AI26&gt;'Parámetros Proyección'!$G$15),0,'Parámetros Proyección'!$G$15)))</f>
        <v/>
      </c>
      <c r="AH26" s="35">
        <f>AF26+AG26</f>
        <v/>
      </c>
      <c r="AI26" s="35">
        <f>H26+N26+T26+Z26+AF26</f>
        <v/>
      </c>
      <c r="AJ26" s="33">
        <f>AF26/AI26</f>
        <v/>
      </c>
      <c r="AK26">
        <f>IF(AJ26&gt;'Parámetros Proyección'!$B$5,1,0)</f>
        <v/>
      </c>
      <c r="AL26" s="35">
        <f>G26+M26+S26+Y26+AE26</f>
        <v/>
      </c>
      <c r="AM26" s="35">
        <f>AM25+D26</f>
        <v/>
      </c>
      <c r="AN26" s="35">
        <f>AN25+AL26</f>
        <v/>
      </c>
      <c r="AO26" s="35">
        <f>J26+P26+V26+AB26+AH26</f>
        <v/>
      </c>
    </row>
    <row r="27">
      <c r="A27" t="n">
        <v>24</v>
      </c>
      <c r="B27" s="34">
        <f>EDATE(B26,1)</f>
        <v/>
      </c>
      <c r="C27">
        <f>YEAR(B27)</f>
        <v/>
      </c>
      <c r="D27" s="35">
        <f>'Parámetros Proyección'!$B$3*(1+'Parámetros Proyección'!$B$4)^(C27-YEAR('Parámetros Proyección'!$B$6))</f>
        <v/>
      </c>
      <c r="E27" s="35">
        <f>J26</f>
        <v/>
      </c>
      <c r="F27" s="35">
        <f>E27*(1+'Parámetros Proyección'!$E$11)</f>
        <v/>
      </c>
      <c r="G27" s="35">
        <f>F27*'Parámetros Proyección'!$F$11</f>
        <v/>
      </c>
      <c r="H27" s="35">
        <f>F27+G27</f>
        <v/>
      </c>
      <c r="I27" s="35">
        <f>IF((H27/AI27&gt;'Parámetros Proyección'!$G$11),0,D27*'Parámetros Proyección'!$G$11/(IF((H27/AI27&gt;'Parámetros Proyección'!$G$11),0,'Parámetros Proyección'!$G$11)+IF((N27/AI27&gt;'Parámetros Proyección'!$G$12),0,'Parámetros Proyección'!$G$12)+IF((T27/AI27&gt;'Parámetros Proyección'!$G$13),0,'Parámetros Proyección'!$G$13)+IF((Z27/AI27&gt;'Parámetros Proyección'!$G$14),0,'Parámetros Proyección'!$G$14)+IF((AF27/AI27&gt;'Parámetros Proyección'!$G$15),0,'Parámetros Proyección'!$G$15)))</f>
        <v/>
      </c>
      <c r="J27" s="35">
        <f>H27+I27</f>
        <v/>
      </c>
      <c r="K27" s="35">
        <f>P26</f>
        <v/>
      </c>
      <c r="L27" s="35">
        <f>K27*(1+'Parámetros Proyección'!$E$12)</f>
        <v/>
      </c>
      <c r="M27" s="35">
        <f>L27*'Parámetros Proyección'!$F$12</f>
        <v/>
      </c>
      <c r="N27" s="35">
        <f>L27+M27</f>
        <v/>
      </c>
      <c r="O27" s="35">
        <f>IF((N27/AI27&gt;'Parámetros Proyección'!$G$12),0,D27*'Parámetros Proyección'!$G$12/(IF((H27/AI27&gt;'Parámetros Proyección'!$G$11),0,'Parámetros Proyección'!$G$11)+IF((N27/AI27&gt;'Parámetros Proyección'!$G$12),0,'Parámetros Proyección'!$G$12)+IF((T27/AI27&gt;'Parámetros Proyección'!$G$13),0,'Parámetros Proyección'!$G$13)+IF((Z27/AI27&gt;'Parámetros Proyección'!$G$14),0,'Parámetros Proyección'!$G$14)+IF((AF27/AI27&gt;'Parámetros Proyección'!$G$15),0,'Parámetros Proyección'!$G$15)))</f>
        <v/>
      </c>
      <c r="P27" s="35">
        <f>N27+O27</f>
        <v/>
      </c>
      <c r="Q27" s="35">
        <f>V26</f>
        <v/>
      </c>
      <c r="R27" s="35">
        <f>Q27*(1+'Parámetros Proyección'!$E$13)</f>
        <v/>
      </c>
      <c r="S27" s="35">
        <f>R27*'Parámetros Proyección'!$F$13</f>
        <v/>
      </c>
      <c r="T27" s="35">
        <f>R27+S27</f>
        <v/>
      </c>
      <c r="U27" s="35">
        <f>IF((T27/AI27&gt;'Parámetros Proyección'!$G$13),0,D27*'Parámetros Proyección'!$G$13/(IF((H27/AI27&gt;'Parámetros Proyección'!$G$11),0,'Parámetros Proyección'!$G$11)+IF((N27/AI27&gt;'Parámetros Proyección'!$G$12),0,'Parámetros Proyección'!$G$12)+IF((T27/AI27&gt;'Parámetros Proyección'!$G$13),0,'Parámetros Proyección'!$G$13)+IF((Z27/AI27&gt;'Parámetros Proyección'!$G$14),0,'Parámetros Proyección'!$G$14)+IF((AF27/AI27&gt;'Parámetros Proyección'!$G$15),0,'Parámetros Proyección'!$G$15)))</f>
        <v/>
      </c>
      <c r="V27" s="35">
        <f>T27+U27</f>
        <v/>
      </c>
      <c r="W27" s="35">
        <f>AB26</f>
        <v/>
      </c>
      <c r="X27" s="35">
        <f>W27*(1+'Parámetros Proyección'!$E$14)</f>
        <v/>
      </c>
      <c r="Y27" s="35">
        <f>X27*'Parámetros Proyección'!$F$14</f>
        <v/>
      </c>
      <c r="Z27" s="35">
        <f>X27+Y27</f>
        <v/>
      </c>
      <c r="AA27" s="35">
        <f>IF((Z27/AI27&gt;'Parámetros Proyección'!$G$14),0,D27*'Parámetros Proyección'!$G$14/(IF((H27/AI27&gt;'Parámetros Proyección'!$G$11),0,'Parámetros Proyección'!$G$11)+IF((N27/AI27&gt;'Parámetros Proyección'!$G$12),0,'Parámetros Proyección'!$G$12)+IF((T27/AI27&gt;'Parámetros Proyección'!$G$13),0,'Parámetros Proyección'!$G$13)+IF((Z27/AI27&gt;'Parámetros Proyección'!$G$14),0,'Parámetros Proyección'!$G$14)+IF((AF27/AI27&gt;'Parámetros Proyección'!$G$15),0,'Parámetros Proyección'!$G$15)))</f>
        <v/>
      </c>
      <c r="AB27" s="35">
        <f>Z27+AA27</f>
        <v/>
      </c>
      <c r="AC27" s="35">
        <f>AH26</f>
        <v/>
      </c>
      <c r="AD27" s="35">
        <f>AC27*(1+'Parámetros Proyección'!$E$15)</f>
        <v/>
      </c>
      <c r="AE27" s="35">
        <f>AD27*'Parámetros Proyección'!$F$15</f>
        <v/>
      </c>
      <c r="AF27" s="35">
        <f>AD27+AE27</f>
        <v/>
      </c>
      <c r="AG27" s="35">
        <f>IF((AF27/AI27&gt;'Parámetros Proyección'!$G$15),0,D27*'Parámetros Proyección'!$G$15/(IF((H27/AI27&gt;'Parámetros Proyección'!$G$11),0,'Parámetros Proyección'!$G$11)+IF((N27/AI27&gt;'Parámetros Proyección'!$G$12),0,'Parámetros Proyección'!$G$12)+IF((T27/AI27&gt;'Parámetros Proyección'!$G$13),0,'Parámetros Proyección'!$G$13)+IF((Z27/AI27&gt;'Parámetros Proyección'!$G$14),0,'Parámetros Proyección'!$G$14)+IF((AF27/AI27&gt;'Parámetros Proyección'!$G$15),0,'Parámetros Proyección'!$G$15)))</f>
        <v/>
      </c>
      <c r="AH27" s="35">
        <f>AF27+AG27</f>
        <v/>
      </c>
      <c r="AI27" s="35">
        <f>H27+N27+T27+Z27+AF27</f>
        <v/>
      </c>
      <c r="AJ27" s="33">
        <f>AF27/AI27</f>
        <v/>
      </c>
      <c r="AK27">
        <f>IF(AJ27&gt;'Parámetros Proyección'!$B$5,1,0)</f>
        <v/>
      </c>
      <c r="AL27" s="35">
        <f>G27+M27+S27+Y27+AE27</f>
        <v/>
      </c>
      <c r="AM27" s="35">
        <f>AM26+D27</f>
        <v/>
      </c>
      <c r="AN27" s="35">
        <f>AN26+AL27</f>
        <v/>
      </c>
      <c r="AO27" s="35">
        <f>J27+P27+V27+AB27+AH27</f>
        <v/>
      </c>
    </row>
    <row r="28">
      <c r="A28" t="n">
        <v>25</v>
      </c>
      <c r="B28" s="34">
        <f>EDATE(B27,1)</f>
        <v/>
      </c>
      <c r="C28">
        <f>YEAR(B28)</f>
        <v/>
      </c>
      <c r="D28" s="35">
        <f>'Parámetros Proyección'!$B$3*(1+'Parámetros Proyección'!$B$4)^(C28-YEAR('Parámetros Proyección'!$B$6))</f>
        <v/>
      </c>
      <c r="E28" s="35">
        <f>J27</f>
        <v/>
      </c>
      <c r="F28" s="35">
        <f>E28*(1+'Parámetros Proyección'!$E$11)</f>
        <v/>
      </c>
      <c r="G28" s="35">
        <f>F28*'Parámetros Proyección'!$F$11</f>
        <v/>
      </c>
      <c r="H28" s="35">
        <f>F28+G28</f>
        <v/>
      </c>
      <c r="I28" s="35">
        <f>IF((H28/AI28&gt;'Parámetros Proyección'!$G$11),0,D28*'Parámetros Proyección'!$G$11/(IF((H28/AI28&gt;'Parámetros Proyección'!$G$11),0,'Parámetros Proyección'!$G$11)+IF((N28/AI28&gt;'Parámetros Proyección'!$G$12),0,'Parámetros Proyección'!$G$12)+IF((T28/AI28&gt;'Parámetros Proyección'!$G$13),0,'Parámetros Proyección'!$G$13)+IF((Z28/AI28&gt;'Parámetros Proyección'!$G$14),0,'Parámetros Proyección'!$G$14)+IF((AF28/AI28&gt;'Parámetros Proyección'!$G$15),0,'Parámetros Proyección'!$G$15)))</f>
        <v/>
      </c>
      <c r="J28" s="35">
        <f>H28+I28</f>
        <v/>
      </c>
      <c r="K28" s="35">
        <f>P27</f>
        <v/>
      </c>
      <c r="L28" s="35">
        <f>K28*(1+'Parámetros Proyección'!$E$12)</f>
        <v/>
      </c>
      <c r="M28" s="35">
        <f>L28*'Parámetros Proyección'!$F$12</f>
        <v/>
      </c>
      <c r="N28" s="35">
        <f>L28+M28</f>
        <v/>
      </c>
      <c r="O28" s="35">
        <f>IF((N28/AI28&gt;'Parámetros Proyección'!$G$12),0,D28*'Parámetros Proyección'!$G$12/(IF((H28/AI28&gt;'Parámetros Proyección'!$G$11),0,'Parámetros Proyección'!$G$11)+IF((N28/AI28&gt;'Parámetros Proyección'!$G$12),0,'Parámetros Proyección'!$G$12)+IF((T28/AI28&gt;'Parámetros Proyección'!$G$13),0,'Parámetros Proyección'!$G$13)+IF((Z28/AI28&gt;'Parámetros Proyección'!$G$14),0,'Parámetros Proyección'!$G$14)+IF((AF28/AI28&gt;'Parámetros Proyección'!$G$15),0,'Parámetros Proyección'!$G$15)))</f>
        <v/>
      </c>
      <c r="P28" s="35">
        <f>N28+O28</f>
        <v/>
      </c>
      <c r="Q28" s="35">
        <f>V27</f>
        <v/>
      </c>
      <c r="R28" s="35">
        <f>Q28*(1+'Parámetros Proyección'!$E$13)</f>
        <v/>
      </c>
      <c r="S28" s="35">
        <f>R28*'Parámetros Proyección'!$F$13</f>
        <v/>
      </c>
      <c r="T28" s="35">
        <f>R28+S28</f>
        <v/>
      </c>
      <c r="U28" s="35">
        <f>IF((T28/AI28&gt;'Parámetros Proyección'!$G$13),0,D28*'Parámetros Proyección'!$G$13/(IF((H28/AI28&gt;'Parámetros Proyección'!$G$11),0,'Parámetros Proyección'!$G$11)+IF((N28/AI28&gt;'Parámetros Proyección'!$G$12),0,'Parámetros Proyección'!$G$12)+IF((T28/AI28&gt;'Parámetros Proyección'!$G$13),0,'Parámetros Proyección'!$G$13)+IF((Z28/AI28&gt;'Parámetros Proyección'!$G$14),0,'Parámetros Proyección'!$G$14)+IF((AF28/AI28&gt;'Parámetros Proyección'!$G$15),0,'Parámetros Proyección'!$G$15)))</f>
        <v/>
      </c>
      <c r="V28" s="35">
        <f>T28+U28</f>
        <v/>
      </c>
      <c r="W28" s="35">
        <f>AB27</f>
        <v/>
      </c>
      <c r="X28" s="35">
        <f>W28*(1+'Parámetros Proyección'!$E$14)</f>
        <v/>
      </c>
      <c r="Y28" s="35">
        <f>X28*'Parámetros Proyección'!$F$14</f>
        <v/>
      </c>
      <c r="Z28" s="35">
        <f>X28+Y28</f>
        <v/>
      </c>
      <c r="AA28" s="35">
        <f>IF((Z28/AI28&gt;'Parámetros Proyección'!$G$14),0,D28*'Parámetros Proyección'!$G$14/(IF((H28/AI28&gt;'Parámetros Proyección'!$G$11),0,'Parámetros Proyección'!$G$11)+IF((N28/AI28&gt;'Parámetros Proyección'!$G$12),0,'Parámetros Proyección'!$G$12)+IF((T28/AI28&gt;'Parámetros Proyección'!$G$13),0,'Parámetros Proyección'!$G$13)+IF((Z28/AI28&gt;'Parámetros Proyección'!$G$14),0,'Parámetros Proyección'!$G$14)+IF((AF28/AI28&gt;'Parámetros Proyección'!$G$15),0,'Parámetros Proyección'!$G$15)))</f>
        <v/>
      </c>
      <c r="AB28" s="35">
        <f>Z28+AA28</f>
        <v/>
      </c>
      <c r="AC28" s="35">
        <f>AH27</f>
        <v/>
      </c>
      <c r="AD28" s="35">
        <f>AC28*(1+'Parámetros Proyección'!$E$15)</f>
        <v/>
      </c>
      <c r="AE28" s="35">
        <f>AD28*'Parámetros Proyección'!$F$15</f>
        <v/>
      </c>
      <c r="AF28" s="35">
        <f>AD28+AE28</f>
        <v/>
      </c>
      <c r="AG28" s="35">
        <f>IF((AF28/AI28&gt;'Parámetros Proyección'!$G$15),0,D28*'Parámetros Proyección'!$G$15/(IF((H28/AI28&gt;'Parámetros Proyección'!$G$11),0,'Parámetros Proyección'!$G$11)+IF((N28/AI28&gt;'Parámetros Proyección'!$G$12),0,'Parámetros Proyección'!$G$12)+IF((T28/AI28&gt;'Parámetros Proyección'!$G$13),0,'Parámetros Proyección'!$G$13)+IF((Z28/AI28&gt;'Parámetros Proyección'!$G$14),0,'Parámetros Proyección'!$G$14)+IF((AF28/AI28&gt;'Parámetros Proyección'!$G$15),0,'Parámetros Proyección'!$G$15)))</f>
        <v/>
      </c>
      <c r="AH28" s="35">
        <f>AF28+AG28</f>
        <v/>
      </c>
      <c r="AI28" s="35">
        <f>H28+N28+T28+Z28+AF28</f>
        <v/>
      </c>
      <c r="AJ28" s="33">
        <f>AF28/AI28</f>
        <v/>
      </c>
      <c r="AK28">
        <f>IF(AJ28&gt;'Parámetros Proyección'!$B$5,1,0)</f>
        <v/>
      </c>
      <c r="AL28" s="35">
        <f>G28+M28+S28+Y28+AE28</f>
        <v/>
      </c>
      <c r="AM28" s="35">
        <f>AM27+D28</f>
        <v/>
      </c>
      <c r="AN28" s="35">
        <f>AN27+AL28</f>
        <v/>
      </c>
      <c r="AO28" s="35">
        <f>J28+P28+V28+AB28+AH28</f>
        <v/>
      </c>
    </row>
    <row r="29">
      <c r="A29" t="n">
        <v>26</v>
      </c>
      <c r="B29" s="34">
        <f>EDATE(B28,1)</f>
        <v/>
      </c>
      <c r="C29">
        <f>YEAR(B29)</f>
        <v/>
      </c>
      <c r="D29" s="35">
        <f>'Parámetros Proyección'!$B$3*(1+'Parámetros Proyección'!$B$4)^(C29-YEAR('Parámetros Proyección'!$B$6))</f>
        <v/>
      </c>
      <c r="E29" s="35">
        <f>J28</f>
        <v/>
      </c>
      <c r="F29" s="35">
        <f>E29*(1+'Parámetros Proyección'!$E$11)</f>
        <v/>
      </c>
      <c r="G29" s="35">
        <f>F29*'Parámetros Proyección'!$F$11</f>
        <v/>
      </c>
      <c r="H29" s="35">
        <f>F29+G29</f>
        <v/>
      </c>
      <c r="I29" s="35">
        <f>IF((H29/AI29&gt;'Parámetros Proyección'!$G$11),0,D29*'Parámetros Proyección'!$G$11/(IF((H29/AI29&gt;'Parámetros Proyección'!$G$11),0,'Parámetros Proyección'!$G$11)+IF((N29/AI29&gt;'Parámetros Proyección'!$G$12),0,'Parámetros Proyección'!$G$12)+IF((T29/AI29&gt;'Parámetros Proyección'!$G$13),0,'Parámetros Proyección'!$G$13)+IF((Z29/AI29&gt;'Parámetros Proyección'!$G$14),0,'Parámetros Proyección'!$G$14)+IF((AF29/AI29&gt;'Parámetros Proyección'!$G$15),0,'Parámetros Proyección'!$G$15)))</f>
        <v/>
      </c>
      <c r="J29" s="35">
        <f>H29+I29</f>
        <v/>
      </c>
      <c r="K29" s="35">
        <f>P28</f>
        <v/>
      </c>
      <c r="L29" s="35">
        <f>K29*(1+'Parámetros Proyección'!$E$12)</f>
        <v/>
      </c>
      <c r="M29" s="35">
        <f>L29*'Parámetros Proyección'!$F$12</f>
        <v/>
      </c>
      <c r="N29" s="35">
        <f>L29+M29</f>
        <v/>
      </c>
      <c r="O29" s="35">
        <f>IF((N29/AI29&gt;'Parámetros Proyección'!$G$12),0,D29*'Parámetros Proyección'!$G$12/(IF((H29/AI29&gt;'Parámetros Proyección'!$G$11),0,'Parámetros Proyección'!$G$11)+IF((N29/AI29&gt;'Parámetros Proyección'!$G$12),0,'Parámetros Proyección'!$G$12)+IF((T29/AI29&gt;'Parámetros Proyección'!$G$13),0,'Parámetros Proyección'!$G$13)+IF((Z29/AI29&gt;'Parámetros Proyección'!$G$14),0,'Parámetros Proyección'!$G$14)+IF((AF29/AI29&gt;'Parámetros Proyección'!$G$15),0,'Parámetros Proyección'!$G$15)))</f>
        <v/>
      </c>
      <c r="P29" s="35">
        <f>N29+O29</f>
        <v/>
      </c>
      <c r="Q29" s="35">
        <f>V28</f>
        <v/>
      </c>
      <c r="R29" s="35">
        <f>Q29*(1+'Parámetros Proyección'!$E$13)</f>
        <v/>
      </c>
      <c r="S29" s="35">
        <f>R29*'Parámetros Proyección'!$F$13</f>
        <v/>
      </c>
      <c r="T29" s="35">
        <f>R29+S29</f>
        <v/>
      </c>
      <c r="U29" s="35">
        <f>IF((T29/AI29&gt;'Parámetros Proyección'!$G$13),0,D29*'Parámetros Proyección'!$G$13/(IF((H29/AI29&gt;'Parámetros Proyección'!$G$11),0,'Parámetros Proyección'!$G$11)+IF((N29/AI29&gt;'Parámetros Proyección'!$G$12),0,'Parámetros Proyección'!$G$12)+IF((T29/AI29&gt;'Parámetros Proyección'!$G$13),0,'Parámetros Proyección'!$G$13)+IF((Z29/AI29&gt;'Parámetros Proyección'!$G$14),0,'Parámetros Proyección'!$G$14)+IF((AF29/AI29&gt;'Parámetros Proyección'!$G$15),0,'Parámetros Proyección'!$G$15)))</f>
        <v/>
      </c>
      <c r="V29" s="35">
        <f>T29+U29</f>
        <v/>
      </c>
      <c r="W29" s="35">
        <f>AB28</f>
        <v/>
      </c>
      <c r="X29" s="35">
        <f>W29*(1+'Parámetros Proyección'!$E$14)</f>
        <v/>
      </c>
      <c r="Y29" s="35">
        <f>X29*'Parámetros Proyección'!$F$14</f>
        <v/>
      </c>
      <c r="Z29" s="35">
        <f>X29+Y29</f>
        <v/>
      </c>
      <c r="AA29" s="35">
        <f>IF((Z29/AI29&gt;'Parámetros Proyección'!$G$14),0,D29*'Parámetros Proyección'!$G$14/(IF((H29/AI29&gt;'Parámetros Proyección'!$G$11),0,'Parámetros Proyección'!$G$11)+IF((N29/AI29&gt;'Parámetros Proyección'!$G$12),0,'Parámetros Proyección'!$G$12)+IF((T29/AI29&gt;'Parámetros Proyección'!$G$13),0,'Parámetros Proyección'!$G$13)+IF((Z29/AI29&gt;'Parámetros Proyección'!$G$14),0,'Parámetros Proyección'!$G$14)+IF((AF29/AI29&gt;'Parámetros Proyección'!$G$15),0,'Parámetros Proyección'!$G$15)))</f>
        <v/>
      </c>
      <c r="AB29" s="35">
        <f>Z29+AA29</f>
        <v/>
      </c>
      <c r="AC29" s="35">
        <f>AH28</f>
        <v/>
      </c>
      <c r="AD29" s="35">
        <f>AC29*(1+'Parámetros Proyección'!$E$15)</f>
        <v/>
      </c>
      <c r="AE29" s="35">
        <f>AD29*'Parámetros Proyección'!$F$15</f>
        <v/>
      </c>
      <c r="AF29" s="35">
        <f>AD29+AE29</f>
        <v/>
      </c>
      <c r="AG29" s="35">
        <f>IF((AF29/AI29&gt;'Parámetros Proyección'!$G$15),0,D29*'Parámetros Proyección'!$G$15/(IF((H29/AI29&gt;'Parámetros Proyección'!$G$11),0,'Parámetros Proyección'!$G$11)+IF((N29/AI29&gt;'Parámetros Proyección'!$G$12),0,'Parámetros Proyección'!$G$12)+IF((T29/AI29&gt;'Parámetros Proyección'!$G$13),0,'Parámetros Proyección'!$G$13)+IF((Z29/AI29&gt;'Parámetros Proyección'!$G$14),0,'Parámetros Proyección'!$G$14)+IF((AF29/AI29&gt;'Parámetros Proyección'!$G$15),0,'Parámetros Proyección'!$G$15)))</f>
        <v/>
      </c>
      <c r="AH29" s="35">
        <f>AF29+AG29</f>
        <v/>
      </c>
      <c r="AI29" s="35">
        <f>H29+N29+T29+Z29+AF29</f>
        <v/>
      </c>
      <c r="AJ29" s="33">
        <f>AF29/AI29</f>
        <v/>
      </c>
      <c r="AK29">
        <f>IF(AJ29&gt;'Parámetros Proyección'!$B$5,1,0)</f>
        <v/>
      </c>
      <c r="AL29" s="35">
        <f>G29+M29+S29+Y29+AE29</f>
        <v/>
      </c>
      <c r="AM29" s="35">
        <f>AM28+D29</f>
        <v/>
      </c>
      <c r="AN29" s="35">
        <f>AN28+AL29</f>
        <v/>
      </c>
      <c r="AO29" s="35">
        <f>J29+P29+V29+AB29+AH29</f>
        <v/>
      </c>
    </row>
    <row r="30">
      <c r="A30" t="n">
        <v>27</v>
      </c>
      <c r="B30" s="34">
        <f>EDATE(B29,1)</f>
        <v/>
      </c>
      <c r="C30">
        <f>YEAR(B30)</f>
        <v/>
      </c>
      <c r="D30" s="35">
        <f>'Parámetros Proyección'!$B$3*(1+'Parámetros Proyección'!$B$4)^(C30-YEAR('Parámetros Proyección'!$B$6))</f>
        <v/>
      </c>
      <c r="E30" s="35">
        <f>J29</f>
        <v/>
      </c>
      <c r="F30" s="35">
        <f>E30*(1+'Parámetros Proyección'!$E$11)</f>
        <v/>
      </c>
      <c r="G30" s="35">
        <f>F30*'Parámetros Proyección'!$F$11</f>
        <v/>
      </c>
      <c r="H30" s="35">
        <f>F30+G30</f>
        <v/>
      </c>
      <c r="I30" s="35">
        <f>IF((H30/AI30&gt;'Parámetros Proyección'!$G$11),0,D30*'Parámetros Proyección'!$G$11/(IF((H30/AI30&gt;'Parámetros Proyección'!$G$11),0,'Parámetros Proyección'!$G$11)+IF((N30/AI30&gt;'Parámetros Proyección'!$G$12),0,'Parámetros Proyección'!$G$12)+IF((T30/AI30&gt;'Parámetros Proyección'!$G$13),0,'Parámetros Proyección'!$G$13)+IF((Z30/AI30&gt;'Parámetros Proyección'!$G$14),0,'Parámetros Proyección'!$G$14)+IF((AF30/AI30&gt;'Parámetros Proyección'!$G$15),0,'Parámetros Proyección'!$G$15)))</f>
        <v/>
      </c>
      <c r="J30" s="35">
        <f>H30+I30</f>
        <v/>
      </c>
      <c r="K30" s="35">
        <f>P29</f>
        <v/>
      </c>
      <c r="L30" s="35">
        <f>K30*(1+'Parámetros Proyección'!$E$12)</f>
        <v/>
      </c>
      <c r="M30" s="35">
        <f>L30*'Parámetros Proyección'!$F$12</f>
        <v/>
      </c>
      <c r="N30" s="35">
        <f>L30+M30</f>
        <v/>
      </c>
      <c r="O30" s="35">
        <f>IF((N30/AI30&gt;'Parámetros Proyección'!$G$12),0,D30*'Parámetros Proyección'!$G$12/(IF((H30/AI30&gt;'Parámetros Proyección'!$G$11),0,'Parámetros Proyección'!$G$11)+IF((N30/AI30&gt;'Parámetros Proyección'!$G$12),0,'Parámetros Proyección'!$G$12)+IF((T30/AI30&gt;'Parámetros Proyección'!$G$13),0,'Parámetros Proyección'!$G$13)+IF((Z30/AI30&gt;'Parámetros Proyección'!$G$14),0,'Parámetros Proyección'!$G$14)+IF((AF30/AI30&gt;'Parámetros Proyección'!$G$15),0,'Parámetros Proyección'!$G$15)))</f>
        <v/>
      </c>
      <c r="P30" s="35">
        <f>N30+O30</f>
        <v/>
      </c>
      <c r="Q30" s="35">
        <f>V29</f>
        <v/>
      </c>
      <c r="R30" s="35">
        <f>Q30*(1+'Parámetros Proyección'!$E$13)</f>
        <v/>
      </c>
      <c r="S30" s="35">
        <f>R30*'Parámetros Proyección'!$F$13</f>
        <v/>
      </c>
      <c r="T30" s="35">
        <f>R30+S30</f>
        <v/>
      </c>
      <c r="U30" s="35">
        <f>IF((T30/AI30&gt;'Parámetros Proyección'!$G$13),0,D30*'Parámetros Proyección'!$G$13/(IF((H30/AI30&gt;'Parámetros Proyección'!$G$11),0,'Parámetros Proyección'!$G$11)+IF((N30/AI30&gt;'Parámetros Proyección'!$G$12),0,'Parámetros Proyección'!$G$12)+IF((T30/AI30&gt;'Parámetros Proyección'!$G$13),0,'Parámetros Proyección'!$G$13)+IF((Z30/AI30&gt;'Parámetros Proyección'!$G$14),0,'Parámetros Proyección'!$G$14)+IF((AF30/AI30&gt;'Parámetros Proyección'!$G$15),0,'Parámetros Proyección'!$G$15)))</f>
        <v/>
      </c>
      <c r="V30" s="35">
        <f>T30+U30</f>
        <v/>
      </c>
      <c r="W30" s="35">
        <f>AB29</f>
        <v/>
      </c>
      <c r="X30" s="35">
        <f>W30*(1+'Parámetros Proyección'!$E$14)</f>
        <v/>
      </c>
      <c r="Y30" s="35">
        <f>X30*'Parámetros Proyección'!$F$14</f>
        <v/>
      </c>
      <c r="Z30" s="35">
        <f>X30+Y30</f>
        <v/>
      </c>
      <c r="AA30" s="35">
        <f>IF((Z30/AI30&gt;'Parámetros Proyección'!$G$14),0,D30*'Parámetros Proyección'!$G$14/(IF((H30/AI30&gt;'Parámetros Proyección'!$G$11),0,'Parámetros Proyección'!$G$11)+IF((N30/AI30&gt;'Parámetros Proyección'!$G$12),0,'Parámetros Proyección'!$G$12)+IF((T30/AI30&gt;'Parámetros Proyección'!$G$13),0,'Parámetros Proyección'!$G$13)+IF((Z30/AI30&gt;'Parámetros Proyección'!$G$14),0,'Parámetros Proyección'!$G$14)+IF((AF30/AI30&gt;'Parámetros Proyección'!$G$15),0,'Parámetros Proyección'!$G$15)))</f>
        <v/>
      </c>
      <c r="AB30" s="35">
        <f>Z30+AA30</f>
        <v/>
      </c>
      <c r="AC30" s="35">
        <f>AH29</f>
        <v/>
      </c>
      <c r="AD30" s="35">
        <f>AC30*(1+'Parámetros Proyección'!$E$15)</f>
        <v/>
      </c>
      <c r="AE30" s="35">
        <f>AD30*'Parámetros Proyección'!$F$15</f>
        <v/>
      </c>
      <c r="AF30" s="35">
        <f>AD30+AE30</f>
        <v/>
      </c>
      <c r="AG30" s="35">
        <f>IF((AF30/AI30&gt;'Parámetros Proyección'!$G$15),0,D30*'Parámetros Proyección'!$G$15/(IF((H30/AI30&gt;'Parámetros Proyección'!$G$11),0,'Parámetros Proyección'!$G$11)+IF((N30/AI30&gt;'Parámetros Proyección'!$G$12),0,'Parámetros Proyección'!$G$12)+IF((T30/AI30&gt;'Parámetros Proyección'!$G$13),0,'Parámetros Proyección'!$G$13)+IF((Z30/AI30&gt;'Parámetros Proyección'!$G$14),0,'Parámetros Proyección'!$G$14)+IF((AF30/AI30&gt;'Parámetros Proyección'!$G$15),0,'Parámetros Proyección'!$G$15)))</f>
        <v/>
      </c>
      <c r="AH30" s="35">
        <f>AF30+AG30</f>
        <v/>
      </c>
      <c r="AI30" s="35">
        <f>H30+N30+T30+Z30+AF30</f>
        <v/>
      </c>
      <c r="AJ30" s="33">
        <f>AF30/AI30</f>
        <v/>
      </c>
      <c r="AK30">
        <f>IF(AJ30&gt;'Parámetros Proyección'!$B$5,1,0)</f>
        <v/>
      </c>
      <c r="AL30" s="35">
        <f>G30+M30+S30+Y30+AE30</f>
        <v/>
      </c>
      <c r="AM30" s="35">
        <f>AM29+D30</f>
        <v/>
      </c>
      <c r="AN30" s="35">
        <f>AN29+AL30</f>
        <v/>
      </c>
      <c r="AO30" s="35">
        <f>J30+P30+V30+AB30+AH30</f>
        <v/>
      </c>
    </row>
    <row r="31">
      <c r="A31" t="n">
        <v>28</v>
      </c>
      <c r="B31" s="34">
        <f>EDATE(B30,1)</f>
        <v/>
      </c>
      <c r="C31">
        <f>YEAR(B31)</f>
        <v/>
      </c>
      <c r="D31" s="35">
        <f>'Parámetros Proyección'!$B$3*(1+'Parámetros Proyección'!$B$4)^(C31-YEAR('Parámetros Proyección'!$B$6))</f>
        <v/>
      </c>
      <c r="E31" s="35">
        <f>J30</f>
        <v/>
      </c>
      <c r="F31" s="35">
        <f>E31*(1+'Parámetros Proyección'!$E$11)</f>
        <v/>
      </c>
      <c r="G31" s="35">
        <f>F31*'Parámetros Proyección'!$F$11</f>
        <v/>
      </c>
      <c r="H31" s="35">
        <f>F31+G31</f>
        <v/>
      </c>
      <c r="I31" s="35">
        <f>IF((H31/AI31&gt;'Parámetros Proyección'!$G$11),0,D31*'Parámetros Proyección'!$G$11/(IF((H31/AI31&gt;'Parámetros Proyección'!$G$11),0,'Parámetros Proyección'!$G$11)+IF((N31/AI31&gt;'Parámetros Proyección'!$G$12),0,'Parámetros Proyección'!$G$12)+IF((T31/AI31&gt;'Parámetros Proyección'!$G$13),0,'Parámetros Proyección'!$G$13)+IF((Z31/AI31&gt;'Parámetros Proyección'!$G$14),0,'Parámetros Proyección'!$G$14)+IF((AF31/AI31&gt;'Parámetros Proyección'!$G$15),0,'Parámetros Proyección'!$G$15)))</f>
        <v/>
      </c>
      <c r="J31" s="35">
        <f>H31+I31</f>
        <v/>
      </c>
      <c r="K31" s="35">
        <f>P30</f>
        <v/>
      </c>
      <c r="L31" s="35">
        <f>K31*(1+'Parámetros Proyección'!$E$12)</f>
        <v/>
      </c>
      <c r="M31" s="35">
        <f>L31*'Parámetros Proyección'!$F$12</f>
        <v/>
      </c>
      <c r="N31" s="35">
        <f>L31+M31</f>
        <v/>
      </c>
      <c r="O31" s="35">
        <f>IF((N31/AI31&gt;'Parámetros Proyección'!$G$12),0,D31*'Parámetros Proyección'!$G$12/(IF((H31/AI31&gt;'Parámetros Proyección'!$G$11),0,'Parámetros Proyección'!$G$11)+IF((N31/AI31&gt;'Parámetros Proyección'!$G$12),0,'Parámetros Proyección'!$G$12)+IF((T31/AI31&gt;'Parámetros Proyección'!$G$13),0,'Parámetros Proyección'!$G$13)+IF((Z31/AI31&gt;'Parámetros Proyección'!$G$14),0,'Parámetros Proyección'!$G$14)+IF((AF31/AI31&gt;'Parámetros Proyección'!$G$15),0,'Parámetros Proyección'!$G$15)))</f>
        <v/>
      </c>
      <c r="P31" s="35">
        <f>N31+O31</f>
        <v/>
      </c>
      <c r="Q31" s="35">
        <f>V30</f>
        <v/>
      </c>
      <c r="R31" s="35">
        <f>Q31*(1+'Parámetros Proyección'!$E$13)</f>
        <v/>
      </c>
      <c r="S31" s="35">
        <f>R31*'Parámetros Proyección'!$F$13</f>
        <v/>
      </c>
      <c r="T31" s="35">
        <f>R31+S31</f>
        <v/>
      </c>
      <c r="U31" s="35">
        <f>IF((T31/AI31&gt;'Parámetros Proyección'!$G$13),0,D31*'Parámetros Proyección'!$G$13/(IF((H31/AI31&gt;'Parámetros Proyección'!$G$11),0,'Parámetros Proyección'!$G$11)+IF((N31/AI31&gt;'Parámetros Proyección'!$G$12),0,'Parámetros Proyección'!$G$12)+IF((T31/AI31&gt;'Parámetros Proyección'!$G$13),0,'Parámetros Proyección'!$G$13)+IF((Z31/AI31&gt;'Parámetros Proyección'!$G$14),0,'Parámetros Proyección'!$G$14)+IF((AF31/AI31&gt;'Parámetros Proyección'!$G$15),0,'Parámetros Proyección'!$G$15)))</f>
        <v/>
      </c>
      <c r="V31" s="35">
        <f>T31+U31</f>
        <v/>
      </c>
      <c r="W31" s="35">
        <f>AB30</f>
        <v/>
      </c>
      <c r="X31" s="35">
        <f>W31*(1+'Parámetros Proyección'!$E$14)</f>
        <v/>
      </c>
      <c r="Y31" s="35">
        <f>X31*'Parámetros Proyección'!$F$14</f>
        <v/>
      </c>
      <c r="Z31" s="35">
        <f>X31+Y31</f>
        <v/>
      </c>
      <c r="AA31" s="35">
        <f>IF((Z31/AI31&gt;'Parámetros Proyección'!$G$14),0,D31*'Parámetros Proyección'!$G$14/(IF((H31/AI31&gt;'Parámetros Proyección'!$G$11),0,'Parámetros Proyección'!$G$11)+IF((N31/AI31&gt;'Parámetros Proyección'!$G$12),0,'Parámetros Proyección'!$G$12)+IF((T31/AI31&gt;'Parámetros Proyección'!$G$13),0,'Parámetros Proyección'!$G$13)+IF((Z31/AI31&gt;'Parámetros Proyección'!$G$14),0,'Parámetros Proyección'!$G$14)+IF((AF31/AI31&gt;'Parámetros Proyección'!$G$15),0,'Parámetros Proyección'!$G$15)))</f>
        <v/>
      </c>
      <c r="AB31" s="35">
        <f>Z31+AA31</f>
        <v/>
      </c>
      <c r="AC31" s="35">
        <f>AH30</f>
        <v/>
      </c>
      <c r="AD31" s="35">
        <f>AC31*(1+'Parámetros Proyección'!$E$15)</f>
        <v/>
      </c>
      <c r="AE31" s="35">
        <f>AD31*'Parámetros Proyección'!$F$15</f>
        <v/>
      </c>
      <c r="AF31" s="35">
        <f>AD31+AE31</f>
        <v/>
      </c>
      <c r="AG31" s="35">
        <f>IF((AF31/AI31&gt;'Parámetros Proyección'!$G$15),0,D31*'Parámetros Proyección'!$G$15/(IF((H31/AI31&gt;'Parámetros Proyección'!$G$11),0,'Parámetros Proyección'!$G$11)+IF((N31/AI31&gt;'Parámetros Proyección'!$G$12),0,'Parámetros Proyección'!$G$12)+IF((T31/AI31&gt;'Parámetros Proyección'!$G$13),0,'Parámetros Proyección'!$G$13)+IF((Z31/AI31&gt;'Parámetros Proyección'!$G$14),0,'Parámetros Proyección'!$G$14)+IF((AF31/AI31&gt;'Parámetros Proyección'!$G$15),0,'Parámetros Proyección'!$G$15)))</f>
        <v/>
      </c>
      <c r="AH31" s="35">
        <f>AF31+AG31</f>
        <v/>
      </c>
      <c r="AI31" s="35">
        <f>H31+N31+T31+Z31+AF31</f>
        <v/>
      </c>
      <c r="AJ31" s="33">
        <f>AF31/AI31</f>
        <v/>
      </c>
      <c r="AK31">
        <f>IF(AJ31&gt;'Parámetros Proyección'!$B$5,1,0)</f>
        <v/>
      </c>
      <c r="AL31" s="35">
        <f>G31+M31+S31+Y31+AE31</f>
        <v/>
      </c>
      <c r="AM31" s="35">
        <f>AM30+D31</f>
        <v/>
      </c>
      <c r="AN31" s="35">
        <f>AN30+AL31</f>
        <v/>
      </c>
      <c r="AO31" s="35">
        <f>J31+P31+V31+AB31+AH31</f>
        <v/>
      </c>
    </row>
    <row r="32">
      <c r="A32" t="n">
        <v>29</v>
      </c>
      <c r="B32" s="34">
        <f>EDATE(B31,1)</f>
        <v/>
      </c>
      <c r="C32">
        <f>YEAR(B32)</f>
        <v/>
      </c>
      <c r="D32" s="35">
        <f>'Parámetros Proyección'!$B$3*(1+'Parámetros Proyección'!$B$4)^(C32-YEAR('Parámetros Proyección'!$B$6))</f>
        <v/>
      </c>
      <c r="E32" s="35">
        <f>J31</f>
        <v/>
      </c>
      <c r="F32" s="35">
        <f>E32*(1+'Parámetros Proyección'!$E$11)</f>
        <v/>
      </c>
      <c r="G32" s="35">
        <f>F32*'Parámetros Proyección'!$F$11</f>
        <v/>
      </c>
      <c r="H32" s="35">
        <f>F32+G32</f>
        <v/>
      </c>
      <c r="I32" s="35">
        <f>IF((H32/AI32&gt;'Parámetros Proyección'!$G$11),0,D32*'Parámetros Proyección'!$G$11/(IF((H32/AI32&gt;'Parámetros Proyección'!$G$11),0,'Parámetros Proyección'!$G$11)+IF((N32/AI32&gt;'Parámetros Proyección'!$G$12),0,'Parámetros Proyección'!$G$12)+IF((T32/AI32&gt;'Parámetros Proyección'!$G$13),0,'Parámetros Proyección'!$G$13)+IF((Z32/AI32&gt;'Parámetros Proyección'!$G$14),0,'Parámetros Proyección'!$G$14)+IF((AF32/AI32&gt;'Parámetros Proyección'!$G$15),0,'Parámetros Proyección'!$G$15)))</f>
        <v/>
      </c>
      <c r="J32" s="35">
        <f>H32+I32</f>
        <v/>
      </c>
      <c r="K32" s="35">
        <f>P31</f>
        <v/>
      </c>
      <c r="L32" s="35">
        <f>K32*(1+'Parámetros Proyección'!$E$12)</f>
        <v/>
      </c>
      <c r="M32" s="35">
        <f>L32*'Parámetros Proyección'!$F$12</f>
        <v/>
      </c>
      <c r="N32" s="35">
        <f>L32+M32</f>
        <v/>
      </c>
      <c r="O32" s="35">
        <f>IF((N32/AI32&gt;'Parámetros Proyección'!$G$12),0,D32*'Parámetros Proyección'!$G$12/(IF((H32/AI32&gt;'Parámetros Proyección'!$G$11),0,'Parámetros Proyección'!$G$11)+IF((N32/AI32&gt;'Parámetros Proyección'!$G$12),0,'Parámetros Proyección'!$G$12)+IF((T32/AI32&gt;'Parámetros Proyección'!$G$13),0,'Parámetros Proyección'!$G$13)+IF((Z32/AI32&gt;'Parámetros Proyección'!$G$14),0,'Parámetros Proyección'!$G$14)+IF((AF32/AI32&gt;'Parámetros Proyección'!$G$15),0,'Parámetros Proyección'!$G$15)))</f>
        <v/>
      </c>
      <c r="P32" s="35">
        <f>N32+O32</f>
        <v/>
      </c>
      <c r="Q32" s="35">
        <f>V31</f>
        <v/>
      </c>
      <c r="R32" s="35">
        <f>Q32*(1+'Parámetros Proyección'!$E$13)</f>
        <v/>
      </c>
      <c r="S32" s="35">
        <f>R32*'Parámetros Proyección'!$F$13</f>
        <v/>
      </c>
      <c r="T32" s="35">
        <f>R32+S32</f>
        <v/>
      </c>
      <c r="U32" s="35">
        <f>IF((T32/AI32&gt;'Parámetros Proyección'!$G$13),0,D32*'Parámetros Proyección'!$G$13/(IF((H32/AI32&gt;'Parámetros Proyección'!$G$11),0,'Parámetros Proyección'!$G$11)+IF((N32/AI32&gt;'Parámetros Proyección'!$G$12),0,'Parámetros Proyección'!$G$12)+IF((T32/AI32&gt;'Parámetros Proyección'!$G$13),0,'Parámetros Proyección'!$G$13)+IF((Z32/AI32&gt;'Parámetros Proyección'!$G$14),0,'Parámetros Proyección'!$G$14)+IF((AF32/AI32&gt;'Parámetros Proyección'!$G$15),0,'Parámetros Proyección'!$G$15)))</f>
        <v/>
      </c>
      <c r="V32" s="35">
        <f>T32+U32</f>
        <v/>
      </c>
      <c r="W32" s="35">
        <f>AB31</f>
        <v/>
      </c>
      <c r="X32" s="35">
        <f>W32*(1+'Parámetros Proyección'!$E$14)</f>
        <v/>
      </c>
      <c r="Y32" s="35">
        <f>X32*'Parámetros Proyección'!$F$14</f>
        <v/>
      </c>
      <c r="Z32" s="35">
        <f>X32+Y32</f>
        <v/>
      </c>
      <c r="AA32" s="35">
        <f>IF((Z32/AI32&gt;'Parámetros Proyección'!$G$14),0,D32*'Parámetros Proyección'!$G$14/(IF((H32/AI32&gt;'Parámetros Proyección'!$G$11),0,'Parámetros Proyección'!$G$11)+IF((N32/AI32&gt;'Parámetros Proyección'!$G$12),0,'Parámetros Proyección'!$G$12)+IF((T32/AI32&gt;'Parámetros Proyección'!$G$13),0,'Parámetros Proyección'!$G$13)+IF((Z32/AI32&gt;'Parámetros Proyección'!$G$14),0,'Parámetros Proyección'!$G$14)+IF((AF32/AI32&gt;'Parámetros Proyección'!$G$15),0,'Parámetros Proyección'!$G$15)))</f>
        <v/>
      </c>
      <c r="AB32" s="35">
        <f>Z32+AA32</f>
        <v/>
      </c>
      <c r="AC32" s="35">
        <f>AH31</f>
        <v/>
      </c>
      <c r="AD32" s="35">
        <f>AC32*(1+'Parámetros Proyección'!$E$15)</f>
        <v/>
      </c>
      <c r="AE32" s="35">
        <f>AD32*'Parámetros Proyección'!$F$15</f>
        <v/>
      </c>
      <c r="AF32" s="35">
        <f>AD32+AE32</f>
        <v/>
      </c>
      <c r="AG32" s="35">
        <f>IF((AF32/AI32&gt;'Parámetros Proyección'!$G$15),0,D32*'Parámetros Proyección'!$G$15/(IF((H32/AI32&gt;'Parámetros Proyección'!$G$11),0,'Parámetros Proyección'!$G$11)+IF((N32/AI32&gt;'Parámetros Proyección'!$G$12),0,'Parámetros Proyección'!$G$12)+IF((T32/AI32&gt;'Parámetros Proyección'!$G$13),0,'Parámetros Proyección'!$G$13)+IF((Z32/AI32&gt;'Parámetros Proyección'!$G$14),0,'Parámetros Proyección'!$G$14)+IF((AF32/AI32&gt;'Parámetros Proyección'!$G$15),0,'Parámetros Proyección'!$G$15)))</f>
        <v/>
      </c>
      <c r="AH32" s="35">
        <f>AF32+AG32</f>
        <v/>
      </c>
      <c r="AI32" s="35">
        <f>H32+N32+T32+Z32+AF32</f>
        <v/>
      </c>
      <c r="AJ32" s="33">
        <f>AF32/AI32</f>
        <v/>
      </c>
      <c r="AK32">
        <f>IF(AJ32&gt;'Parámetros Proyección'!$B$5,1,0)</f>
        <v/>
      </c>
      <c r="AL32" s="35">
        <f>G32+M32+S32+Y32+AE32</f>
        <v/>
      </c>
      <c r="AM32" s="35">
        <f>AM31+D32</f>
        <v/>
      </c>
      <c r="AN32" s="35">
        <f>AN31+AL32</f>
        <v/>
      </c>
      <c r="AO32" s="35">
        <f>J32+P32+V32+AB32+AH32</f>
        <v/>
      </c>
    </row>
    <row r="33">
      <c r="A33" t="n">
        <v>30</v>
      </c>
      <c r="B33" s="34">
        <f>EDATE(B32,1)</f>
        <v/>
      </c>
      <c r="C33">
        <f>YEAR(B33)</f>
        <v/>
      </c>
      <c r="D33" s="35">
        <f>'Parámetros Proyección'!$B$3*(1+'Parámetros Proyección'!$B$4)^(C33-YEAR('Parámetros Proyección'!$B$6))</f>
        <v/>
      </c>
      <c r="E33" s="35">
        <f>J32</f>
        <v/>
      </c>
      <c r="F33" s="35">
        <f>E33*(1+'Parámetros Proyección'!$E$11)</f>
        <v/>
      </c>
      <c r="G33" s="35">
        <f>F33*'Parámetros Proyección'!$F$11</f>
        <v/>
      </c>
      <c r="H33" s="35">
        <f>F33+G33</f>
        <v/>
      </c>
      <c r="I33" s="35">
        <f>IF((H33/AI33&gt;'Parámetros Proyección'!$G$11),0,D33*'Parámetros Proyección'!$G$11/(IF((H33/AI33&gt;'Parámetros Proyección'!$G$11),0,'Parámetros Proyección'!$G$11)+IF((N33/AI33&gt;'Parámetros Proyección'!$G$12),0,'Parámetros Proyección'!$G$12)+IF((T33/AI33&gt;'Parámetros Proyección'!$G$13),0,'Parámetros Proyección'!$G$13)+IF((Z33/AI33&gt;'Parámetros Proyección'!$G$14),0,'Parámetros Proyección'!$G$14)+IF((AF33/AI33&gt;'Parámetros Proyección'!$G$15),0,'Parámetros Proyección'!$G$15)))</f>
        <v/>
      </c>
      <c r="J33" s="35">
        <f>H33+I33</f>
        <v/>
      </c>
      <c r="K33" s="35">
        <f>P32</f>
        <v/>
      </c>
      <c r="L33" s="35">
        <f>K33*(1+'Parámetros Proyección'!$E$12)</f>
        <v/>
      </c>
      <c r="M33" s="35">
        <f>L33*'Parámetros Proyección'!$F$12</f>
        <v/>
      </c>
      <c r="N33" s="35">
        <f>L33+M33</f>
        <v/>
      </c>
      <c r="O33" s="35">
        <f>IF((N33/AI33&gt;'Parámetros Proyección'!$G$12),0,D33*'Parámetros Proyección'!$G$12/(IF((H33/AI33&gt;'Parámetros Proyección'!$G$11),0,'Parámetros Proyección'!$G$11)+IF((N33/AI33&gt;'Parámetros Proyección'!$G$12),0,'Parámetros Proyección'!$G$12)+IF((T33/AI33&gt;'Parámetros Proyección'!$G$13),0,'Parámetros Proyección'!$G$13)+IF((Z33/AI33&gt;'Parámetros Proyección'!$G$14),0,'Parámetros Proyección'!$G$14)+IF((AF33/AI33&gt;'Parámetros Proyección'!$G$15),0,'Parámetros Proyección'!$G$15)))</f>
        <v/>
      </c>
      <c r="P33" s="35">
        <f>N33+O33</f>
        <v/>
      </c>
      <c r="Q33" s="35">
        <f>V32</f>
        <v/>
      </c>
      <c r="R33" s="35">
        <f>Q33*(1+'Parámetros Proyección'!$E$13)</f>
        <v/>
      </c>
      <c r="S33" s="35">
        <f>R33*'Parámetros Proyección'!$F$13</f>
        <v/>
      </c>
      <c r="T33" s="35">
        <f>R33+S33</f>
        <v/>
      </c>
      <c r="U33" s="35">
        <f>IF((T33/AI33&gt;'Parámetros Proyección'!$G$13),0,D33*'Parámetros Proyección'!$G$13/(IF((H33/AI33&gt;'Parámetros Proyección'!$G$11),0,'Parámetros Proyección'!$G$11)+IF((N33/AI33&gt;'Parámetros Proyección'!$G$12),0,'Parámetros Proyección'!$G$12)+IF((T33/AI33&gt;'Parámetros Proyección'!$G$13),0,'Parámetros Proyección'!$G$13)+IF((Z33/AI33&gt;'Parámetros Proyección'!$G$14),0,'Parámetros Proyección'!$G$14)+IF((AF33/AI33&gt;'Parámetros Proyección'!$G$15),0,'Parámetros Proyección'!$G$15)))</f>
        <v/>
      </c>
      <c r="V33" s="35">
        <f>T33+U33</f>
        <v/>
      </c>
      <c r="W33" s="35">
        <f>AB32</f>
        <v/>
      </c>
      <c r="X33" s="35">
        <f>W33*(1+'Parámetros Proyección'!$E$14)</f>
        <v/>
      </c>
      <c r="Y33" s="35">
        <f>X33*'Parámetros Proyección'!$F$14</f>
        <v/>
      </c>
      <c r="Z33" s="35">
        <f>X33+Y33</f>
        <v/>
      </c>
      <c r="AA33" s="35">
        <f>IF((Z33/AI33&gt;'Parámetros Proyección'!$G$14),0,D33*'Parámetros Proyección'!$G$14/(IF((H33/AI33&gt;'Parámetros Proyección'!$G$11),0,'Parámetros Proyección'!$G$11)+IF((N33/AI33&gt;'Parámetros Proyección'!$G$12),0,'Parámetros Proyección'!$G$12)+IF((T33/AI33&gt;'Parámetros Proyección'!$G$13),0,'Parámetros Proyección'!$G$13)+IF((Z33/AI33&gt;'Parámetros Proyección'!$G$14),0,'Parámetros Proyección'!$G$14)+IF((AF33/AI33&gt;'Parámetros Proyección'!$G$15),0,'Parámetros Proyección'!$G$15)))</f>
        <v/>
      </c>
      <c r="AB33" s="35">
        <f>Z33+AA33</f>
        <v/>
      </c>
      <c r="AC33" s="35">
        <f>AH32</f>
        <v/>
      </c>
      <c r="AD33" s="35">
        <f>AC33*(1+'Parámetros Proyección'!$E$15)</f>
        <v/>
      </c>
      <c r="AE33" s="35">
        <f>AD33*'Parámetros Proyección'!$F$15</f>
        <v/>
      </c>
      <c r="AF33" s="35">
        <f>AD33+AE33</f>
        <v/>
      </c>
      <c r="AG33" s="35">
        <f>IF((AF33/AI33&gt;'Parámetros Proyección'!$G$15),0,D33*'Parámetros Proyección'!$G$15/(IF((H33/AI33&gt;'Parámetros Proyección'!$G$11),0,'Parámetros Proyección'!$G$11)+IF((N33/AI33&gt;'Parámetros Proyección'!$G$12),0,'Parámetros Proyección'!$G$12)+IF((T33/AI33&gt;'Parámetros Proyección'!$G$13),0,'Parámetros Proyección'!$G$13)+IF((Z33/AI33&gt;'Parámetros Proyección'!$G$14),0,'Parámetros Proyección'!$G$14)+IF((AF33/AI33&gt;'Parámetros Proyección'!$G$15),0,'Parámetros Proyección'!$G$15)))</f>
        <v/>
      </c>
      <c r="AH33" s="35">
        <f>AF33+AG33</f>
        <v/>
      </c>
      <c r="AI33" s="35">
        <f>H33+N33+T33+Z33+AF33</f>
        <v/>
      </c>
      <c r="AJ33" s="33">
        <f>AF33/AI33</f>
        <v/>
      </c>
      <c r="AK33">
        <f>IF(AJ33&gt;'Parámetros Proyección'!$B$5,1,0)</f>
        <v/>
      </c>
      <c r="AL33" s="35">
        <f>G33+M33+S33+Y33+AE33</f>
        <v/>
      </c>
      <c r="AM33" s="35">
        <f>AM32+D33</f>
        <v/>
      </c>
      <c r="AN33" s="35">
        <f>AN32+AL33</f>
        <v/>
      </c>
      <c r="AO33" s="35">
        <f>J33+P33+V33+AB33+AH33</f>
        <v/>
      </c>
    </row>
    <row r="34">
      <c r="A34" t="n">
        <v>31</v>
      </c>
      <c r="B34" s="34">
        <f>EDATE(B33,1)</f>
        <v/>
      </c>
      <c r="C34">
        <f>YEAR(B34)</f>
        <v/>
      </c>
      <c r="D34" s="35">
        <f>'Parámetros Proyección'!$B$3*(1+'Parámetros Proyección'!$B$4)^(C34-YEAR('Parámetros Proyección'!$B$6))</f>
        <v/>
      </c>
      <c r="E34" s="35">
        <f>J33</f>
        <v/>
      </c>
      <c r="F34" s="35">
        <f>E34*(1+'Parámetros Proyección'!$E$11)</f>
        <v/>
      </c>
      <c r="G34" s="35">
        <f>F34*'Parámetros Proyección'!$F$11</f>
        <v/>
      </c>
      <c r="H34" s="35">
        <f>F34+G34</f>
        <v/>
      </c>
      <c r="I34" s="35">
        <f>IF((H34/AI34&gt;'Parámetros Proyección'!$G$11),0,D34*'Parámetros Proyección'!$G$11/(IF((H34/AI34&gt;'Parámetros Proyección'!$G$11),0,'Parámetros Proyección'!$G$11)+IF((N34/AI34&gt;'Parámetros Proyección'!$G$12),0,'Parámetros Proyección'!$G$12)+IF((T34/AI34&gt;'Parámetros Proyección'!$G$13),0,'Parámetros Proyección'!$G$13)+IF((Z34/AI34&gt;'Parámetros Proyección'!$G$14),0,'Parámetros Proyección'!$G$14)+IF((AF34/AI34&gt;'Parámetros Proyección'!$G$15),0,'Parámetros Proyección'!$G$15)))</f>
        <v/>
      </c>
      <c r="J34" s="35">
        <f>H34+I34</f>
        <v/>
      </c>
      <c r="K34" s="35">
        <f>P33</f>
        <v/>
      </c>
      <c r="L34" s="35">
        <f>K34*(1+'Parámetros Proyección'!$E$12)</f>
        <v/>
      </c>
      <c r="M34" s="35">
        <f>L34*'Parámetros Proyección'!$F$12</f>
        <v/>
      </c>
      <c r="N34" s="35">
        <f>L34+M34</f>
        <v/>
      </c>
      <c r="O34" s="35">
        <f>IF((N34/AI34&gt;'Parámetros Proyección'!$G$12),0,D34*'Parámetros Proyección'!$G$12/(IF((H34/AI34&gt;'Parámetros Proyección'!$G$11),0,'Parámetros Proyección'!$G$11)+IF((N34/AI34&gt;'Parámetros Proyección'!$G$12),0,'Parámetros Proyección'!$G$12)+IF((T34/AI34&gt;'Parámetros Proyección'!$G$13),0,'Parámetros Proyección'!$G$13)+IF((Z34/AI34&gt;'Parámetros Proyección'!$G$14),0,'Parámetros Proyección'!$G$14)+IF((AF34/AI34&gt;'Parámetros Proyección'!$G$15),0,'Parámetros Proyección'!$G$15)))</f>
        <v/>
      </c>
      <c r="P34" s="35">
        <f>N34+O34</f>
        <v/>
      </c>
      <c r="Q34" s="35">
        <f>V33</f>
        <v/>
      </c>
      <c r="R34" s="35">
        <f>Q34*(1+'Parámetros Proyección'!$E$13)</f>
        <v/>
      </c>
      <c r="S34" s="35">
        <f>R34*'Parámetros Proyección'!$F$13</f>
        <v/>
      </c>
      <c r="T34" s="35">
        <f>R34+S34</f>
        <v/>
      </c>
      <c r="U34" s="35">
        <f>IF((T34/AI34&gt;'Parámetros Proyección'!$G$13),0,D34*'Parámetros Proyección'!$G$13/(IF((H34/AI34&gt;'Parámetros Proyección'!$G$11),0,'Parámetros Proyección'!$G$11)+IF((N34/AI34&gt;'Parámetros Proyección'!$G$12),0,'Parámetros Proyección'!$G$12)+IF((T34/AI34&gt;'Parámetros Proyección'!$G$13),0,'Parámetros Proyección'!$G$13)+IF((Z34/AI34&gt;'Parámetros Proyección'!$G$14),0,'Parámetros Proyección'!$G$14)+IF((AF34/AI34&gt;'Parámetros Proyección'!$G$15),0,'Parámetros Proyección'!$G$15)))</f>
        <v/>
      </c>
      <c r="V34" s="35">
        <f>T34+U34</f>
        <v/>
      </c>
      <c r="W34" s="35">
        <f>AB33</f>
        <v/>
      </c>
      <c r="X34" s="35">
        <f>W34*(1+'Parámetros Proyección'!$E$14)</f>
        <v/>
      </c>
      <c r="Y34" s="35">
        <f>X34*'Parámetros Proyección'!$F$14</f>
        <v/>
      </c>
      <c r="Z34" s="35">
        <f>X34+Y34</f>
        <v/>
      </c>
      <c r="AA34" s="35">
        <f>IF((Z34/AI34&gt;'Parámetros Proyección'!$G$14),0,D34*'Parámetros Proyección'!$G$14/(IF((H34/AI34&gt;'Parámetros Proyección'!$G$11),0,'Parámetros Proyección'!$G$11)+IF((N34/AI34&gt;'Parámetros Proyección'!$G$12),0,'Parámetros Proyección'!$G$12)+IF((T34/AI34&gt;'Parámetros Proyección'!$G$13),0,'Parámetros Proyección'!$G$13)+IF((Z34/AI34&gt;'Parámetros Proyección'!$G$14),0,'Parámetros Proyección'!$G$14)+IF((AF34/AI34&gt;'Parámetros Proyección'!$G$15),0,'Parámetros Proyección'!$G$15)))</f>
        <v/>
      </c>
      <c r="AB34" s="35">
        <f>Z34+AA34</f>
        <v/>
      </c>
      <c r="AC34" s="35">
        <f>AH33</f>
        <v/>
      </c>
      <c r="AD34" s="35">
        <f>AC34*(1+'Parámetros Proyección'!$E$15)</f>
        <v/>
      </c>
      <c r="AE34" s="35">
        <f>AD34*'Parámetros Proyección'!$F$15</f>
        <v/>
      </c>
      <c r="AF34" s="35">
        <f>AD34+AE34</f>
        <v/>
      </c>
      <c r="AG34" s="35">
        <f>IF((AF34/AI34&gt;'Parámetros Proyección'!$G$15),0,D34*'Parámetros Proyección'!$G$15/(IF((H34/AI34&gt;'Parámetros Proyección'!$G$11),0,'Parámetros Proyección'!$G$11)+IF((N34/AI34&gt;'Parámetros Proyección'!$G$12),0,'Parámetros Proyección'!$G$12)+IF((T34/AI34&gt;'Parámetros Proyección'!$G$13),0,'Parámetros Proyección'!$G$13)+IF((Z34/AI34&gt;'Parámetros Proyección'!$G$14),0,'Parámetros Proyección'!$G$14)+IF((AF34/AI34&gt;'Parámetros Proyección'!$G$15),0,'Parámetros Proyección'!$G$15)))</f>
        <v/>
      </c>
      <c r="AH34" s="35">
        <f>AF34+AG34</f>
        <v/>
      </c>
      <c r="AI34" s="35">
        <f>H34+N34+T34+Z34+AF34</f>
        <v/>
      </c>
      <c r="AJ34" s="33">
        <f>AF34/AI34</f>
        <v/>
      </c>
      <c r="AK34">
        <f>IF(AJ34&gt;'Parámetros Proyección'!$B$5,1,0)</f>
        <v/>
      </c>
      <c r="AL34" s="35">
        <f>G34+M34+S34+Y34+AE34</f>
        <v/>
      </c>
      <c r="AM34" s="35">
        <f>AM33+D34</f>
        <v/>
      </c>
      <c r="AN34" s="35">
        <f>AN33+AL34</f>
        <v/>
      </c>
      <c r="AO34" s="35">
        <f>J34+P34+V34+AB34+AH34</f>
        <v/>
      </c>
    </row>
    <row r="35">
      <c r="A35" t="n">
        <v>32</v>
      </c>
      <c r="B35" s="34">
        <f>EDATE(B34,1)</f>
        <v/>
      </c>
      <c r="C35">
        <f>YEAR(B35)</f>
        <v/>
      </c>
      <c r="D35" s="35">
        <f>'Parámetros Proyección'!$B$3*(1+'Parámetros Proyección'!$B$4)^(C35-YEAR('Parámetros Proyección'!$B$6))</f>
        <v/>
      </c>
      <c r="E35" s="35">
        <f>J34</f>
        <v/>
      </c>
      <c r="F35" s="35">
        <f>E35*(1+'Parámetros Proyección'!$E$11)</f>
        <v/>
      </c>
      <c r="G35" s="35">
        <f>F35*'Parámetros Proyección'!$F$11</f>
        <v/>
      </c>
      <c r="H35" s="35">
        <f>F35+G35</f>
        <v/>
      </c>
      <c r="I35" s="35">
        <f>IF((H35/AI35&gt;'Parámetros Proyección'!$G$11),0,D35*'Parámetros Proyección'!$G$11/(IF((H35/AI35&gt;'Parámetros Proyección'!$G$11),0,'Parámetros Proyección'!$G$11)+IF((N35/AI35&gt;'Parámetros Proyección'!$G$12),0,'Parámetros Proyección'!$G$12)+IF((T35/AI35&gt;'Parámetros Proyección'!$G$13),0,'Parámetros Proyección'!$G$13)+IF((Z35/AI35&gt;'Parámetros Proyección'!$G$14),0,'Parámetros Proyección'!$G$14)+IF((AF35/AI35&gt;'Parámetros Proyección'!$G$15),0,'Parámetros Proyección'!$G$15)))</f>
        <v/>
      </c>
      <c r="J35" s="35">
        <f>H35+I35</f>
        <v/>
      </c>
      <c r="K35" s="35">
        <f>P34</f>
        <v/>
      </c>
      <c r="L35" s="35">
        <f>K35*(1+'Parámetros Proyección'!$E$12)</f>
        <v/>
      </c>
      <c r="M35" s="35">
        <f>L35*'Parámetros Proyección'!$F$12</f>
        <v/>
      </c>
      <c r="N35" s="35">
        <f>L35+M35</f>
        <v/>
      </c>
      <c r="O35" s="35">
        <f>IF((N35/AI35&gt;'Parámetros Proyección'!$G$12),0,D35*'Parámetros Proyección'!$G$12/(IF((H35/AI35&gt;'Parámetros Proyección'!$G$11),0,'Parámetros Proyección'!$G$11)+IF((N35/AI35&gt;'Parámetros Proyección'!$G$12),0,'Parámetros Proyección'!$G$12)+IF((T35/AI35&gt;'Parámetros Proyección'!$G$13),0,'Parámetros Proyección'!$G$13)+IF((Z35/AI35&gt;'Parámetros Proyección'!$G$14),0,'Parámetros Proyección'!$G$14)+IF((AF35/AI35&gt;'Parámetros Proyección'!$G$15),0,'Parámetros Proyección'!$G$15)))</f>
        <v/>
      </c>
      <c r="P35" s="35">
        <f>N35+O35</f>
        <v/>
      </c>
      <c r="Q35" s="35">
        <f>V34</f>
        <v/>
      </c>
      <c r="R35" s="35">
        <f>Q35*(1+'Parámetros Proyección'!$E$13)</f>
        <v/>
      </c>
      <c r="S35" s="35">
        <f>R35*'Parámetros Proyección'!$F$13</f>
        <v/>
      </c>
      <c r="T35" s="35">
        <f>R35+S35</f>
        <v/>
      </c>
      <c r="U35" s="35">
        <f>IF((T35/AI35&gt;'Parámetros Proyección'!$G$13),0,D35*'Parámetros Proyección'!$G$13/(IF((H35/AI35&gt;'Parámetros Proyección'!$G$11),0,'Parámetros Proyección'!$G$11)+IF((N35/AI35&gt;'Parámetros Proyección'!$G$12),0,'Parámetros Proyección'!$G$12)+IF((T35/AI35&gt;'Parámetros Proyección'!$G$13),0,'Parámetros Proyección'!$G$13)+IF((Z35/AI35&gt;'Parámetros Proyección'!$G$14),0,'Parámetros Proyección'!$G$14)+IF((AF35/AI35&gt;'Parámetros Proyección'!$G$15),0,'Parámetros Proyección'!$G$15)))</f>
        <v/>
      </c>
      <c r="V35" s="35">
        <f>T35+U35</f>
        <v/>
      </c>
      <c r="W35" s="35">
        <f>AB34</f>
        <v/>
      </c>
      <c r="X35" s="35">
        <f>W35*(1+'Parámetros Proyección'!$E$14)</f>
        <v/>
      </c>
      <c r="Y35" s="35">
        <f>X35*'Parámetros Proyección'!$F$14</f>
        <v/>
      </c>
      <c r="Z35" s="35">
        <f>X35+Y35</f>
        <v/>
      </c>
      <c r="AA35" s="35">
        <f>IF((Z35/AI35&gt;'Parámetros Proyección'!$G$14),0,D35*'Parámetros Proyección'!$G$14/(IF((H35/AI35&gt;'Parámetros Proyección'!$G$11),0,'Parámetros Proyección'!$G$11)+IF((N35/AI35&gt;'Parámetros Proyección'!$G$12),0,'Parámetros Proyección'!$G$12)+IF((T35/AI35&gt;'Parámetros Proyección'!$G$13),0,'Parámetros Proyección'!$G$13)+IF((Z35/AI35&gt;'Parámetros Proyección'!$G$14),0,'Parámetros Proyección'!$G$14)+IF((AF35/AI35&gt;'Parámetros Proyección'!$G$15),0,'Parámetros Proyección'!$G$15)))</f>
        <v/>
      </c>
      <c r="AB35" s="35">
        <f>Z35+AA35</f>
        <v/>
      </c>
      <c r="AC35" s="35">
        <f>AH34</f>
        <v/>
      </c>
      <c r="AD35" s="35">
        <f>AC35*(1+'Parámetros Proyección'!$E$15)</f>
        <v/>
      </c>
      <c r="AE35" s="35">
        <f>AD35*'Parámetros Proyección'!$F$15</f>
        <v/>
      </c>
      <c r="AF35" s="35">
        <f>AD35+AE35</f>
        <v/>
      </c>
      <c r="AG35" s="35">
        <f>IF((AF35/AI35&gt;'Parámetros Proyección'!$G$15),0,D35*'Parámetros Proyección'!$G$15/(IF((H35/AI35&gt;'Parámetros Proyección'!$G$11),0,'Parámetros Proyección'!$G$11)+IF((N35/AI35&gt;'Parámetros Proyección'!$G$12),0,'Parámetros Proyección'!$G$12)+IF((T35/AI35&gt;'Parámetros Proyección'!$G$13),0,'Parámetros Proyección'!$G$13)+IF((Z35/AI35&gt;'Parámetros Proyección'!$G$14),0,'Parámetros Proyección'!$G$14)+IF((AF35/AI35&gt;'Parámetros Proyección'!$G$15),0,'Parámetros Proyección'!$G$15)))</f>
        <v/>
      </c>
      <c r="AH35" s="35">
        <f>AF35+AG35</f>
        <v/>
      </c>
      <c r="AI35" s="35">
        <f>H35+N35+T35+Z35+AF35</f>
        <v/>
      </c>
      <c r="AJ35" s="33">
        <f>AF35/AI35</f>
        <v/>
      </c>
      <c r="AK35">
        <f>IF(AJ35&gt;'Parámetros Proyección'!$B$5,1,0)</f>
        <v/>
      </c>
      <c r="AL35" s="35">
        <f>G35+M35+S35+Y35+AE35</f>
        <v/>
      </c>
      <c r="AM35" s="35">
        <f>AM34+D35</f>
        <v/>
      </c>
      <c r="AN35" s="35">
        <f>AN34+AL35</f>
        <v/>
      </c>
      <c r="AO35" s="35">
        <f>J35+P35+V35+AB35+AH35</f>
        <v/>
      </c>
    </row>
    <row r="36">
      <c r="A36" t="n">
        <v>33</v>
      </c>
      <c r="B36" s="34">
        <f>EDATE(B35,1)</f>
        <v/>
      </c>
      <c r="C36">
        <f>YEAR(B36)</f>
        <v/>
      </c>
      <c r="D36" s="35">
        <f>'Parámetros Proyección'!$B$3*(1+'Parámetros Proyección'!$B$4)^(C36-YEAR('Parámetros Proyección'!$B$6))</f>
        <v/>
      </c>
      <c r="E36" s="35">
        <f>J35</f>
        <v/>
      </c>
      <c r="F36" s="35">
        <f>E36*(1+'Parámetros Proyección'!$E$11)</f>
        <v/>
      </c>
      <c r="G36" s="35">
        <f>F36*'Parámetros Proyección'!$F$11</f>
        <v/>
      </c>
      <c r="H36" s="35">
        <f>F36+G36</f>
        <v/>
      </c>
      <c r="I36" s="35">
        <f>IF((H36/AI36&gt;'Parámetros Proyección'!$G$11),0,D36*'Parámetros Proyección'!$G$11/(IF((H36/AI36&gt;'Parámetros Proyección'!$G$11),0,'Parámetros Proyección'!$G$11)+IF((N36/AI36&gt;'Parámetros Proyección'!$G$12),0,'Parámetros Proyección'!$G$12)+IF((T36/AI36&gt;'Parámetros Proyección'!$G$13),0,'Parámetros Proyección'!$G$13)+IF((Z36/AI36&gt;'Parámetros Proyección'!$G$14),0,'Parámetros Proyección'!$G$14)+IF((AF36/AI36&gt;'Parámetros Proyección'!$G$15),0,'Parámetros Proyección'!$G$15)))</f>
        <v/>
      </c>
      <c r="J36" s="35">
        <f>H36+I36</f>
        <v/>
      </c>
      <c r="K36" s="35">
        <f>P35</f>
        <v/>
      </c>
      <c r="L36" s="35">
        <f>K36*(1+'Parámetros Proyección'!$E$12)</f>
        <v/>
      </c>
      <c r="M36" s="35">
        <f>L36*'Parámetros Proyección'!$F$12</f>
        <v/>
      </c>
      <c r="N36" s="35">
        <f>L36+M36</f>
        <v/>
      </c>
      <c r="O36" s="35">
        <f>IF((N36/AI36&gt;'Parámetros Proyección'!$G$12),0,D36*'Parámetros Proyección'!$G$12/(IF((H36/AI36&gt;'Parámetros Proyección'!$G$11),0,'Parámetros Proyección'!$G$11)+IF((N36/AI36&gt;'Parámetros Proyección'!$G$12),0,'Parámetros Proyección'!$G$12)+IF((T36/AI36&gt;'Parámetros Proyección'!$G$13),0,'Parámetros Proyección'!$G$13)+IF((Z36/AI36&gt;'Parámetros Proyección'!$G$14),0,'Parámetros Proyección'!$G$14)+IF((AF36/AI36&gt;'Parámetros Proyección'!$G$15),0,'Parámetros Proyección'!$G$15)))</f>
        <v/>
      </c>
      <c r="P36" s="35">
        <f>N36+O36</f>
        <v/>
      </c>
      <c r="Q36" s="35">
        <f>V35</f>
        <v/>
      </c>
      <c r="R36" s="35">
        <f>Q36*(1+'Parámetros Proyección'!$E$13)</f>
        <v/>
      </c>
      <c r="S36" s="35">
        <f>R36*'Parámetros Proyección'!$F$13</f>
        <v/>
      </c>
      <c r="T36" s="35">
        <f>R36+S36</f>
        <v/>
      </c>
      <c r="U36" s="35">
        <f>IF((T36/AI36&gt;'Parámetros Proyección'!$G$13),0,D36*'Parámetros Proyección'!$G$13/(IF((H36/AI36&gt;'Parámetros Proyección'!$G$11),0,'Parámetros Proyección'!$G$11)+IF((N36/AI36&gt;'Parámetros Proyección'!$G$12),0,'Parámetros Proyección'!$G$12)+IF((T36/AI36&gt;'Parámetros Proyección'!$G$13),0,'Parámetros Proyección'!$G$13)+IF((Z36/AI36&gt;'Parámetros Proyección'!$G$14),0,'Parámetros Proyección'!$G$14)+IF((AF36/AI36&gt;'Parámetros Proyección'!$G$15),0,'Parámetros Proyección'!$G$15)))</f>
        <v/>
      </c>
      <c r="V36" s="35">
        <f>T36+U36</f>
        <v/>
      </c>
      <c r="W36" s="35">
        <f>AB35</f>
        <v/>
      </c>
      <c r="X36" s="35">
        <f>W36*(1+'Parámetros Proyección'!$E$14)</f>
        <v/>
      </c>
      <c r="Y36" s="35">
        <f>X36*'Parámetros Proyección'!$F$14</f>
        <v/>
      </c>
      <c r="Z36" s="35">
        <f>X36+Y36</f>
        <v/>
      </c>
      <c r="AA36" s="35">
        <f>IF((Z36/AI36&gt;'Parámetros Proyección'!$G$14),0,D36*'Parámetros Proyección'!$G$14/(IF((H36/AI36&gt;'Parámetros Proyección'!$G$11),0,'Parámetros Proyección'!$G$11)+IF((N36/AI36&gt;'Parámetros Proyección'!$G$12),0,'Parámetros Proyección'!$G$12)+IF((T36/AI36&gt;'Parámetros Proyección'!$G$13),0,'Parámetros Proyección'!$G$13)+IF((Z36/AI36&gt;'Parámetros Proyección'!$G$14),0,'Parámetros Proyección'!$G$14)+IF((AF36/AI36&gt;'Parámetros Proyección'!$G$15),0,'Parámetros Proyección'!$G$15)))</f>
        <v/>
      </c>
      <c r="AB36" s="35">
        <f>Z36+AA36</f>
        <v/>
      </c>
      <c r="AC36" s="35">
        <f>AH35</f>
        <v/>
      </c>
      <c r="AD36" s="35">
        <f>AC36*(1+'Parámetros Proyección'!$E$15)</f>
        <v/>
      </c>
      <c r="AE36" s="35">
        <f>AD36*'Parámetros Proyección'!$F$15</f>
        <v/>
      </c>
      <c r="AF36" s="35">
        <f>AD36+AE36</f>
        <v/>
      </c>
      <c r="AG36" s="35">
        <f>IF((AF36/AI36&gt;'Parámetros Proyección'!$G$15),0,D36*'Parámetros Proyección'!$G$15/(IF((H36/AI36&gt;'Parámetros Proyección'!$G$11),0,'Parámetros Proyección'!$G$11)+IF((N36/AI36&gt;'Parámetros Proyección'!$G$12),0,'Parámetros Proyección'!$G$12)+IF((T36/AI36&gt;'Parámetros Proyección'!$G$13),0,'Parámetros Proyección'!$G$13)+IF((Z36/AI36&gt;'Parámetros Proyección'!$G$14),0,'Parámetros Proyección'!$G$14)+IF((AF36/AI36&gt;'Parámetros Proyección'!$G$15),0,'Parámetros Proyección'!$G$15)))</f>
        <v/>
      </c>
      <c r="AH36" s="35">
        <f>AF36+AG36</f>
        <v/>
      </c>
      <c r="AI36" s="35">
        <f>H36+N36+T36+Z36+AF36</f>
        <v/>
      </c>
      <c r="AJ36" s="33">
        <f>AF36/AI36</f>
        <v/>
      </c>
      <c r="AK36">
        <f>IF(AJ36&gt;'Parámetros Proyección'!$B$5,1,0)</f>
        <v/>
      </c>
      <c r="AL36" s="35">
        <f>G36+M36+S36+Y36+AE36</f>
        <v/>
      </c>
      <c r="AM36" s="35">
        <f>AM35+D36</f>
        <v/>
      </c>
      <c r="AN36" s="35">
        <f>AN35+AL36</f>
        <v/>
      </c>
      <c r="AO36" s="35">
        <f>J36+P36+V36+AB36+AH36</f>
        <v/>
      </c>
    </row>
    <row r="37">
      <c r="A37" t="n">
        <v>34</v>
      </c>
      <c r="B37" s="34">
        <f>EDATE(B36,1)</f>
        <v/>
      </c>
      <c r="C37">
        <f>YEAR(B37)</f>
        <v/>
      </c>
      <c r="D37" s="35">
        <f>'Parámetros Proyección'!$B$3*(1+'Parámetros Proyección'!$B$4)^(C37-YEAR('Parámetros Proyección'!$B$6))</f>
        <v/>
      </c>
      <c r="E37" s="35">
        <f>J36</f>
        <v/>
      </c>
      <c r="F37" s="35">
        <f>E37*(1+'Parámetros Proyección'!$E$11)</f>
        <v/>
      </c>
      <c r="G37" s="35">
        <f>F37*'Parámetros Proyección'!$F$11</f>
        <v/>
      </c>
      <c r="H37" s="35">
        <f>F37+G37</f>
        <v/>
      </c>
      <c r="I37" s="35">
        <f>IF((H37/AI37&gt;'Parámetros Proyección'!$G$11),0,D37*'Parámetros Proyección'!$G$11/(IF((H37/AI37&gt;'Parámetros Proyección'!$G$11),0,'Parámetros Proyección'!$G$11)+IF((N37/AI37&gt;'Parámetros Proyección'!$G$12),0,'Parámetros Proyección'!$G$12)+IF((T37/AI37&gt;'Parámetros Proyección'!$G$13),0,'Parámetros Proyección'!$G$13)+IF((Z37/AI37&gt;'Parámetros Proyección'!$G$14),0,'Parámetros Proyección'!$G$14)+IF((AF37/AI37&gt;'Parámetros Proyección'!$G$15),0,'Parámetros Proyección'!$G$15)))</f>
        <v/>
      </c>
      <c r="J37" s="35">
        <f>H37+I37</f>
        <v/>
      </c>
      <c r="K37" s="35">
        <f>P36</f>
        <v/>
      </c>
      <c r="L37" s="35">
        <f>K37*(1+'Parámetros Proyección'!$E$12)</f>
        <v/>
      </c>
      <c r="M37" s="35">
        <f>L37*'Parámetros Proyección'!$F$12</f>
        <v/>
      </c>
      <c r="N37" s="35">
        <f>L37+M37</f>
        <v/>
      </c>
      <c r="O37" s="35">
        <f>IF((N37/AI37&gt;'Parámetros Proyección'!$G$12),0,D37*'Parámetros Proyección'!$G$12/(IF((H37/AI37&gt;'Parámetros Proyección'!$G$11),0,'Parámetros Proyección'!$G$11)+IF((N37/AI37&gt;'Parámetros Proyección'!$G$12),0,'Parámetros Proyección'!$G$12)+IF((T37/AI37&gt;'Parámetros Proyección'!$G$13),0,'Parámetros Proyección'!$G$13)+IF((Z37/AI37&gt;'Parámetros Proyección'!$G$14),0,'Parámetros Proyección'!$G$14)+IF((AF37/AI37&gt;'Parámetros Proyección'!$G$15),0,'Parámetros Proyección'!$G$15)))</f>
        <v/>
      </c>
      <c r="P37" s="35">
        <f>N37+O37</f>
        <v/>
      </c>
      <c r="Q37" s="35">
        <f>V36</f>
        <v/>
      </c>
      <c r="R37" s="35">
        <f>Q37*(1+'Parámetros Proyección'!$E$13)</f>
        <v/>
      </c>
      <c r="S37" s="35">
        <f>R37*'Parámetros Proyección'!$F$13</f>
        <v/>
      </c>
      <c r="T37" s="35">
        <f>R37+S37</f>
        <v/>
      </c>
      <c r="U37" s="35">
        <f>IF((T37/AI37&gt;'Parámetros Proyección'!$G$13),0,D37*'Parámetros Proyección'!$G$13/(IF((H37/AI37&gt;'Parámetros Proyección'!$G$11),0,'Parámetros Proyección'!$G$11)+IF((N37/AI37&gt;'Parámetros Proyección'!$G$12),0,'Parámetros Proyección'!$G$12)+IF((T37/AI37&gt;'Parámetros Proyección'!$G$13),0,'Parámetros Proyección'!$G$13)+IF((Z37/AI37&gt;'Parámetros Proyección'!$G$14),0,'Parámetros Proyección'!$G$14)+IF((AF37/AI37&gt;'Parámetros Proyección'!$G$15),0,'Parámetros Proyección'!$G$15)))</f>
        <v/>
      </c>
      <c r="V37" s="35">
        <f>T37+U37</f>
        <v/>
      </c>
      <c r="W37" s="35">
        <f>AB36</f>
        <v/>
      </c>
      <c r="X37" s="35">
        <f>W37*(1+'Parámetros Proyección'!$E$14)</f>
        <v/>
      </c>
      <c r="Y37" s="35">
        <f>X37*'Parámetros Proyección'!$F$14</f>
        <v/>
      </c>
      <c r="Z37" s="35">
        <f>X37+Y37</f>
        <v/>
      </c>
      <c r="AA37" s="35">
        <f>IF((Z37/AI37&gt;'Parámetros Proyección'!$G$14),0,D37*'Parámetros Proyección'!$G$14/(IF((H37/AI37&gt;'Parámetros Proyección'!$G$11),0,'Parámetros Proyección'!$G$11)+IF((N37/AI37&gt;'Parámetros Proyección'!$G$12),0,'Parámetros Proyección'!$G$12)+IF((T37/AI37&gt;'Parámetros Proyección'!$G$13),0,'Parámetros Proyección'!$G$13)+IF((Z37/AI37&gt;'Parámetros Proyección'!$G$14),0,'Parámetros Proyección'!$G$14)+IF((AF37/AI37&gt;'Parámetros Proyección'!$G$15),0,'Parámetros Proyección'!$G$15)))</f>
        <v/>
      </c>
      <c r="AB37" s="35">
        <f>Z37+AA37</f>
        <v/>
      </c>
      <c r="AC37" s="35">
        <f>AH36</f>
        <v/>
      </c>
      <c r="AD37" s="35">
        <f>AC37*(1+'Parámetros Proyección'!$E$15)</f>
        <v/>
      </c>
      <c r="AE37" s="35">
        <f>AD37*'Parámetros Proyección'!$F$15</f>
        <v/>
      </c>
      <c r="AF37" s="35">
        <f>AD37+AE37</f>
        <v/>
      </c>
      <c r="AG37" s="35">
        <f>IF((AF37/AI37&gt;'Parámetros Proyección'!$G$15),0,D37*'Parámetros Proyección'!$G$15/(IF((H37/AI37&gt;'Parámetros Proyección'!$G$11),0,'Parámetros Proyección'!$G$11)+IF((N37/AI37&gt;'Parámetros Proyección'!$G$12),0,'Parámetros Proyección'!$G$12)+IF((T37/AI37&gt;'Parámetros Proyección'!$G$13),0,'Parámetros Proyección'!$G$13)+IF((Z37/AI37&gt;'Parámetros Proyección'!$G$14),0,'Parámetros Proyección'!$G$14)+IF((AF37/AI37&gt;'Parámetros Proyección'!$G$15),0,'Parámetros Proyección'!$G$15)))</f>
        <v/>
      </c>
      <c r="AH37" s="35">
        <f>AF37+AG37</f>
        <v/>
      </c>
      <c r="AI37" s="35">
        <f>H37+N37+T37+Z37+AF37</f>
        <v/>
      </c>
      <c r="AJ37" s="33">
        <f>AF37/AI37</f>
        <v/>
      </c>
      <c r="AK37">
        <f>IF(AJ37&gt;'Parámetros Proyección'!$B$5,1,0)</f>
        <v/>
      </c>
      <c r="AL37" s="35">
        <f>G37+M37+S37+Y37+AE37</f>
        <v/>
      </c>
      <c r="AM37" s="35">
        <f>AM36+D37</f>
        <v/>
      </c>
      <c r="AN37" s="35">
        <f>AN36+AL37</f>
        <v/>
      </c>
      <c r="AO37" s="35">
        <f>J37+P37+V37+AB37+AH37</f>
        <v/>
      </c>
    </row>
    <row r="38">
      <c r="A38" t="n">
        <v>35</v>
      </c>
      <c r="B38" s="34">
        <f>EDATE(B37,1)</f>
        <v/>
      </c>
      <c r="C38">
        <f>YEAR(B38)</f>
        <v/>
      </c>
      <c r="D38" s="35">
        <f>'Parámetros Proyección'!$B$3*(1+'Parámetros Proyección'!$B$4)^(C38-YEAR('Parámetros Proyección'!$B$6))</f>
        <v/>
      </c>
      <c r="E38" s="35">
        <f>J37</f>
        <v/>
      </c>
      <c r="F38" s="35">
        <f>E38*(1+'Parámetros Proyección'!$E$11)</f>
        <v/>
      </c>
      <c r="G38" s="35">
        <f>F38*'Parámetros Proyección'!$F$11</f>
        <v/>
      </c>
      <c r="H38" s="35">
        <f>F38+G38</f>
        <v/>
      </c>
      <c r="I38" s="35">
        <f>IF((H38/AI38&gt;'Parámetros Proyección'!$G$11),0,D38*'Parámetros Proyección'!$G$11/(IF((H38/AI38&gt;'Parámetros Proyección'!$G$11),0,'Parámetros Proyección'!$G$11)+IF((N38/AI38&gt;'Parámetros Proyección'!$G$12),0,'Parámetros Proyección'!$G$12)+IF((T38/AI38&gt;'Parámetros Proyección'!$G$13),0,'Parámetros Proyección'!$G$13)+IF((Z38/AI38&gt;'Parámetros Proyección'!$G$14),0,'Parámetros Proyección'!$G$14)+IF((AF38/AI38&gt;'Parámetros Proyección'!$G$15),0,'Parámetros Proyección'!$G$15)))</f>
        <v/>
      </c>
      <c r="J38" s="35">
        <f>H38+I38</f>
        <v/>
      </c>
      <c r="K38" s="35">
        <f>P37</f>
        <v/>
      </c>
      <c r="L38" s="35">
        <f>K38*(1+'Parámetros Proyección'!$E$12)</f>
        <v/>
      </c>
      <c r="M38" s="35">
        <f>L38*'Parámetros Proyección'!$F$12</f>
        <v/>
      </c>
      <c r="N38" s="35">
        <f>L38+M38</f>
        <v/>
      </c>
      <c r="O38" s="35">
        <f>IF((N38/AI38&gt;'Parámetros Proyección'!$G$12),0,D38*'Parámetros Proyección'!$G$12/(IF((H38/AI38&gt;'Parámetros Proyección'!$G$11),0,'Parámetros Proyección'!$G$11)+IF((N38/AI38&gt;'Parámetros Proyección'!$G$12),0,'Parámetros Proyección'!$G$12)+IF((T38/AI38&gt;'Parámetros Proyección'!$G$13),0,'Parámetros Proyección'!$G$13)+IF((Z38/AI38&gt;'Parámetros Proyección'!$G$14),0,'Parámetros Proyección'!$G$14)+IF((AF38/AI38&gt;'Parámetros Proyección'!$G$15),0,'Parámetros Proyección'!$G$15)))</f>
        <v/>
      </c>
      <c r="P38" s="35">
        <f>N38+O38</f>
        <v/>
      </c>
      <c r="Q38" s="35">
        <f>V37</f>
        <v/>
      </c>
      <c r="R38" s="35">
        <f>Q38*(1+'Parámetros Proyección'!$E$13)</f>
        <v/>
      </c>
      <c r="S38" s="35">
        <f>R38*'Parámetros Proyección'!$F$13</f>
        <v/>
      </c>
      <c r="T38" s="35">
        <f>R38+S38</f>
        <v/>
      </c>
      <c r="U38" s="35">
        <f>IF((T38/AI38&gt;'Parámetros Proyección'!$G$13),0,D38*'Parámetros Proyección'!$G$13/(IF((H38/AI38&gt;'Parámetros Proyección'!$G$11),0,'Parámetros Proyección'!$G$11)+IF((N38/AI38&gt;'Parámetros Proyección'!$G$12),0,'Parámetros Proyección'!$G$12)+IF((T38/AI38&gt;'Parámetros Proyección'!$G$13),0,'Parámetros Proyección'!$G$13)+IF((Z38/AI38&gt;'Parámetros Proyección'!$G$14),0,'Parámetros Proyección'!$G$14)+IF((AF38/AI38&gt;'Parámetros Proyección'!$G$15),0,'Parámetros Proyección'!$G$15)))</f>
        <v/>
      </c>
      <c r="V38" s="35">
        <f>T38+U38</f>
        <v/>
      </c>
      <c r="W38" s="35">
        <f>AB37</f>
        <v/>
      </c>
      <c r="X38" s="35">
        <f>W38*(1+'Parámetros Proyección'!$E$14)</f>
        <v/>
      </c>
      <c r="Y38" s="35">
        <f>X38*'Parámetros Proyección'!$F$14</f>
        <v/>
      </c>
      <c r="Z38" s="35">
        <f>X38+Y38</f>
        <v/>
      </c>
      <c r="AA38" s="35">
        <f>IF((Z38/AI38&gt;'Parámetros Proyección'!$G$14),0,D38*'Parámetros Proyección'!$G$14/(IF((H38/AI38&gt;'Parámetros Proyección'!$G$11),0,'Parámetros Proyección'!$G$11)+IF((N38/AI38&gt;'Parámetros Proyección'!$G$12),0,'Parámetros Proyección'!$G$12)+IF((T38/AI38&gt;'Parámetros Proyección'!$G$13),0,'Parámetros Proyección'!$G$13)+IF((Z38/AI38&gt;'Parámetros Proyección'!$G$14),0,'Parámetros Proyección'!$G$14)+IF((AF38/AI38&gt;'Parámetros Proyección'!$G$15),0,'Parámetros Proyección'!$G$15)))</f>
        <v/>
      </c>
      <c r="AB38" s="35">
        <f>Z38+AA38</f>
        <v/>
      </c>
      <c r="AC38" s="35">
        <f>AH37</f>
        <v/>
      </c>
      <c r="AD38" s="35">
        <f>AC38*(1+'Parámetros Proyección'!$E$15)</f>
        <v/>
      </c>
      <c r="AE38" s="35">
        <f>AD38*'Parámetros Proyección'!$F$15</f>
        <v/>
      </c>
      <c r="AF38" s="35">
        <f>AD38+AE38</f>
        <v/>
      </c>
      <c r="AG38" s="35">
        <f>IF((AF38/AI38&gt;'Parámetros Proyección'!$G$15),0,D38*'Parámetros Proyección'!$G$15/(IF((H38/AI38&gt;'Parámetros Proyección'!$G$11),0,'Parámetros Proyección'!$G$11)+IF((N38/AI38&gt;'Parámetros Proyección'!$G$12),0,'Parámetros Proyección'!$G$12)+IF((T38/AI38&gt;'Parámetros Proyección'!$G$13),0,'Parámetros Proyección'!$G$13)+IF((Z38/AI38&gt;'Parámetros Proyección'!$G$14),0,'Parámetros Proyección'!$G$14)+IF((AF38/AI38&gt;'Parámetros Proyección'!$G$15),0,'Parámetros Proyección'!$G$15)))</f>
        <v/>
      </c>
      <c r="AH38" s="35">
        <f>AF38+AG38</f>
        <v/>
      </c>
      <c r="AI38" s="35">
        <f>H38+N38+T38+Z38+AF38</f>
        <v/>
      </c>
      <c r="AJ38" s="33">
        <f>AF38/AI38</f>
        <v/>
      </c>
      <c r="AK38">
        <f>IF(AJ38&gt;'Parámetros Proyección'!$B$5,1,0)</f>
        <v/>
      </c>
      <c r="AL38" s="35">
        <f>G38+M38+S38+Y38+AE38</f>
        <v/>
      </c>
      <c r="AM38" s="35">
        <f>AM37+D38</f>
        <v/>
      </c>
      <c r="AN38" s="35">
        <f>AN37+AL38</f>
        <v/>
      </c>
      <c r="AO38" s="35">
        <f>J38+P38+V38+AB38+AH38</f>
        <v/>
      </c>
    </row>
    <row r="39">
      <c r="A39" t="n">
        <v>36</v>
      </c>
      <c r="B39" s="34">
        <f>EDATE(B38,1)</f>
        <v/>
      </c>
      <c r="C39">
        <f>YEAR(B39)</f>
        <v/>
      </c>
      <c r="D39" s="35">
        <f>'Parámetros Proyección'!$B$3*(1+'Parámetros Proyección'!$B$4)^(C39-YEAR('Parámetros Proyección'!$B$6))</f>
        <v/>
      </c>
      <c r="E39" s="35">
        <f>J38</f>
        <v/>
      </c>
      <c r="F39" s="35">
        <f>E39*(1+'Parámetros Proyección'!$E$11)</f>
        <v/>
      </c>
      <c r="G39" s="35">
        <f>F39*'Parámetros Proyección'!$F$11</f>
        <v/>
      </c>
      <c r="H39" s="35">
        <f>F39+G39</f>
        <v/>
      </c>
      <c r="I39" s="35">
        <f>IF((H39/AI39&gt;'Parámetros Proyección'!$G$11),0,D39*'Parámetros Proyección'!$G$11/(IF((H39/AI39&gt;'Parámetros Proyección'!$G$11),0,'Parámetros Proyección'!$G$11)+IF((N39/AI39&gt;'Parámetros Proyección'!$G$12),0,'Parámetros Proyección'!$G$12)+IF((T39/AI39&gt;'Parámetros Proyección'!$G$13),0,'Parámetros Proyección'!$G$13)+IF((Z39/AI39&gt;'Parámetros Proyección'!$G$14),0,'Parámetros Proyección'!$G$14)+IF((AF39/AI39&gt;'Parámetros Proyección'!$G$15),0,'Parámetros Proyección'!$G$15)))</f>
        <v/>
      </c>
      <c r="J39" s="35">
        <f>H39+I39</f>
        <v/>
      </c>
      <c r="K39" s="35">
        <f>P38</f>
        <v/>
      </c>
      <c r="L39" s="35">
        <f>K39*(1+'Parámetros Proyección'!$E$12)</f>
        <v/>
      </c>
      <c r="M39" s="35">
        <f>L39*'Parámetros Proyección'!$F$12</f>
        <v/>
      </c>
      <c r="N39" s="35">
        <f>L39+M39</f>
        <v/>
      </c>
      <c r="O39" s="35">
        <f>IF((N39/AI39&gt;'Parámetros Proyección'!$G$12),0,D39*'Parámetros Proyección'!$G$12/(IF((H39/AI39&gt;'Parámetros Proyección'!$G$11),0,'Parámetros Proyección'!$G$11)+IF((N39/AI39&gt;'Parámetros Proyección'!$G$12),0,'Parámetros Proyección'!$G$12)+IF((T39/AI39&gt;'Parámetros Proyección'!$G$13),0,'Parámetros Proyección'!$G$13)+IF((Z39/AI39&gt;'Parámetros Proyección'!$G$14),0,'Parámetros Proyección'!$G$14)+IF((AF39/AI39&gt;'Parámetros Proyección'!$G$15),0,'Parámetros Proyección'!$G$15)))</f>
        <v/>
      </c>
      <c r="P39" s="35">
        <f>N39+O39</f>
        <v/>
      </c>
      <c r="Q39" s="35">
        <f>V38</f>
        <v/>
      </c>
      <c r="R39" s="35">
        <f>Q39*(1+'Parámetros Proyección'!$E$13)</f>
        <v/>
      </c>
      <c r="S39" s="35">
        <f>R39*'Parámetros Proyección'!$F$13</f>
        <v/>
      </c>
      <c r="T39" s="35">
        <f>R39+S39</f>
        <v/>
      </c>
      <c r="U39" s="35">
        <f>IF((T39/AI39&gt;'Parámetros Proyección'!$G$13),0,D39*'Parámetros Proyección'!$G$13/(IF((H39/AI39&gt;'Parámetros Proyección'!$G$11),0,'Parámetros Proyección'!$G$11)+IF((N39/AI39&gt;'Parámetros Proyección'!$G$12),0,'Parámetros Proyección'!$G$12)+IF((T39/AI39&gt;'Parámetros Proyección'!$G$13),0,'Parámetros Proyección'!$G$13)+IF((Z39/AI39&gt;'Parámetros Proyección'!$G$14),0,'Parámetros Proyección'!$G$14)+IF((AF39/AI39&gt;'Parámetros Proyección'!$G$15),0,'Parámetros Proyección'!$G$15)))</f>
        <v/>
      </c>
      <c r="V39" s="35">
        <f>T39+U39</f>
        <v/>
      </c>
      <c r="W39" s="35">
        <f>AB38</f>
        <v/>
      </c>
      <c r="X39" s="35">
        <f>W39*(1+'Parámetros Proyección'!$E$14)</f>
        <v/>
      </c>
      <c r="Y39" s="35">
        <f>X39*'Parámetros Proyección'!$F$14</f>
        <v/>
      </c>
      <c r="Z39" s="35">
        <f>X39+Y39</f>
        <v/>
      </c>
      <c r="AA39" s="35">
        <f>IF((Z39/AI39&gt;'Parámetros Proyección'!$G$14),0,D39*'Parámetros Proyección'!$G$14/(IF((H39/AI39&gt;'Parámetros Proyección'!$G$11),0,'Parámetros Proyección'!$G$11)+IF((N39/AI39&gt;'Parámetros Proyección'!$G$12),0,'Parámetros Proyección'!$G$12)+IF((T39/AI39&gt;'Parámetros Proyección'!$G$13),0,'Parámetros Proyección'!$G$13)+IF((Z39/AI39&gt;'Parámetros Proyección'!$G$14),0,'Parámetros Proyección'!$G$14)+IF((AF39/AI39&gt;'Parámetros Proyección'!$G$15),0,'Parámetros Proyección'!$G$15)))</f>
        <v/>
      </c>
      <c r="AB39" s="35">
        <f>Z39+AA39</f>
        <v/>
      </c>
      <c r="AC39" s="35">
        <f>AH38</f>
        <v/>
      </c>
      <c r="AD39" s="35">
        <f>AC39*(1+'Parámetros Proyección'!$E$15)</f>
        <v/>
      </c>
      <c r="AE39" s="35">
        <f>AD39*'Parámetros Proyección'!$F$15</f>
        <v/>
      </c>
      <c r="AF39" s="35">
        <f>AD39+AE39</f>
        <v/>
      </c>
      <c r="AG39" s="35">
        <f>IF((AF39/AI39&gt;'Parámetros Proyección'!$G$15),0,D39*'Parámetros Proyección'!$G$15/(IF((H39/AI39&gt;'Parámetros Proyección'!$G$11),0,'Parámetros Proyección'!$G$11)+IF((N39/AI39&gt;'Parámetros Proyección'!$G$12),0,'Parámetros Proyección'!$G$12)+IF((T39/AI39&gt;'Parámetros Proyección'!$G$13),0,'Parámetros Proyección'!$G$13)+IF((Z39/AI39&gt;'Parámetros Proyección'!$G$14),0,'Parámetros Proyección'!$G$14)+IF((AF39/AI39&gt;'Parámetros Proyección'!$G$15),0,'Parámetros Proyección'!$G$15)))</f>
        <v/>
      </c>
      <c r="AH39" s="35">
        <f>AF39+AG39</f>
        <v/>
      </c>
      <c r="AI39" s="35">
        <f>H39+N39+T39+Z39+AF39</f>
        <v/>
      </c>
      <c r="AJ39" s="33">
        <f>AF39/AI39</f>
        <v/>
      </c>
      <c r="AK39">
        <f>IF(AJ39&gt;'Parámetros Proyección'!$B$5,1,0)</f>
        <v/>
      </c>
      <c r="AL39" s="35">
        <f>G39+M39+S39+Y39+AE39</f>
        <v/>
      </c>
      <c r="AM39" s="35">
        <f>AM38+D39</f>
        <v/>
      </c>
      <c r="AN39" s="35">
        <f>AN38+AL39</f>
        <v/>
      </c>
      <c r="AO39" s="35">
        <f>J39+P39+V39+AB39+AH39</f>
        <v/>
      </c>
    </row>
    <row r="40">
      <c r="A40" t="n">
        <v>37</v>
      </c>
      <c r="B40" s="34">
        <f>EDATE(B39,1)</f>
        <v/>
      </c>
      <c r="C40">
        <f>YEAR(B40)</f>
        <v/>
      </c>
      <c r="D40" s="35">
        <f>'Parámetros Proyección'!$B$3*(1+'Parámetros Proyección'!$B$4)^(C40-YEAR('Parámetros Proyección'!$B$6))</f>
        <v/>
      </c>
      <c r="E40" s="35">
        <f>J39</f>
        <v/>
      </c>
      <c r="F40" s="35">
        <f>E40*(1+'Parámetros Proyección'!$E$11)</f>
        <v/>
      </c>
      <c r="G40" s="35">
        <f>F40*'Parámetros Proyección'!$F$11</f>
        <v/>
      </c>
      <c r="H40" s="35">
        <f>F40+G40</f>
        <v/>
      </c>
      <c r="I40" s="35">
        <f>IF((H40/AI40&gt;'Parámetros Proyección'!$G$11),0,D40*'Parámetros Proyección'!$G$11/(IF((H40/AI40&gt;'Parámetros Proyección'!$G$11),0,'Parámetros Proyección'!$G$11)+IF((N40/AI40&gt;'Parámetros Proyección'!$G$12),0,'Parámetros Proyección'!$G$12)+IF((T40/AI40&gt;'Parámetros Proyección'!$G$13),0,'Parámetros Proyección'!$G$13)+IF((Z40/AI40&gt;'Parámetros Proyección'!$G$14),0,'Parámetros Proyección'!$G$14)+IF((AF40/AI40&gt;'Parámetros Proyección'!$G$15),0,'Parámetros Proyección'!$G$15)))</f>
        <v/>
      </c>
      <c r="J40" s="35">
        <f>H40+I40</f>
        <v/>
      </c>
      <c r="K40" s="35">
        <f>P39</f>
        <v/>
      </c>
      <c r="L40" s="35">
        <f>K40*(1+'Parámetros Proyección'!$E$12)</f>
        <v/>
      </c>
      <c r="M40" s="35">
        <f>L40*'Parámetros Proyección'!$F$12</f>
        <v/>
      </c>
      <c r="N40" s="35">
        <f>L40+M40</f>
        <v/>
      </c>
      <c r="O40" s="35">
        <f>IF((N40/AI40&gt;'Parámetros Proyección'!$G$12),0,D40*'Parámetros Proyección'!$G$12/(IF((H40/AI40&gt;'Parámetros Proyección'!$G$11),0,'Parámetros Proyección'!$G$11)+IF((N40/AI40&gt;'Parámetros Proyección'!$G$12),0,'Parámetros Proyección'!$G$12)+IF((T40/AI40&gt;'Parámetros Proyección'!$G$13),0,'Parámetros Proyección'!$G$13)+IF((Z40/AI40&gt;'Parámetros Proyección'!$G$14),0,'Parámetros Proyección'!$G$14)+IF((AF40/AI40&gt;'Parámetros Proyección'!$G$15),0,'Parámetros Proyección'!$G$15)))</f>
        <v/>
      </c>
      <c r="P40" s="35">
        <f>N40+O40</f>
        <v/>
      </c>
      <c r="Q40" s="35">
        <f>V39</f>
        <v/>
      </c>
      <c r="R40" s="35">
        <f>Q40*(1+'Parámetros Proyección'!$E$13)</f>
        <v/>
      </c>
      <c r="S40" s="35">
        <f>R40*'Parámetros Proyección'!$F$13</f>
        <v/>
      </c>
      <c r="T40" s="35">
        <f>R40+S40</f>
        <v/>
      </c>
      <c r="U40" s="35">
        <f>IF((T40/AI40&gt;'Parámetros Proyección'!$G$13),0,D40*'Parámetros Proyección'!$G$13/(IF((H40/AI40&gt;'Parámetros Proyección'!$G$11),0,'Parámetros Proyección'!$G$11)+IF((N40/AI40&gt;'Parámetros Proyección'!$G$12),0,'Parámetros Proyección'!$G$12)+IF((T40/AI40&gt;'Parámetros Proyección'!$G$13),0,'Parámetros Proyección'!$G$13)+IF((Z40/AI40&gt;'Parámetros Proyección'!$G$14),0,'Parámetros Proyección'!$G$14)+IF((AF40/AI40&gt;'Parámetros Proyección'!$G$15),0,'Parámetros Proyección'!$G$15)))</f>
        <v/>
      </c>
      <c r="V40" s="35">
        <f>T40+U40</f>
        <v/>
      </c>
      <c r="W40" s="35">
        <f>AB39</f>
        <v/>
      </c>
      <c r="X40" s="35">
        <f>W40*(1+'Parámetros Proyección'!$E$14)</f>
        <v/>
      </c>
      <c r="Y40" s="35">
        <f>X40*'Parámetros Proyección'!$F$14</f>
        <v/>
      </c>
      <c r="Z40" s="35">
        <f>X40+Y40</f>
        <v/>
      </c>
      <c r="AA40" s="35">
        <f>IF((Z40/AI40&gt;'Parámetros Proyección'!$G$14),0,D40*'Parámetros Proyección'!$G$14/(IF((H40/AI40&gt;'Parámetros Proyección'!$G$11),0,'Parámetros Proyección'!$G$11)+IF((N40/AI40&gt;'Parámetros Proyección'!$G$12),0,'Parámetros Proyección'!$G$12)+IF((T40/AI40&gt;'Parámetros Proyección'!$G$13),0,'Parámetros Proyección'!$G$13)+IF((Z40/AI40&gt;'Parámetros Proyección'!$G$14),0,'Parámetros Proyección'!$G$14)+IF((AF40/AI40&gt;'Parámetros Proyección'!$G$15),0,'Parámetros Proyección'!$G$15)))</f>
        <v/>
      </c>
      <c r="AB40" s="35">
        <f>Z40+AA40</f>
        <v/>
      </c>
      <c r="AC40" s="35">
        <f>AH39</f>
        <v/>
      </c>
      <c r="AD40" s="35">
        <f>AC40*(1+'Parámetros Proyección'!$E$15)</f>
        <v/>
      </c>
      <c r="AE40" s="35">
        <f>AD40*'Parámetros Proyección'!$F$15</f>
        <v/>
      </c>
      <c r="AF40" s="35">
        <f>AD40+AE40</f>
        <v/>
      </c>
      <c r="AG40" s="35">
        <f>IF((AF40/AI40&gt;'Parámetros Proyección'!$G$15),0,D40*'Parámetros Proyección'!$G$15/(IF((H40/AI40&gt;'Parámetros Proyección'!$G$11),0,'Parámetros Proyección'!$G$11)+IF((N40/AI40&gt;'Parámetros Proyección'!$G$12),0,'Parámetros Proyección'!$G$12)+IF((T40/AI40&gt;'Parámetros Proyección'!$G$13),0,'Parámetros Proyección'!$G$13)+IF((Z40/AI40&gt;'Parámetros Proyección'!$G$14),0,'Parámetros Proyección'!$G$14)+IF((AF40/AI40&gt;'Parámetros Proyección'!$G$15),0,'Parámetros Proyección'!$G$15)))</f>
        <v/>
      </c>
      <c r="AH40" s="35">
        <f>AF40+AG40</f>
        <v/>
      </c>
      <c r="AI40" s="35">
        <f>H40+N40+T40+Z40+AF40</f>
        <v/>
      </c>
      <c r="AJ40" s="33">
        <f>AF40/AI40</f>
        <v/>
      </c>
      <c r="AK40">
        <f>IF(AJ40&gt;'Parámetros Proyección'!$B$5,1,0)</f>
        <v/>
      </c>
      <c r="AL40" s="35">
        <f>G40+M40+S40+Y40+AE40</f>
        <v/>
      </c>
      <c r="AM40" s="35">
        <f>AM39+D40</f>
        <v/>
      </c>
      <c r="AN40" s="35">
        <f>AN39+AL40</f>
        <v/>
      </c>
      <c r="AO40" s="35">
        <f>J40+P40+V40+AB40+AH40</f>
        <v/>
      </c>
    </row>
    <row r="41">
      <c r="A41" t="n">
        <v>38</v>
      </c>
      <c r="B41" s="34">
        <f>EDATE(B40,1)</f>
        <v/>
      </c>
      <c r="C41">
        <f>YEAR(B41)</f>
        <v/>
      </c>
      <c r="D41" s="35">
        <f>'Parámetros Proyección'!$B$3*(1+'Parámetros Proyección'!$B$4)^(C41-YEAR('Parámetros Proyección'!$B$6))</f>
        <v/>
      </c>
      <c r="E41" s="35">
        <f>J40</f>
        <v/>
      </c>
      <c r="F41" s="35">
        <f>E41*(1+'Parámetros Proyección'!$E$11)</f>
        <v/>
      </c>
      <c r="G41" s="35">
        <f>F41*'Parámetros Proyección'!$F$11</f>
        <v/>
      </c>
      <c r="H41" s="35">
        <f>F41+G41</f>
        <v/>
      </c>
      <c r="I41" s="35">
        <f>IF((H41/AI41&gt;'Parámetros Proyección'!$G$11),0,D41*'Parámetros Proyección'!$G$11/(IF((H41/AI41&gt;'Parámetros Proyección'!$G$11),0,'Parámetros Proyección'!$G$11)+IF((N41/AI41&gt;'Parámetros Proyección'!$G$12),0,'Parámetros Proyección'!$G$12)+IF((T41/AI41&gt;'Parámetros Proyección'!$G$13),0,'Parámetros Proyección'!$G$13)+IF((Z41/AI41&gt;'Parámetros Proyección'!$G$14),0,'Parámetros Proyección'!$G$14)+IF((AF41/AI41&gt;'Parámetros Proyección'!$G$15),0,'Parámetros Proyección'!$G$15)))</f>
        <v/>
      </c>
      <c r="J41" s="35">
        <f>H41+I41</f>
        <v/>
      </c>
      <c r="K41" s="35">
        <f>P40</f>
        <v/>
      </c>
      <c r="L41" s="35">
        <f>K41*(1+'Parámetros Proyección'!$E$12)</f>
        <v/>
      </c>
      <c r="M41" s="35">
        <f>L41*'Parámetros Proyección'!$F$12</f>
        <v/>
      </c>
      <c r="N41" s="35">
        <f>L41+M41</f>
        <v/>
      </c>
      <c r="O41" s="35">
        <f>IF((N41/AI41&gt;'Parámetros Proyección'!$G$12),0,D41*'Parámetros Proyección'!$G$12/(IF((H41/AI41&gt;'Parámetros Proyección'!$G$11),0,'Parámetros Proyección'!$G$11)+IF((N41/AI41&gt;'Parámetros Proyección'!$G$12),0,'Parámetros Proyección'!$G$12)+IF((T41/AI41&gt;'Parámetros Proyección'!$G$13),0,'Parámetros Proyección'!$G$13)+IF((Z41/AI41&gt;'Parámetros Proyección'!$G$14),0,'Parámetros Proyección'!$G$14)+IF((AF41/AI41&gt;'Parámetros Proyección'!$G$15),0,'Parámetros Proyección'!$G$15)))</f>
        <v/>
      </c>
      <c r="P41" s="35">
        <f>N41+O41</f>
        <v/>
      </c>
      <c r="Q41" s="35">
        <f>V40</f>
        <v/>
      </c>
      <c r="R41" s="35">
        <f>Q41*(1+'Parámetros Proyección'!$E$13)</f>
        <v/>
      </c>
      <c r="S41" s="35">
        <f>R41*'Parámetros Proyección'!$F$13</f>
        <v/>
      </c>
      <c r="T41" s="35">
        <f>R41+S41</f>
        <v/>
      </c>
      <c r="U41" s="35">
        <f>IF((T41/AI41&gt;'Parámetros Proyección'!$G$13),0,D41*'Parámetros Proyección'!$G$13/(IF((H41/AI41&gt;'Parámetros Proyección'!$G$11),0,'Parámetros Proyección'!$G$11)+IF((N41/AI41&gt;'Parámetros Proyección'!$G$12),0,'Parámetros Proyección'!$G$12)+IF((T41/AI41&gt;'Parámetros Proyección'!$G$13),0,'Parámetros Proyección'!$G$13)+IF((Z41/AI41&gt;'Parámetros Proyección'!$G$14),0,'Parámetros Proyección'!$G$14)+IF((AF41/AI41&gt;'Parámetros Proyección'!$G$15),0,'Parámetros Proyección'!$G$15)))</f>
        <v/>
      </c>
      <c r="V41" s="35">
        <f>T41+U41</f>
        <v/>
      </c>
      <c r="W41" s="35">
        <f>AB40</f>
        <v/>
      </c>
      <c r="X41" s="35">
        <f>W41*(1+'Parámetros Proyección'!$E$14)</f>
        <v/>
      </c>
      <c r="Y41" s="35">
        <f>X41*'Parámetros Proyección'!$F$14</f>
        <v/>
      </c>
      <c r="Z41" s="35">
        <f>X41+Y41</f>
        <v/>
      </c>
      <c r="AA41" s="35">
        <f>IF((Z41/AI41&gt;'Parámetros Proyección'!$G$14),0,D41*'Parámetros Proyección'!$G$14/(IF((H41/AI41&gt;'Parámetros Proyección'!$G$11),0,'Parámetros Proyección'!$G$11)+IF((N41/AI41&gt;'Parámetros Proyección'!$G$12),0,'Parámetros Proyección'!$G$12)+IF((T41/AI41&gt;'Parámetros Proyección'!$G$13),0,'Parámetros Proyección'!$G$13)+IF((Z41/AI41&gt;'Parámetros Proyección'!$G$14),0,'Parámetros Proyección'!$G$14)+IF((AF41/AI41&gt;'Parámetros Proyección'!$G$15),0,'Parámetros Proyección'!$G$15)))</f>
        <v/>
      </c>
      <c r="AB41" s="35">
        <f>Z41+AA41</f>
        <v/>
      </c>
      <c r="AC41" s="35">
        <f>AH40</f>
        <v/>
      </c>
      <c r="AD41" s="35">
        <f>AC41*(1+'Parámetros Proyección'!$E$15)</f>
        <v/>
      </c>
      <c r="AE41" s="35">
        <f>AD41*'Parámetros Proyección'!$F$15</f>
        <v/>
      </c>
      <c r="AF41" s="35">
        <f>AD41+AE41</f>
        <v/>
      </c>
      <c r="AG41" s="35">
        <f>IF((AF41/AI41&gt;'Parámetros Proyección'!$G$15),0,D41*'Parámetros Proyección'!$G$15/(IF((H41/AI41&gt;'Parámetros Proyección'!$G$11),0,'Parámetros Proyección'!$G$11)+IF((N41/AI41&gt;'Parámetros Proyección'!$G$12),0,'Parámetros Proyección'!$G$12)+IF((T41/AI41&gt;'Parámetros Proyección'!$G$13),0,'Parámetros Proyección'!$G$13)+IF((Z41/AI41&gt;'Parámetros Proyección'!$G$14),0,'Parámetros Proyección'!$G$14)+IF((AF41/AI41&gt;'Parámetros Proyección'!$G$15),0,'Parámetros Proyección'!$G$15)))</f>
        <v/>
      </c>
      <c r="AH41" s="35">
        <f>AF41+AG41</f>
        <v/>
      </c>
      <c r="AI41" s="35">
        <f>H41+N41+T41+Z41+AF41</f>
        <v/>
      </c>
      <c r="AJ41" s="33">
        <f>AF41/AI41</f>
        <v/>
      </c>
      <c r="AK41">
        <f>IF(AJ41&gt;'Parámetros Proyección'!$B$5,1,0)</f>
        <v/>
      </c>
      <c r="AL41" s="35">
        <f>G41+M41+S41+Y41+AE41</f>
        <v/>
      </c>
      <c r="AM41" s="35">
        <f>AM40+D41</f>
        <v/>
      </c>
      <c r="AN41" s="35">
        <f>AN40+AL41</f>
        <v/>
      </c>
      <c r="AO41" s="35">
        <f>J41+P41+V41+AB41+AH41</f>
        <v/>
      </c>
    </row>
    <row r="42">
      <c r="A42" t="n">
        <v>39</v>
      </c>
      <c r="B42" s="34">
        <f>EDATE(B41,1)</f>
        <v/>
      </c>
      <c r="C42">
        <f>YEAR(B42)</f>
        <v/>
      </c>
      <c r="D42" s="35">
        <f>'Parámetros Proyección'!$B$3*(1+'Parámetros Proyección'!$B$4)^(C42-YEAR('Parámetros Proyección'!$B$6))</f>
        <v/>
      </c>
      <c r="E42" s="35">
        <f>J41</f>
        <v/>
      </c>
      <c r="F42" s="35">
        <f>E42*(1+'Parámetros Proyección'!$E$11)</f>
        <v/>
      </c>
      <c r="G42" s="35">
        <f>F42*'Parámetros Proyección'!$F$11</f>
        <v/>
      </c>
      <c r="H42" s="35">
        <f>F42+G42</f>
        <v/>
      </c>
      <c r="I42" s="35">
        <f>IF((H42/AI42&gt;'Parámetros Proyección'!$G$11),0,D42*'Parámetros Proyección'!$G$11/(IF((H42/AI42&gt;'Parámetros Proyección'!$G$11),0,'Parámetros Proyección'!$G$11)+IF((N42/AI42&gt;'Parámetros Proyección'!$G$12),0,'Parámetros Proyección'!$G$12)+IF((T42/AI42&gt;'Parámetros Proyección'!$G$13),0,'Parámetros Proyección'!$G$13)+IF((Z42/AI42&gt;'Parámetros Proyección'!$G$14),0,'Parámetros Proyección'!$G$14)+IF((AF42/AI42&gt;'Parámetros Proyección'!$G$15),0,'Parámetros Proyección'!$G$15)))</f>
        <v/>
      </c>
      <c r="J42" s="35">
        <f>H42+I42</f>
        <v/>
      </c>
      <c r="K42" s="35">
        <f>P41</f>
        <v/>
      </c>
      <c r="L42" s="35">
        <f>K42*(1+'Parámetros Proyección'!$E$12)</f>
        <v/>
      </c>
      <c r="M42" s="35">
        <f>L42*'Parámetros Proyección'!$F$12</f>
        <v/>
      </c>
      <c r="N42" s="35">
        <f>L42+M42</f>
        <v/>
      </c>
      <c r="O42" s="35">
        <f>IF((N42/AI42&gt;'Parámetros Proyección'!$G$12),0,D42*'Parámetros Proyección'!$G$12/(IF((H42/AI42&gt;'Parámetros Proyección'!$G$11),0,'Parámetros Proyección'!$G$11)+IF((N42/AI42&gt;'Parámetros Proyección'!$G$12),0,'Parámetros Proyección'!$G$12)+IF((T42/AI42&gt;'Parámetros Proyección'!$G$13),0,'Parámetros Proyección'!$G$13)+IF((Z42/AI42&gt;'Parámetros Proyección'!$G$14),0,'Parámetros Proyección'!$G$14)+IF((AF42/AI42&gt;'Parámetros Proyección'!$G$15),0,'Parámetros Proyección'!$G$15)))</f>
        <v/>
      </c>
      <c r="P42" s="35">
        <f>N42+O42</f>
        <v/>
      </c>
      <c r="Q42" s="35">
        <f>V41</f>
        <v/>
      </c>
      <c r="R42" s="35">
        <f>Q42*(1+'Parámetros Proyección'!$E$13)</f>
        <v/>
      </c>
      <c r="S42" s="35">
        <f>R42*'Parámetros Proyección'!$F$13</f>
        <v/>
      </c>
      <c r="T42" s="35">
        <f>R42+S42</f>
        <v/>
      </c>
      <c r="U42" s="35">
        <f>IF((T42/AI42&gt;'Parámetros Proyección'!$G$13),0,D42*'Parámetros Proyección'!$G$13/(IF((H42/AI42&gt;'Parámetros Proyección'!$G$11),0,'Parámetros Proyección'!$G$11)+IF((N42/AI42&gt;'Parámetros Proyección'!$G$12),0,'Parámetros Proyección'!$G$12)+IF((T42/AI42&gt;'Parámetros Proyección'!$G$13),0,'Parámetros Proyección'!$G$13)+IF((Z42/AI42&gt;'Parámetros Proyección'!$G$14),0,'Parámetros Proyección'!$G$14)+IF((AF42/AI42&gt;'Parámetros Proyección'!$G$15),0,'Parámetros Proyección'!$G$15)))</f>
        <v/>
      </c>
      <c r="V42" s="35">
        <f>T42+U42</f>
        <v/>
      </c>
      <c r="W42" s="35">
        <f>AB41</f>
        <v/>
      </c>
      <c r="X42" s="35">
        <f>W42*(1+'Parámetros Proyección'!$E$14)</f>
        <v/>
      </c>
      <c r="Y42" s="35">
        <f>X42*'Parámetros Proyección'!$F$14</f>
        <v/>
      </c>
      <c r="Z42" s="35">
        <f>X42+Y42</f>
        <v/>
      </c>
      <c r="AA42" s="35">
        <f>IF((Z42/AI42&gt;'Parámetros Proyección'!$G$14),0,D42*'Parámetros Proyección'!$G$14/(IF((H42/AI42&gt;'Parámetros Proyección'!$G$11),0,'Parámetros Proyección'!$G$11)+IF((N42/AI42&gt;'Parámetros Proyección'!$G$12),0,'Parámetros Proyección'!$G$12)+IF((T42/AI42&gt;'Parámetros Proyección'!$G$13),0,'Parámetros Proyección'!$G$13)+IF((Z42/AI42&gt;'Parámetros Proyección'!$G$14),0,'Parámetros Proyección'!$G$14)+IF((AF42/AI42&gt;'Parámetros Proyección'!$G$15),0,'Parámetros Proyección'!$G$15)))</f>
        <v/>
      </c>
      <c r="AB42" s="35">
        <f>Z42+AA42</f>
        <v/>
      </c>
      <c r="AC42" s="35">
        <f>AH41</f>
        <v/>
      </c>
      <c r="AD42" s="35">
        <f>AC42*(1+'Parámetros Proyección'!$E$15)</f>
        <v/>
      </c>
      <c r="AE42" s="35">
        <f>AD42*'Parámetros Proyección'!$F$15</f>
        <v/>
      </c>
      <c r="AF42" s="35">
        <f>AD42+AE42</f>
        <v/>
      </c>
      <c r="AG42" s="35">
        <f>IF((AF42/AI42&gt;'Parámetros Proyección'!$G$15),0,D42*'Parámetros Proyección'!$G$15/(IF((H42/AI42&gt;'Parámetros Proyección'!$G$11),0,'Parámetros Proyección'!$G$11)+IF((N42/AI42&gt;'Parámetros Proyección'!$G$12),0,'Parámetros Proyección'!$G$12)+IF((T42/AI42&gt;'Parámetros Proyección'!$G$13),0,'Parámetros Proyección'!$G$13)+IF((Z42/AI42&gt;'Parámetros Proyección'!$G$14),0,'Parámetros Proyección'!$G$14)+IF((AF42/AI42&gt;'Parámetros Proyección'!$G$15),0,'Parámetros Proyección'!$G$15)))</f>
        <v/>
      </c>
      <c r="AH42" s="35">
        <f>AF42+AG42</f>
        <v/>
      </c>
      <c r="AI42" s="35">
        <f>H42+N42+T42+Z42+AF42</f>
        <v/>
      </c>
      <c r="AJ42" s="33">
        <f>AF42/AI42</f>
        <v/>
      </c>
      <c r="AK42">
        <f>IF(AJ42&gt;'Parámetros Proyección'!$B$5,1,0)</f>
        <v/>
      </c>
      <c r="AL42" s="35">
        <f>G42+M42+S42+Y42+AE42</f>
        <v/>
      </c>
      <c r="AM42" s="35">
        <f>AM41+D42</f>
        <v/>
      </c>
      <c r="AN42" s="35">
        <f>AN41+AL42</f>
        <v/>
      </c>
      <c r="AO42" s="35">
        <f>J42+P42+V42+AB42+AH42</f>
        <v/>
      </c>
    </row>
    <row r="43">
      <c r="A43" t="n">
        <v>40</v>
      </c>
      <c r="B43" s="34">
        <f>EDATE(B42,1)</f>
        <v/>
      </c>
      <c r="C43">
        <f>YEAR(B43)</f>
        <v/>
      </c>
      <c r="D43" s="35">
        <f>'Parámetros Proyección'!$B$3*(1+'Parámetros Proyección'!$B$4)^(C43-YEAR('Parámetros Proyección'!$B$6))</f>
        <v/>
      </c>
      <c r="E43" s="35">
        <f>J42</f>
        <v/>
      </c>
      <c r="F43" s="35">
        <f>E43*(1+'Parámetros Proyección'!$E$11)</f>
        <v/>
      </c>
      <c r="G43" s="35">
        <f>F43*'Parámetros Proyección'!$F$11</f>
        <v/>
      </c>
      <c r="H43" s="35">
        <f>F43+G43</f>
        <v/>
      </c>
      <c r="I43" s="35">
        <f>IF((H43/AI43&gt;'Parámetros Proyección'!$G$11),0,D43*'Parámetros Proyección'!$G$11/(IF((H43/AI43&gt;'Parámetros Proyección'!$G$11),0,'Parámetros Proyección'!$G$11)+IF((N43/AI43&gt;'Parámetros Proyección'!$G$12),0,'Parámetros Proyección'!$G$12)+IF((T43/AI43&gt;'Parámetros Proyección'!$G$13),0,'Parámetros Proyección'!$G$13)+IF((Z43/AI43&gt;'Parámetros Proyección'!$G$14),0,'Parámetros Proyección'!$G$14)+IF((AF43/AI43&gt;'Parámetros Proyección'!$G$15),0,'Parámetros Proyección'!$G$15)))</f>
        <v/>
      </c>
      <c r="J43" s="35">
        <f>H43+I43</f>
        <v/>
      </c>
      <c r="K43" s="35">
        <f>P42</f>
        <v/>
      </c>
      <c r="L43" s="35">
        <f>K43*(1+'Parámetros Proyección'!$E$12)</f>
        <v/>
      </c>
      <c r="M43" s="35">
        <f>L43*'Parámetros Proyección'!$F$12</f>
        <v/>
      </c>
      <c r="N43" s="35">
        <f>L43+M43</f>
        <v/>
      </c>
      <c r="O43" s="35">
        <f>IF((N43/AI43&gt;'Parámetros Proyección'!$G$12),0,D43*'Parámetros Proyección'!$G$12/(IF((H43/AI43&gt;'Parámetros Proyección'!$G$11),0,'Parámetros Proyección'!$G$11)+IF((N43/AI43&gt;'Parámetros Proyección'!$G$12),0,'Parámetros Proyección'!$G$12)+IF((T43/AI43&gt;'Parámetros Proyección'!$G$13),0,'Parámetros Proyección'!$G$13)+IF((Z43/AI43&gt;'Parámetros Proyección'!$G$14),0,'Parámetros Proyección'!$G$14)+IF((AF43/AI43&gt;'Parámetros Proyección'!$G$15),0,'Parámetros Proyección'!$G$15)))</f>
        <v/>
      </c>
      <c r="P43" s="35">
        <f>N43+O43</f>
        <v/>
      </c>
      <c r="Q43" s="35">
        <f>V42</f>
        <v/>
      </c>
      <c r="R43" s="35">
        <f>Q43*(1+'Parámetros Proyección'!$E$13)</f>
        <v/>
      </c>
      <c r="S43" s="35">
        <f>R43*'Parámetros Proyección'!$F$13</f>
        <v/>
      </c>
      <c r="T43" s="35">
        <f>R43+S43</f>
        <v/>
      </c>
      <c r="U43" s="35">
        <f>IF((T43/AI43&gt;'Parámetros Proyección'!$G$13),0,D43*'Parámetros Proyección'!$G$13/(IF((H43/AI43&gt;'Parámetros Proyección'!$G$11),0,'Parámetros Proyección'!$G$11)+IF((N43/AI43&gt;'Parámetros Proyección'!$G$12),0,'Parámetros Proyección'!$G$12)+IF((T43/AI43&gt;'Parámetros Proyección'!$G$13),0,'Parámetros Proyección'!$G$13)+IF((Z43/AI43&gt;'Parámetros Proyección'!$G$14),0,'Parámetros Proyección'!$G$14)+IF((AF43/AI43&gt;'Parámetros Proyección'!$G$15),0,'Parámetros Proyección'!$G$15)))</f>
        <v/>
      </c>
      <c r="V43" s="35">
        <f>T43+U43</f>
        <v/>
      </c>
      <c r="W43" s="35">
        <f>AB42</f>
        <v/>
      </c>
      <c r="X43" s="35">
        <f>W43*(1+'Parámetros Proyección'!$E$14)</f>
        <v/>
      </c>
      <c r="Y43" s="35">
        <f>X43*'Parámetros Proyección'!$F$14</f>
        <v/>
      </c>
      <c r="Z43" s="35">
        <f>X43+Y43</f>
        <v/>
      </c>
      <c r="AA43" s="35">
        <f>IF((Z43/AI43&gt;'Parámetros Proyección'!$G$14),0,D43*'Parámetros Proyección'!$G$14/(IF((H43/AI43&gt;'Parámetros Proyección'!$G$11),0,'Parámetros Proyección'!$G$11)+IF((N43/AI43&gt;'Parámetros Proyección'!$G$12),0,'Parámetros Proyección'!$G$12)+IF((T43/AI43&gt;'Parámetros Proyección'!$G$13),0,'Parámetros Proyección'!$G$13)+IF((Z43/AI43&gt;'Parámetros Proyección'!$G$14),0,'Parámetros Proyección'!$G$14)+IF((AF43/AI43&gt;'Parámetros Proyección'!$G$15),0,'Parámetros Proyección'!$G$15)))</f>
        <v/>
      </c>
      <c r="AB43" s="35">
        <f>Z43+AA43</f>
        <v/>
      </c>
      <c r="AC43" s="35">
        <f>AH42</f>
        <v/>
      </c>
      <c r="AD43" s="35">
        <f>AC43*(1+'Parámetros Proyección'!$E$15)</f>
        <v/>
      </c>
      <c r="AE43" s="35">
        <f>AD43*'Parámetros Proyección'!$F$15</f>
        <v/>
      </c>
      <c r="AF43" s="35">
        <f>AD43+AE43</f>
        <v/>
      </c>
      <c r="AG43" s="35">
        <f>IF((AF43/AI43&gt;'Parámetros Proyección'!$G$15),0,D43*'Parámetros Proyección'!$G$15/(IF((H43/AI43&gt;'Parámetros Proyección'!$G$11),0,'Parámetros Proyección'!$G$11)+IF((N43/AI43&gt;'Parámetros Proyección'!$G$12),0,'Parámetros Proyección'!$G$12)+IF((T43/AI43&gt;'Parámetros Proyección'!$G$13),0,'Parámetros Proyección'!$G$13)+IF((Z43/AI43&gt;'Parámetros Proyección'!$G$14),0,'Parámetros Proyección'!$G$14)+IF((AF43/AI43&gt;'Parámetros Proyección'!$G$15),0,'Parámetros Proyección'!$G$15)))</f>
        <v/>
      </c>
      <c r="AH43" s="35">
        <f>AF43+AG43</f>
        <v/>
      </c>
      <c r="AI43" s="35">
        <f>H43+N43+T43+Z43+AF43</f>
        <v/>
      </c>
      <c r="AJ43" s="33">
        <f>AF43/AI43</f>
        <v/>
      </c>
      <c r="AK43">
        <f>IF(AJ43&gt;'Parámetros Proyección'!$B$5,1,0)</f>
        <v/>
      </c>
      <c r="AL43" s="35">
        <f>G43+M43+S43+Y43+AE43</f>
        <v/>
      </c>
      <c r="AM43" s="35">
        <f>AM42+D43</f>
        <v/>
      </c>
      <c r="AN43" s="35">
        <f>AN42+AL43</f>
        <v/>
      </c>
      <c r="AO43" s="35">
        <f>J43+P43+V43+AB43+AH43</f>
        <v/>
      </c>
    </row>
    <row r="44">
      <c r="A44" t="n">
        <v>41</v>
      </c>
      <c r="B44" s="34">
        <f>EDATE(B43,1)</f>
        <v/>
      </c>
      <c r="C44">
        <f>YEAR(B44)</f>
        <v/>
      </c>
      <c r="D44" s="35">
        <f>'Parámetros Proyección'!$B$3*(1+'Parámetros Proyección'!$B$4)^(C44-YEAR('Parámetros Proyección'!$B$6))</f>
        <v/>
      </c>
      <c r="E44" s="35">
        <f>J43</f>
        <v/>
      </c>
      <c r="F44" s="35">
        <f>E44*(1+'Parámetros Proyección'!$E$11)</f>
        <v/>
      </c>
      <c r="G44" s="35">
        <f>F44*'Parámetros Proyección'!$F$11</f>
        <v/>
      </c>
      <c r="H44" s="35">
        <f>F44+G44</f>
        <v/>
      </c>
      <c r="I44" s="35">
        <f>IF((H44/AI44&gt;'Parámetros Proyección'!$G$11),0,D44*'Parámetros Proyección'!$G$11/(IF((H44/AI44&gt;'Parámetros Proyección'!$G$11),0,'Parámetros Proyección'!$G$11)+IF((N44/AI44&gt;'Parámetros Proyección'!$G$12),0,'Parámetros Proyección'!$G$12)+IF((T44/AI44&gt;'Parámetros Proyección'!$G$13),0,'Parámetros Proyección'!$G$13)+IF((Z44/AI44&gt;'Parámetros Proyección'!$G$14),0,'Parámetros Proyección'!$G$14)+IF((AF44/AI44&gt;'Parámetros Proyección'!$G$15),0,'Parámetros Proyección'!$G$15)))</f>
        <v/>
      </c>
      <c r="J44" s="35">
        <f>H44+I44</f>
        <v/>
      </c>
      <c r="K44" s="35">
        <f>P43</f>
        <v/>
      </c>
      <c r="L44" s="35">
        <f>K44*(1+'Parámetros Proyección'!$E$12)</f>
        <v/>
      </c>
      <c r="M44" s="35">
        <f>L44*'Parámetros Proyección'!$F$12</f>
        <v/>
      </c>
      <c r="N44" s="35">
        <f>L44+M44</f>
        <v/>
      </c>
      <c r="O44" s="35">
        <f>IF((N44/AI44&gt;'Parámetros Proyección'!$G$12),0,D44*'Parámetros Proyección'!$G$12/(IF((H44/AI44&gt;'Parámetros Proyección'!$G$11),0,'Parámetros Proyección'!$G$11)+IF((N44/AI44&gt;'Parámetros Proyección'!$G$12),0,'Parámetros Proyección'!$G$12)+IF((T44/AI44&gt;'Parámetros Proyección'!$G$13),0,'Parámetros Proyección'!$G$13)+IF((Z44/AI44&gt;'Parámetros Proyección'!$G$14),0,'Parámetros Proyección'!$G$14)+IF((AF44/AI44&gt;'Parámetros Proyección'!$G$15),0,'Parámetros Proyección'!$G$15)))</f>
        <v/>
      </c>
      <c r="P44" s="35">
        <f>N44+O44</f>
        <v/>
      </c>
      <c r="Q44" s="35">
        <f>V43</f>
        <v/>
      </c>
      <c r="R44" s="35">
        <f>Q44*(1+'Parámetros Proyección'!$E$13)</f>
        <v/>
      </c>
      <c r="S44" s="35">
        <f>R44*'Parámetros Proyección'!$F$13</f>
        <v/>
      </c>
      <c r="T44" s="35">
        <f>R44+S44</f>
        <v/>
      </c>
      <c r="U44" s="35">
        <f>IF((T44/AI44&gt;'Parámetros Proyección'!$G$13),0,D44*'Parámetros Proyección'!$G$13/(IF((H44/AI44&gt;'Parámetros Proyección'!$G$11),0,'Parámetros Proyección'!$G$11)+IF((N44/AI44&gt;'Parámetros Proyección'!$G$12),0,'Parámetros Proyección'!$G$12)+IF((T44/AI44&gt;'Parámetros Proyección'!$G$13),0,'Parámetros Proyección'!$G$13)+IF((Z44/AI44&gt;'Parámetros Proyección'!$G$14),0,'Parámetros Proyección'!$G$14)+IF((AF44/AI44&gt;'Parámetros Proyección'!$G$15),0,'Parámetros Proyección'!$G$15)))</f>
        <v/>
      </c>
      <c r="V44" s="35">
        <f>T44+U44</f>
        <v/>
      </c>
      <c r="W44" s="35">
        <f>AB43</f>
        <v/>
      </c>
      <c r="X44" s="35">
        <f>W44*(1+'Parámetros Proyección'!$E$14)</f>
        <v/>
      </c>
      <c r="Y44" s="35">
        <f>X44*'Parámetros Proyección'!$F$14</f>
        <v/>
      </c>
      <c r="Z44" s="35">
        <f>X44+Y44</f>
        <v/>
      </c>
      <c r="AA44" s="35">
        <f>IF((Z44/AI44&gt;'Parámetros Proyección'!$G$14),0,D44*'Parámetros Proyección'!$G$14/(IF((H44/AI44&gt;'Parámetros Proyección'!$G$11),0,'Parámetros Proyección'!$G$11)+IF((N44/AI44&gt;'Parámetros Proyección'!$G$12),0,'Parámetros Proyección'!$G$12)+IF((T44/AI44&gt;'Parámetros Proyección'!$G$13),0,'Parámetros Proyección'!$G$13)+IF((Z44/AI44&gt;'Parámetros Proyección'!$G$14),0,'Parámetros Proyección'!$G$14)+IF((AF44/AI44&gt;'Parámetros Proyección'!$G$15),0,'Parámetros Proyección'!$G$15)))</f>
        <v/>
      </c>
      <c r="AB44" s="35">
        <f>Z44+AA44</f>
        <v/>
      </c>
      <c r="AC44" s="35">
        <f>AH43</f>
        <v/>
      </c>
      <c r="AD44" s="35">
        <f>AC44*(1+'Parámetros Proyección'!$E$15)</f>
        <v/>
      </c>
      <c r="AE44" s="35">
        <f>AD44*'Parámetros Proyección'!$F$15</f>
        <v/>
      </c>
      <c r="AF44" s="35">
        <f>AD44+AE44</f>
        <v/>
      </c>
      <c r="AG44" s="35">
        <f>IF((AF44/AI44&gt;'Parámetros Proyección'!$G$15),0,D44*'Parámetros Proyección'!$G$15/(IF((H44/AI44&gt;'Parámetros Proyección'!$G$11),0,'Parámetros Proyección'!$G$11)+IF((N44/AI44&gt;'Parámetros Proyección'!$G$12),0,'Parámetros Proyección'!$G$12)+IF((T44/AI44&gt;'Parámetros Proyección'!$G$13),0,'Parámetros Proyección'!$G$13)+IF((Z44/AI44&gt;'Parámetros Proyección'!$G$14),0,'Parámetros Proyección'!$G$14)+IF((AF44/AI44&gt;'Parámetros Proyección'!$G$15),0,'Parámetros Proyección'!$G$15)))</f>
        <v/>
      </c>
      <c r="AH44" s="35">
        <f>AF44+AG44</f>
        <v/>
      </c>
      <c r="AI44" s="35">
        <f>H44+N44+T44+Z44+AF44</f>
        <v/>
      </c>
      <c r="AJ44" s="33">
        <f>AF44/AI44</f>
        <v/>
      </c>
      <c r="AK44">
        <f>IF(AJ44&gt;'Parámetros Proyección'!$B$5,1,0)</f>
        <v/>
      </c>
      <c r="AL44" s="35">
        <f>G44+M44+S44+Y44+AE44</f>
        <v/>
      </c>
      <c r="AM44" s="35">
        <f>AM43+D44</f>
        <v/>
      </c>
      <c r="AN44" s="35">
        <f>AN43+AL44</f>
        <v/>
      </c>
      <c r="AO44" s="35">
        <f>J44+P44+V44+AB44+AH44</f>
        <v/>
      </c>
    </row>
    <row r="45">
      <c r="A45" t="n">
        <v>42</v>
      </c>
      <c r="B45" s="34">
        <f>EDATE(B44,1)</f>
        <v/>
      </c>
      <c r="C45">
        <f>YEAR(B45)</f>
        <v/>
      </c>
      <c r="D45" s="35">
        <f>'Parámetros Proyección'!$B$3*(1+'Parámetros Proyección'!$B$4)^(C45-YEAR('Parámetros Proyección'!$B$6))</f>
        <v/>
      </c>
      <c r="E45" s="35">
        <f>J44</f>
        <v/>
      </c>
      <c r="F45" s="35">
        <f>E45*(1+'Parámetros Proyección'!$E$11)</f>
        <v/>
      </c>
      <c r="G45" s="35">
        <f>F45*'Parámetros Proyección'!$F$11</f>
        <v/>
      </c>
      <c r="H45" s="35">
        <f>F45+G45</f>
        <v/>
      </c>
      <c r="I45" s="35">
        <f>IF((H45/AI45&gt;'Parámetros Proyección'!$G$11),0,D45*'Parámetros Proyección'!$G$11/(IF((H45/AI45&gt;'Parámetros Proyección'!$G$11),0,'Parámetros Proyección'!$G$11)+IF((N45/AI45&gt;'Parámetros Proyección'!$G$12),0,'Parámetros Proyección'!$G$12)+IF((T45/AI45&gt;'Parámetros Proyección'!$G$13),0,'Parámetros Proyección'!$G$13)+IF((Z45/AI45&gt;'Parámetros Proyección'!$G$14),0,'Parámetros Proyección'!$G$14)+IF((AF45/AI45&gt;'Parámetros Proyección'!$G$15),0,'Parámetros Proyección'!$G$15)))</f>
        <v/>
      </c>
      <c r="J45" s="35">
        <f>H45+I45</f>
        <v/>
      </c>
      <c r="K45" s="35">
        <f>P44</f>
        <v/>
      </c>
      <c r="L45" s="35">
        <f>K45*(1+'Parámetros Proyección'!$E$12)</f>
        <v/>
      </c>
      <c r="M45" s="35">
        <f>L45*'Parámetros Proyección'!$F$12</f>
        <v/>
      </c>
      <c r="N45" s="35">
        <f>L45+M45</f>
        <v/>
      </c>
      <c r="O45" s="35">
        <f>IF((N45/AI45&gt;'Parámetros Proyección'!$G$12),0,D45*'Parámetros Proyección'!$G$12/(IF((H45/AI45&gt;'Parámetros Proyección'!$G$11),0,'Parámetros Proyección'!$G$11)+IF((N45/AI45&gt;'Parámetros Proyección'!$G$12),0,'Parámetros Proyección'!$G$12)+IF((T45/AI45&gt;'Parámetros Proyección'!$G$13),0,'Parámetros Proyección'!$G$13)+IF((Z45/AI45&gt;'Parámetros Proyección'!$G$14),0,'Parámetros Proyección'!$G$14)+IF((AF45/AI45&gt;'Parámetros Proyección'!$G$15),0,'Parámetros Proyección'!$G$15)))</f>
        <v/>
      </c>
      <c r="P45" s="35">
        <f>N45+O45</f>
        <v/>
      </c>
      <c r="Q45" s="35">
        <f>V44</f>
        <v/>
      </c>
      <c r="R45" s="35">
        <f>Q45*(1+'Parámetros Proyección'!$E$13)</f>
        <v/>
      </c>
      <c r="S45" s="35">
        <f>R45*'Parámetros Proyección'!$F$13</f>
        <v/>
      </c>
      <c r="T45" s="35">
        <f>R45+S45</f>
        <v/>
      </c>
      <c r="U45" s="35">
        <f>IF((T45/AI45&gt;'Parámetros Proyección'!$G$13),0,D45*'Parámetros Proyección'!$G$13/(IF((H45/AI45&gt;'Parámetros Proyección'!$G$11),0,'Parámetros Proyección'!$G$11)+IF((N45/AI45&gt;'Parámetros Proyección'!$G$12),0,'Parámetros Proyección'!$G$12)+IF((T45/AI45&gt;'Parámetros Proyección'!$G$13),0,'Parámetros Proyección'!$G$13)+IF((Z45/AI45&gt;'Parámetros Proyección'!$G$14),0,'Parámetros Proyección'!$G$14)+IF((AF45/AI45&gt;'Parámetros Proyección'!$G$15),0,'Parámetros Proyección'!$G$15)))</f>
        <v/>
      </c>
      <c r="V45" s="35">
        <f>T45+U45</f>
        <v/>
      </c>
      <c r="W45" s="35">
        <f>AB44</f>
        <v/>
      </c>
      <c r="X45" s="35">
        <f>W45*(1+'Parámetros Proyección'!$E$14)</f>
        <v/>
      </c>
      <c r="Y45" s="35">
        <f>X45*'Parámetros Proyección'!$F$14</f>
        <v/>
      </c>
      <c r="Z45" s="35">
        <f>X45+Y45</f>
        <v/>
      </c>
      <c r="AA45" s="35">
        <f>IF((Z45/AI45&gt;'Parámetros Proyección'!$G$14),0,D45*'Parámetros Proyección'!$G$14/(IF((H45/AI45&gt;'Parámetros Proyección'!$G$11),0,'Parámetros Proyección'!$G$11)+IF((N45/AI45&gt;'Parámetros Proyección'!$G$12),0,'Parámetros Proyección'!$G$12)+IF((T45/AI45&gt;'Parámetros Proyección'!$G$13),0,'Parámetros Proyección'!$G$13)+IF((Z45/AI45&gt;'Parámetros Proyección'!$G$14),0,'Parámetros Proyección'!$G$14)+IF((AF45/AI45&gt;'Parámetros Proyección'!$G$15),0,'Parámetros Proyección'!$G$15)))</f>
        <v/>
      </c>
      <c r="AB45" s="35">
        <f>Z45+AA45</f>
        <v/>
      </c>
      <c r="AC45" s="35">
        <f>AH44</f>
        <v/>
      </c>
      <c r="AD45" s="35">
        <f>AC45*(1+'Parámetros Proyección'!$E$15)</f>
        <v/>
      </c>
      <c r="AE45" s="35">
        <f>AD45*'Parámetros Proyección'!$F$15</f>
        <v/>
      </c>
      <c r="AF45" s="35">
        <f>AD45+AE45</f>
        <v/>
      </c>
      <c r="AG45" s="35">
        <f>IF((AF45/AI45&gt;'Parámetros Proyección'!$G$15),0,D45*'Parámetros Proyección'!$G$15/(IF((H45/AI45&gt;'Parámetros Proyección'!$G$11),0,'Parámetros Proyección'!$G$11)+IF((N45/AI45&gt;'Parámetros Proyección'!$G$12),0,'Parámetros Proyección'!$G$12)+IF((T45/AI45&gt;'Parámetros Proyección'!$G$13),0,'Parámetros Proyección'!$G$13)+IF((Z45/AI45&gt;'Parámetros Proyección'!$G$14),0,'Parámetros Proyección'!$G$14)+IF((AF45/AI45&gt;'Parámetros Proyección'!$G$15),0,'Parámetros Proyección'!$G$15)))</f>
        <v/>
      </c>
      <c r="AH45" s="35">
        <f>AF45+AG45</f>
        <v/>
      </c>
      <c r="AI45" s="35">
        <f>H45+N45+T45+Z45+AF45</f>
        <v/>
      </c>
      <c r="AJ45" s="33">
        <f>AF45/AI45</f>
        <v/>
      </c>
      <c r="AK45">
        <f>IF(AJ45&gt;'Parámetros Proyección'!$B$5,1,0)</f>
        <v/>
      </c>
      <c r="AL45" s="35">
        <f>G45+M45+S45+Y45+AE45</f>
        <v/>
      </c>
      <c r="AM45" s="35">
        <f>AM44+D45</f>
        <v/>
      </c>
      <c r="AN45" s="35">
        <f>AN44+AL45</f>
        <v/>
      </c>
      <c r="AO45" s="35">
        <f>J45+P45+V45+AB45+AH45</f>
        <v/>
      </c>
    </row>
    <row r="46">
      <c r="A46" t="n">
        <v>43</v>
      </c>
      <c r="B46" s="34">
        <f>EDATE(B45,1)</f>
        <v/>
      </c>
      <c r="C46">
        <f>YEAR(B46)</f>
        <v/>
      </c>
      <c r="D46" s="35">
        <f>'Parámetros Proyección'!$B$3*(1+'Parámetros Proyección'!$B$4)^(C46-YEAR('Parámetros Proyección'!$B$6))</f>
        <v/>
      </c>
      <c r="E46" s="35">
        <f>J45</f>
        <v/>
      </c>
      <c r="F46" s="35">
        <f>E46*(1+'Parámetros Proyección'!$E$11)</f>
        <v/>
      </c>
      <c r="G46" s="35">
        <f>F46*'Parámetros Proyección'!$F$11</f>
        <v/>
      </c>
      <c r="H46" s="35">
        <f>F46+G46</f>
        <v/>
      </c>
      <c r="I46" s="35">
        <f>IF((H46/AI46&gt;'Parámetros Proyección'!$G$11),0,D46*'Parámetros Proyección'!$G$11/(IF((H46/AI46&gt;'Parámetros Proyección'!$G$11),0,'Parámetros Proyección'!$G$11)+IF((N46/AI46&gt;'Parámetros Proyección'!$G$12),0,'Parámetros Proyección'!$G$12)+IF((T46/AI46&gt;'Parámetros Proyección'!$G$13),0,'Parámetros Proyección'!$G$13)+IF((Z46/AI46&gt;'Parámetros Proyección'!$G$14),0,'Parámetros Proyección'!$G$14)+IF((AF46/AI46&gt;'Parámetros Proyección'!$G$15),0,'Parámetros Proyección'!$G$15)))</f>
        <v/>
      </c>
      <c r="J46" s="35">
        <f>H46+I46</f>
        <v/>
      </c>
      <c r="K46" s="35">
        <f>P45</f>
        <v/>
      </c>
      <c r="L46" s="35">
        <f>K46*(1+'Parámetros Proyección'!$E$12)</f>
        <v/>
      </c>
      <c r="M46" s="35">
        <f>L46*'Parámetros Proyección'!$F$12</f>
        <v/>
      </c>
      <c r="N46" s="35">
        <f>L46+M46</f>
        <v/>
      </c>
      <c r="O46" s="35">
        <f>IF((N46/AI46&gt;'Parámetros Proyección'!$G$12),0,D46*'Parámetros Proyección'!$G$12/(IF((H46/AI46&gt;'Parámetros Proyección'!$G$11),0,'Parámetros Proyección'!$G$11)+IF((N46/AI46&gt;'Parámetros Proyección'!$G$12),0,'Parámetros Proyección'!$G$12)+IF((T46/AI46&gt;'Parámetros Proyección'!$G$13),0,'Parámetros Proyección'!$G$13)+IF((Z46/AI46&gt;'Parámetros Proyección'!$G$14),0,'Parámetros Proyección'!$G$14)+IF((AF46/AI46&gt;'Parámetros Proyección'!$G$15),0,'Parámetros Proyección'!$G$15)))</f>
        <v/>
      </c>
      <c r="P46" s="35">
        <f>N46+O46</f>
        <v/>
      </c>
      <c r="Q46" s="35">
        <f>V45</f>
        <v/>
      </c>
      <c r="R46" s="35">
        <f>Q46*(1+'Parámetros Proyección'!$E$13)</f>
        <v/>
      </c>
      <c r="S46" s="35">
        <f>R46*'Parámetros Proyección'!$F$13</f>
        <v/>
      </c>
      <c r="T46" s="35">
        <f>R46+S46</f>
        <v/>
      </c>
      <c r="U46" s="35">
        <f>IF((T46/AI46&gt;'Parámetros Proyección'!$G$13),0,D46*'Parámetros Proyección'!$G$13/(IF((H46/AI46&gt;'Parámetros Proyección'!$G$11),0,'Parámetros Proyección'!$G$11)+IF((N46/AI46&gt;'Parámetros Proyección'!$G$12),0,'Parámetros Proyección'!$G$12)+IF((T46/AI46&gt;'Parámetros Proyección'!$G$13),0,'Parámetros Proyección'!$G$13)+IF((Z46/AI46&gt;'Parámetros Proyección'!$G$14),0,'Parámetros Proyección'!$G$14)+IF((AF46/AI46&gt;'Parámetros Proyección'!$G$15),0,'Parámetros Proyección'!$G$15)))</f>
        <v/>
      </c>
      <c r="V46" s="35">
        <f>T46+U46</f>
        <v/>
      </c>
      <c r="W46" s="35">
        <f>AB45</f>
        <v/>
      </c>
      <c r="X46" s="35">
        <f>W46*(1+'Parámetros Proyección'!$E$14)</f>
        <v/>
      </c>
      <c r="Y46" s="35">
        <f>X46*'Parámetros Proyección'!$F$14</f>
        <v/>
      </c>
      <c r="Z46" s="35">
        <f>X46+Y46</f>
        <v/>
      </c>
      <c r="AA46" s="35">
        <f>IF((Z46/AI46&gt;'Parámetros Proyección'!$G$14),0,D46*'Parámetros Proyección'!$G$14/(IF((H46/AI46&gt;'Parámetros Proyección'!$G$11),0,'Parámetros Proyección'!$G$11)+IF((N46/AI46&gt;'Parámetros Proyección'!$G$12),0,'Parámetros Proyección'!$G$12)+IF((T46/AI46&gt;'Parámetros Proyección'!$G$13),0,'Parámetros Proyección'!$G$13)+IF((Z46/AI46&gt;'Parámetros Proyección'!$G$14),0,'Parámetros Proyección'!$G$14)+IF((AF46/AI46&gt;'Parámetros Proyección'!$G$15),0,'Parámetros Proyección'!$G$15)))</f>
        <v/>
      </c>
      <c r="AB46" s="35">
        <f>Z46+AA46</f>
        <v/>
      </c>
      <c r="AC46" s="35">
        <f>AH45</f>
        <v/>
      </c>
      <c r="AD46" s="35">
        <f>AC46*(1+'Parámetros Proyección'!$E$15)</f>
        <v/>
      </c>
      <c r="AE46" s="35">
        <f>AD46*'Parámetros Proyección'!$F$15</f>
        <v/>
      </c>
      <c r="AF46" s="35">
        <f>AD46+AE46</f>
        <v/>
      </c>
      <c r="AG46" s="35">
        <f>IF((AF46/AI46&gt;'Parámetros Proyección'!$G$15),0,D46*'Parámetros Proyección'!$G$15/(IF((H46/AI46&gt;'Parámetros Proyección'!$G$11),0,'Parámetros Proyección'!$G$11)+IF((N46/AI46&gt;'Parámetros Proyección'!$G$12),0,'Parámetros Proyección'!$G$12)+IF((T46/AI46&gt;'Parámetros Proyección'!$G$13),0,'Parámetros Proyección'!$G$13)+IF((Z46/AI46&gt;'Parámetros Proyección'!$G$14),0,'Parámetros Proyección'!$G$14)+IF((AF46/AI46&gt;'Parámetros Proyección'!$G$15),0,'Parámetros Proyección'!$G$15)))</f>
        <v/>
      </c>
      <c r="AH46" s="35">
        <f>AF46+AG46</f>
        <v/>
      </c>
      <c r="AI46" s="35">
        <f>H46+N46+T46+Z46+AF46</f>
        <v/>
      </c>
      <c r="AJ46" s="33">
        <f>AF46/AI46</f>
        <v/>
      </c>
      <c r="AK46">
        <f>IF(AJ46&gt;'Parámetros Proyección'!$B$5,1,0)</f>
        <v/>
      </c>
      <c r="AL46" s="35">
        <f>G46+M46+S46+Y46+AE46</f>
        <v/>
      </c>
      <c r="AM46" s="35">
        <f>AM45+D46</f>
        <v/>
      </c>
      <c r="AN46" s="35">
        <f>AN45+AL46</f>
        <v/>
      </c>
      <c r="AO46" s="35">
        <f>J46+P46+V46+AB46+AH46</f>
        <v/>
      </c>
    </row>
    <row r="47">
      <c r="A47" t="n">
        <v>44</v>
      </c>
      <c r="B47" s="34">
        <f>EDATE(B46,1)</f>
        <v/>
      </c>
      <c r="C47">
        <f>YEAR(B47)</f>
        <v/>
      </c>
      <c r="D47" s="35">
        <f>'Parámetros Proyección'!$B$3*(1+'Parámetros Proyección'!$B$4)^(C47-YEAR('Parámetros Proyección'!$B$6))</f>
        <v/>
      </c>
      <c r="E47" s="35">
        <f>J46</f>
        <v/>
      </c>
      <c r="F47" s="35">
        <f>E47*(1+'Parámetros Proyección'!$E$11)</f>
        <v/>
      </c>
      <c r="G47" s="35">
        <f>F47*'Parámetros Proyección'!$F$11</f>
        <v/>
      </c>
      <c r="H47" s="35">
        <f>F47+G47</f>
        <v/>
      </c>
      <c r="I47" s="35">
        <f>IF((H47/AI47&gt;'Parámetros Proyección'!$G$11),0,D47*'Parámetros Proyección'!$G$11/(IF((H47/AI47&gt;'Parámetros Proyección'!$G$11),0,'Parámetros Proyección'!$G$11)+IF((N47/AI47&gt;'Parámetros Proyección'!$G$12),0,'Parámetros Proyección'!$G$12)+IF((T47/AI47&gt;'Parámetros Proyección'!$G$13),0,'Parámetros Proyección'!$G$13)+IF((Z47/AI47&gt;'Parámetros Proyección'!$G$14),0,'Parámetros Proyección'!$G$14)+IF((AF47/AI47&gt;'Parámetros Proyección'!$G$15),0,'Parámetros Proyección'!$G$15)))</f>
        <v/>
      </c>
      <c r="J47" s="35">
        <f>H47+I47</f>
        <v/>
      </c>
      <c r="K47" s="35">
        <f>P46</f>
        <v/>
      </c>
      <c r="L47" s="35">
        <f>K47*(1+'Parámetros Proyección'!$E$12)</f>
        <v/>
      </c>
      <c r="M47" s="35">
        <f>L47*'Parámetros Proyección'!$F$12</f>
        <v/>
      </c>
      <c r="N47" s="35">
        <f>L47+M47</f>
        <v/>
      </c>
      <c r="O47" s="35">
        <f>IF((N47/AI47&gt;'Parámetros Proyección'!$G$12),0,D47*'Parámetros Proyección'!$G$12/(IF((H47/AI47&gt;'Parámetros Proyección'!$G$11),0,'Parámetros Proyección'!$G$11)+IF((N47/AI47&gt;'Parámetros Proyección'!$G$12),0,'Parámetros Proyección'!$G$12)+IF((T47/AI47&gt;'Parámetros Proyección'!$G$13),0,'Parámetros Proyección'!$G$13)+IF((Z47/AI47&gt;'Parámetros Proyección'!$G$14),0,'Parámetros Proyección'!$G$14)+IF((AF47/AI47&gt;'Parámetros Proyección'!$G$15),0,'Parámetros Proyección'!$G$15)))</f>
        <v/>
      </c>
      <c r="P47" s="35">
        <f>N47+O47</f>
        <v/>
      </c>
      <c r="Q47" s="35">
        <f>V46</f>
        <v/>
      </c>
      <c r="R47" s="35">
        <f>Q47*(1+'Parámetros Proyección'!$E$13)</f>
        <v/>
      </c>
      <c r="S47" s="35">
        <f>R47*'Parámetros Proyección'!$F$13</f>
        <v/>
      </c>
      <c r="T47" s="35">
        <f>R47+S47</f>
        <v/>
      </c>
      <c r="U47" s="35">
        <f>IF((T47/AI47&gt;'Parámetros Proyección'!$G$13),0,D47*'Parámetros Proyección'!$G$13/(IF((H47/AI47&gt;'Parámetros Proyección'!$G$11),0,'Parámetros Proyección'!$G$11)+IF((N47/AI47&gt;'Parámetros Proyección'!$G$12),0,'Parámetros Proyección'!$G$12)+IF((T47/AI47&gt;'Parámetros Proyección'!$G$13),0,'Parámetros Proyección'!$G$13)+IF((Z47/AI47&gt;'Parámetros Proyección'!$G$14),0,'Parámetros Proyección'!$G$14)+IF((AF47/AI47&gt;'Parámetros Proyección'!$G$15),0,'Parámetros Proyección'!$G$15)))</f>
        <v/>
      </c>
      <c r="V47" s="35">
        <f>T47+U47</f>
        <v/>
      </c>
      <c r="W47" s="35">
        <f>AB46</f>
        <v/>
      </c>
      <c r="X47" s="35">
        <f>W47*(1+'Parámetros Proyección'!$E$14)</f>
        <v/>
      </c>
      <c r="Y47" s="35">
        <f>X47*'Parámetros Proyección'!$F$14</f>
        <v/>
      </c>
      <c r="Z47" s="35">
        <f>X47+Y47</f>
        <v/>
      </c>
      <c r="AA47" s="35">
        <f>IF((Z47/AI47&gt;'Parámetros Proyección'!$G$14),0,D47*'Parámetros Proyección'!$G$14/(IF((H47/AI47&gt;'Parámetros Proyección'!$G$11),0,'Parámetros Proyección'!$G$11)+IF((N47/AI47&gt;'Parámetros Proyección'!$G$12),0,'Parámetros Proyección'!$G$12)+IF((T47/AI47&gt;'Parámetros Proyección'!$G$13),0,'Parámetros Proyección'!$G$13)+IF((Z47/AI47&gt;'Parámetros Proyección'!$G$14),0,'Parámetros Proyección'!$G$14)+IF((AF47/AI47&gt;'Parámetros Proyección'!$G$15),0,'Parámetros Proyección'!$G$15)))</f>
        <v/>
      </c>
      <c r="AB47" s="35">
        <f>Z47+AA47</f>
        <v/>
      </c>
      <c r="AC47" s="35">
        <f>AH46</f>
        <v/>
      </c>
      <c r="AD47" s="35">
        <f>AC47*(1+'Parámetros Proyección'!$E$15)</f>
        <v/>
      </c>
      <c r="AE47" s="35">
        <f>AD47*'Parámetros Proyección'!$F$15</f>
        <v/>
      </c>
      <c r="AF47" s="35">
        <f>AD47+AE47</f>
        <v/>
      </c>
      <c r="AG47" s="35">
        <f>IF((AF47/AI47&gt;'Parámetros Proyección'!$G$15),0,D47*'Parámetros Proyección'!$G$15/(IF((H47/AI47&gt;'Parámetros Proyección'!$G$11),0,'Parámetros Proyección'!$G$11)+IF((N47/AI47&gt;'Parámetros Proyección'!$G$12),0,'Parámetros Proyección'!$G$12)+IF((T47/AI47&gt;'Parámetros Proyección'!$G$13),0,'Parámetros Proyección'!$G$13)+IF((Z47/AI47&gt;'Parámetros Proyección'!$G$14),0,'Parámetros Proyección'!$G$14)+IF((AF47/AI47&gt;'Parámetros Proyección'!$G$15),0,'Parámetros Proyección'!$G$15)))</f>
        <v/>
      </c>
      <c r="AH47" s="35">
        <f>AF47+AG47</f>
        <v/>
      </c>
      <c r="AI47" s="35">
        <f>H47+N47+T47+Z47+AF47</f>
        <v/>
      </c>
      <c r="AJ47" s="33">
        <f>AF47/AI47</f>
        <v/>
      </c>
      <c r="AK47">
        <f>IF(AJ47&gt;'Parámetros Proyección'!$B$5,1,0)</f>
        <v/>
      </c>
      <c r="AL47" s="35">
        <f>G47+M47+S47+Y47+AE47</f>
        <v/>
      </c>
      <c r="AM47" s="35">
        <f>AM46+D47</f>
        <v/>
      </c>
      <c r="AN47" s="35">
        <f>AN46+AL47</f>
        <v/>
      </c>
      <c r="AO47" s="35">
        <f>J47+P47+V47+AB47+AH47</f>
        <v/>
      </c>
    </row>
    <row r="48">
      <c r="A48" t="n">
        <v>45</v>
      </c>
      <c r="B48" s="34">
        <f>EDATE(B47,1)</f>
        <v/>
      </c>
      <c r="C48">
        <f>YEAR(B48)</f>
        <v/>
      </c>
      <c r="D48" s="35">
        <f>'Parámetros Proyección'!$B$3*(1+'Parámetros Proyección'!$B$4)^(C48-YEAR('Parámetros Proyección'!$B$6))</f>
        <v/>
      </c>
      <c r="E48" s="35">
        <f>J47</f>
        <v/>
      </c>
      <c r="F48" s="35">
        <f>E48*(1+'Parámetros Proyección'!$E$11)</f>
        <v/>
      </c>
      <c r="G48" s="35">
        <f>F48*'Parámetros Proyección'!$F$11</f>
        <v/>
      </c>
      <c r="H48" s="35">
        <f>F48+G48</f>
        <v/>
      </c>
      <c r="I48" s="35">
        <f>IF((H48/AI48&gt;'Parámetros Proyección'!$G$11),0,D48*'Parámetros Proyección'!$G$11/(IF((H48/AI48&gt;'Parámetros Proyección'!$G$11),0,'Parámetros Proyección'!$G$11)+IF((N48/AI48&gt;'Parámetros Proyección'!$G$12),0,'Parámetros Proyección'!$G$12)+IF((T48/AI48&gt;'Parámetros Proyección'!$G$13),0,'Parámetros Proyección'!$G$13)+IF((Z48/AI48&gt;'Parámetros Proyección'!$G$14),0,'Parámetros Proyección'!$G$14)+IF((AF48/AI48&gt;'Parámetros Proyección'!$G$15),0,'Parámetros Proyección'!$G$15)))</f>
        <v/>
      </c>
      <c r="J48" s="35">
        <f>H48+I48</f>
        <v/>
      </c>
      <c r="K48" s="35">
        <f>P47</f>
        <v/>
      </c>
      <c r="L48" s="35">
        <f>K48*(1+'Parámetros Proyección'!$E$12)</f>
        <v/>
      </c>
      <c r="M48" s="35">
        <f>L48*'Parámetros Proyección'!$F$12</f>
        <v/>
      </c>
      <c r="N48" s="35">
        <f>L48+M48</f>
        <v/>
      </c>
      <c r="O48" s="35">
        <f>IF((N48/AI48&gt;'Parámetros Proyección'!$G$12),0,D48*'Parámetros Proyección'!$G$12/(IF((H48/AI48&gt;'Parámetros Proyección'!$G$11),0,'Parámetros Proyección'!$G$11)+IF((N48/AI48&gt;'Parámetros Proyección'!$G$12),0,'Parámetros Proyección'!$G$12)+IF((T48/AI48&gt;'Parámetros Proyección'!$G$13),0,'Parámetros Proyección'!$G$13)+IF((Z48/AI48&gt;'Parámetros Proyección'!$G$14),0,'Parámetros Proyección'!$G$14)+IF((AF48/AI48&gt;'Parámetros Proyección'!$G$15),0,'Parámetros Proyección'!$G$15)))</f>
        <v/>
      </c>
      <c r="P48" s="35">
        <f>N48+O48</f>
        <v/>
      </c>
      <c r="Q48" s="35">
        <f>V47</f>
        <v/>
      </c>
      <c r="R48" s="35">
        <f>Q48*(1+'Parámetros Proyección'!$E$13)</f>
        <v/>
      </c>
      <c r="S48" s="35">
        <f>R48*'Parámetros Proyección'!$F$13</f>
        <v/>
      </c>
      <c r="T48" s="35">
        <f>R48+S48</f>
        <v/>
      </c>
      <c r="U48" s="35">
        <f>IF((T48/AI48&gt;'Parámetros Proyección'!$G$13),0,D48*'Parámetros Proyección'!$G$13/(IF((H48/AI48&gt;'Parámetros Proyección'!$G$11),0,'Parámetros Proyección'!$G$11)+IF((N48/AI48&gt;'Parámetros Proyección'!$G$12),0,'Parámetros Proyección'!$G$12)+IF((T48/AI48&gt;'Parámetros Proyección'!$G$13),0,'Parámetros Proyección'!$G$13)+IF((Z48/AI48&gt;'Parámetros Proyección'!$G$14),0,'Parámetros Proyección'!$G$14)+IF((AF48/AI48&gt;'Parámetros Proyección'!$G$15),0,'Parámetros Proyección'!$G$15)))</f>
        <v/>
      </c>
      <c r="V48" s="35">
        <f>T48+U48</f>
        <v/>
      </c>
      <c r="W48" s="35">
        <f>AB47</f>
        <v/>
      </c>
      <c r="X48" s="35">
        <f>W48*(1+'Parámetros Proyección'!$E$14)</f>
        <v/>
      </c>
      <c r="Y48" s="35">
        <f>X48*'Parámetros Proyección'!$F$14</f>
        <v/>
      </c>
      <c r="Z48" s="35">
        <f>X48+Y48</f>
        <v/>
      </c>
      <c r="AA48" s="35">
        <f>IF((Z48/AI48&gt;'Parámetros Proyección'!$G$14),0,D48*'Parámetros Proyección'!$G$14/(IF((H48/AI48&gt;'Parámetros Proyección'!$G$11),0,'Parámetros Proyección'!$G$11)+IF((N48/AI48&gt;'Parámetros Proyección'!$G$12),0,'Parámetros Proyección'!$G$12)+IF((T48/AI48&gt;'Parámetros Proyección'!$G$13),0,'Parámetros Proyección'!$G$13)+IF((Z48/AI48&gt;'Parámetros Proyección'!$G$14),0,'Parámetros Proyección'!$G$14)+IF((AF48/AI48&gt;'Parámetros Proyección'!$G$15),0,'Parámetros Proyección'!$G$15)))</f>
        <v/>
      </c>
      <c r="AB48" s="35">
        <f>Z48+AA48</f>
        <v/>
      </c>
      <c r="AC48" s="35">
        <f>AH47</f>
        <v/>
      </c>
      <c r="AD48" s="35">
        <f>AC48*(1+'Parámetros Proyección'!$E$15)</f>
        <v/>
      </c>
      <c r="AE48" s="35">
        <f>AD48*'Parámetros Proyección'!$F$15</f>
        <v/>
      </c>
      <c r="AF48" s="35">
        <f>AD48+AE48</f>
        <v/>
      </c>
      <c r="AG48" s="35">
        <f>IF((AF48/AI48&gt;'Parámetros Proyección'!$G$15),0,D48*'Parámetros Proyección'!$G$15/(IF((H48/AI48&gt;'Parámetros Proyección'!$G$11),0,'Parámetros Proyección'!$G$11)+IF((N48/AI48&gt;'Parámetros Proyección'!$G$12),0,'Parámetros Proyección'!$G$12)+IF((T48/AI48&gt;'Parámetros Proyección'!$G$13),0,'Parámetros Proyección'!$G$13)+IF((Z48/AI48&gt;'Parámetros Proyección'!$G$14),0,'Parámetros Proyección'!$G$14)+IF((AF48/AI48&gt;'Parámetros Proyección'!$G$15),0,'Parámetros Proyección'!$G$15)))</f>
        <v/>
      </c>
      <c r="AH48" s="35">
        <f>AF48+AG48</f>
        <v/>
      </c>
      <c r="AI48" s="35">
        <f>H48+N48+T48+Z48+AF48</f>
        <v/>
      </c>
      <c r="AJ48" s="33">
        <f>AF48/AI48</f>
        <v/>
      </c>
      <c r="AK48">
        <f>IF(AJ48&gt;'Parámetros Proyección'!$B$5,1,0)</f>
        <v/>
      </c>
      <c r="AL48" s="35">
        <f>G48+M48+S48+Y48+AE48</f>
        <v/>
      </c>
      <c r="AM48" s="35">
        <f>AM47+D48</f>
        <v/>
      </c>
      <c r="AN48" s="35">
        <f>AN47+AL48</f>
        <v/>
      </c>
      <c r="AO48" s="35">
        <f>J48+P48+V48+AB48+AH48</f>
        <v/>
      </c>
    </row>
    <row r="49">
      <c r="A49" t="n">
        <v>46</v>
      </c>
      <c r="B49" s="34">
        <f>EDATE(B48,1)</f>
        <v/>
      </c>
      <c r="C49">
        <f>YEAR(B49)</f>
        <v/>
      </c>
      <c r="D49" s="35">
        <f>'Parámetros Proyección'!$B$3*(1+'Parámetros Proyección'!$B$4)^(C49-YEAR('Parámetros Proyección'!$B$6))</f>
        <v/>
      </c>
      <c r="E49" s="35">
        <f>J48</f>
        <v/>
      </c>
      <c r="F49" s="35">
        <f>E49*(1+'Parámetros Proyección'!$E$11)</f>
        <v/>
      </c>
      <c r="G49" s="35">
        <f>F49*'Parámetros Proyección'!$F$11</f>
        <v/>
      </c>
      <c r="H49" s="35">
        <f>F49+G49</f>
        <v/>
      </c>
      <c r="I49" s="35">
        <f>IF((H49/AI49&gt;'Parámetros Proyección'!$G$11),0,D49*'Parámetros Proyección'!$G$11/(IF((H49/AI49&gt;'Parámetros Proyección'!$G$11),0,'Parámetros Proyección'!$G$11)+IF((N49/AI49&gt;'Parámetros Proyección'!$G$12),0,'Parámetros Proyección'!$G$12)+IF((T49/AI49&gt;'Parámetros Proyección'!$G$13),0,'Parámetros Proyección'!$G$13)+IF((Z49/AI49&gt;'Parámetros Proyección'!$G$14),0,'Parámetros Proyección'!$G$14)+IF((AF49/AI49&gt;'Parámetros Proyección'!$G$15),0,'Parámetros Proyección'!$G$15)))</f>
        <v/>
      </c>
      <c r="J49" s="35">
        <f>H49+I49</f>
        <v/>
      </c>
      <c r="K49" s="35">
        <f>P48</f>
        <v/>
      </c>
      <c r="L49" s="35">
        <f>K49*(1+'Parámetros Proyección'!$E$12)</f>
        <v/>
      </c>
      <c r="M49" s="35">
        <f>L49*'Parámetros Proyección'!$F$12</f>
        <v/>
      </c>
      <c r="N49" s="35">
        <f>L49+M49</f>
        <v/>
      </c>
      <c r="O49" s="35">
        <f>IF((N49/AI49&gt;'Parámetros Proyección'!$G$12),0,D49*'Parámetros Proyección'!$G$12/(IF((H49/AI49&gt;'Parámetros Proyección'!$G$11),0,'Parámetros Proyección'!$G$11)+IF((N49/AI49&gt;'Parámetros Proyección'!$G$12),0,'Parámetros Proyección'!$G$12)+IF((T49/AI49&gt;'Parámetros Proyección'!$G$13),0,'Parámetros Proyección'!$G$13)+IF((Z49/AI49&gt;'Parámetros Proyección'!$G$14),0,'Parámetros Proyección'!$G$14)+IF((AF49/AI49&gt;'Parámetros Proyección'!$G$15),0,'Parámetros Proyección'!$G$15)))</f>
        <v/>
      </c>
      <c r="P49" s="35">
        <f>N49+O49</f>
        <v/>
      </c>
      <c r="Q49" s="35">
        <f>V48</f>
        <v/>
      </c>
      <c r="R49" s="35">
        <f>Q49*(1+'Parámetros Proyección'!$E$13)</f>
        <v/>
      </c>
      <c r="S49" s="35">
        <f>R49*'Parámetros Proyección'!$F$13</f>
        <v/>
      </c>
      <c r="T49" s="35">
        <f>R49+S49</f>
        <v/>
      </c>
      <c r="U49" s="35">
        <f>IF((T49/AI49&gt;'Parámetros Proyección'!$G$13),0,D49*'Parámetros Proyección'!$G$13/(IF((H49/AI49&gt;'Parámetros Proyección'!$G$11),0,'Parámetros Proyección'!$G$11)+IF((N49/AI49&gt;'Parámetros Proyección'!$G$12),0,'Parámetros Proyección'!$G$12)+IF((T49/AI49&gt;'Parámetros Proyección'!$G$13),0,'Parámetros Proyección'!$G$13)+IF((Z49/AI49&gt;'Parámetros Proyección'!$G$14),0,'Parámetros Proyección'!$G$14)+IF((AF49/AI49&gt;'Parámetros Proyección'!$G$15),0,'Parámetros Proyección'!$G$15)))</f>
        <v/>
      </c>
      <c r="V49" s="35">
        <f>T49+U49</f>
        <v/>
      </c>
      <c r="W49" s="35">
        <f>AB48</f>
        <v/>
      </c>
      <c r="X49" s="35">
        <f>W49*(1+'Parámetros Proyección'!$E$14)</f>
        <v/>
      </c>
      <c r="Y49" s="35">
        <f>X49*'Parámetros Proyección'!$F$14</f>
        <v/>
      </c>
      <c r="Z49" s="35">
        <f>X49+Y49</f>
        <v/>
      </c>
      <c r="AA49" s="35">
        <f>IF((Z49/AI49&gt;'Parámetros Proyección'!$G$14),0,D49*'Parámetros Proyección'!$G$14/(IF((H49/AI49&gt;'Parámetros Proyección'!$G$11),0,'Parámetros Proyección'!$G$11)+IF((N49/AI49&gt;'Parámetros Proyección'!$G$12),0,'Parámetros Proyección'!$G$12)+IF((T49/AI49&gt;'Parámetros Proyección'!$G$13),0,'Parámetros Proyección'!$G$13)+IF((Z49/AI49&gt;'Parámetros Proyección'!$G$14),0,'Parámetros Proyección'!$G$14)+IF((AF49/AI49&gt;'Parámetros Proyección'!$G$15),0,'Parámetros Proyección'!$G$15)))</f>
        <v/>
      </c>
      <c r="AB49" s="35">
        <f>Z49+AA49</f>
        <v/>
      </c>
      <c r="AC49" s="35">
        <f>AH48</f>
        <v/>
      </c>
      <c r="AD49" s="35">
        <f>AC49*(1+'Parámetros Proyección'!$E$15)</f>
        <v/>
      </c>
      <c r="AE49" s="35">
        <f>AD49*'Parámetros Proyección'!$F$15</f>
        <v/>
      </c>
      <c r="AF49" s="35">
        <f>AD49+AE49</f>
        <v/>
      </c>
      <c r="AG49" s="35">
        <f>IF((AF49/AI49&gt;'Parámetros Proyección'!$G$15),0,D49*'Parámetros Proyección'!$G$15/(IF((H49/AI49&gt;'Parámetros Proyección'!$G$11),0,'Parámetros Proyección'!$G$11)+IF((N49/AI49&gt;'Parámetros Proyección'!$G$12),0,'Parámetros Proyección'!$G$12)+IF((T49/AI49&gt;'Parámetros Proyección'!$G$13),0,'Parámetros Proyección'!$G$13)+IF((Z49/AI49&gt;'Parámetros Proyección'!$G$14),0,'Parámetros Proyección'!$G$14)+IF((AF49/AI49&gt;'Parámetros Proyección'!$G$15),0,'Parámetros Proyección'!$G$15)))</f>
        <v/>
      </c>
      <c r="AH49" s="35">
        <f>AF49+AG49</f>
        <v/>
      </c>
      <c r="AI49" s="35">
        <f>H49+N49+T49+Z49+AF49</f>
        <v/>
      </c>
      <c r="AJ49" s="33">
        <f>AF49/AI49</f>
        <v/>
      </c>
      <c r="AK49">
        <f>IF(AJ49&gt;'Parámetros Proyección'!$B$5,1,0)</f>
        <v/>
      </c>
      <c r="AL49" s="35">
        <f>G49+M49+S49+Y49+AE49</f>
        <v/>
      </c>
      <c r="AM49" s="35">
        <f>AM48+D49</f>
        <v/>
      </c>
      <c r="AN49" s="35">
        <f>AN48+AL49</f>
        <v/>
      </c>
      <c r="AO49" s="35">
        <f>J49+P49+V49+AB49+AH49</f>
        <v/>
      </c>
    </row>
    <row r="50">
      <c r="A50" t="n">
        <v>47</v>
      </c>
      <c r="B50" s="34">
        <f>EDATE(B49,1)</f>
        <v/>
      </c>
      <c r="C50">
        <f>YEAR(B50)</f>
        <v/>
      </c>
      <c r="D50" s="35">
        <f>'Parámetros Proyección'!$B$3*(1+'Parámetros Proyección'!$B$4)^(C50-YEAR('Parámetros Proyección'!$B$6))</f>
        <v/>
      </c>
      <c r="E50" s="35">
        <f>J49</f>
        <v/>
      </c>
      <c r="F50" s="35">
        <f>E50*(1+'Parámetros Proyección'!$E$11)</f>
        <v/>
      </c>
      <c r="G50" s="35">
        <f>F50*'Parámetros Proyección'!$F$11</f>
        <v/>
      </c>
      <c r="H50" s="35">
        <f>F50+G50</f>
        <v/>
      </c>
      <c r="I50" s="35">
        <f>IF((H50/AI50&gt;'Parámetros Proyección'!$G$11),0,D50*'Parámetros Proyección'!$G$11/(IF((H50/AI50&gt;'Parámetros Proyección'!$G$11),0,'Parámetros Proyección'!$G$11)+IF((N50/AI50&gt;'Parámetros Proyección'!$G$12),0,'Parámetros Proyección'!$G$12)+IF((T50/AI50&gt;'Parámetros Proyección'!$G$13),0,'Parámetros Proyección'!$G$13)+IF((Z50/AI50&gt;'Parámetros Proyección'!$G$14),0,'Parámetros Proyección'!$G$14)+IF((AF50/AI50&gt;'Parámetros Proyección'!$G$15),0,'Parámetros Proyección'!$G$15)))</f>
        <v/>
      </c>
      <c r="J50" s="35">
        <f>H50+I50</f>
        <v/>
      </c>
      <c r="K50" s="35">
        <f>P49</f>
        <v/>
      </c>
      <c r="L50" s="35">
        <f>K50*(1+'Parámetros Proyección'!$E$12)</f>
        <v/>
      </c>
      <c r="M50" s="35">
        <f>L50*'Parámetros Proyección'!$F$12</f>
        <v/>
      </c>
      <c r="N50" s="35">
        <f>L50+M50</f>
        <v/>
      </c>
      <c r="O50" s="35">
        <f>IF((N50/AI50&gt;'Parámetros Proyección'!$G$12),0,D50*'Parámetros Proyección'!$G$12/(IF((H50/AI50&gt;'Parámetros Proyección'!$G$11),0,'Parámetros Proyección'!$G$11)+IF((N50/AI50&gt;'Parámetros Proyección'!$G$12),0,'Parámetros Proyección'!$G$12)+IF((T50/AI50&gt;'Parámetros Proyección'!$G$13),0,'Parámetros Proyección'!$G$13)+IF((Z50/AI50&gt;'Parámetros Proyección'!$G$14),0,'Parámetros Proyección'!$G$14)+IF((AF50/AI50&gt;'Parámetros Proyección'!$G$15),0,'Parámetros Proyección'!$G$15)))</f>
        <v/>
      </c>
      <c r="P50" s="35">
        <f>N50+O50</f>
        <v/>
      </c>
      <c r="Q50" s="35">
        <f>V49</f>
        <v/>
      </c>
      <c r="R50" s="35">
        <f>Q50*(1+'Parámetros Proyección'!$E$13)</f>
        <v/>
      </c>
      <c r="S50" s="35">
        <f>R50*'Parámetros Proyección'!$F$13</f>
        <v/>
      </c>
      <c r="T50" s="35">
        <f>R50+S50</f>
        <v/>
      </c>
      <c r="U50" s="35">
        <f>IF((T50/AI50&gt;'Parámetros Proyección'!$G$13),0,D50*'Parámetros Proyección'!$G$13/(IF((H50/AI50&gt;'Parámetros Proyección'!$G$11),0,'Parámetros Proyección'!$G$11)+IF((N50/AI50&gt;'Parámetros Proyección'!$G$12),0,'Parámetros Proyección'!$G$12)+IF((T50/AI50&gt;'Parámetros Proyección'!$G$13),0,'Parámetros Proyección'!$G$13)+IF((Z50/AI50&gt;'Parámetros Proyección'!$G$14),0,'Parámetros Proyección'!$G$14)+IF((AF50/AI50&gt;'Parámetros Proyección'!$G$15),0,'Parámetros Proyección'!$G$15)))</f>
        <v/>
      </c>
      <c r="V50" s="35">
        <f>T50+U50</f>
        <v/>
      </c>
      <c r="W50" s="35">
        <f>AB49</f>
        <v/>
      </c>
      <c r="X50" s="35">
        <f>W50*(1+'Parámetros Proyección'!$E$14)</f>
        <v/>
      </c>
      <c r="Y50" s="35">
        <f>X50*'Parámetros Proyección'!$F$14</f>
        <v/>
      </c>
      <c r="Z50" s="35">
        <f>X50+Y50</f>
        <v/>
      </c>
      <c r="AA50" s="35">
        <f>IF((Z50/AI50&gt;'Parámetros Proyección'!$G$14),0,D50*'Parámetros Proyección'!$G$14/(IF((H50/AI50&gt;'Parámetros Proyección'!$G$11),0,'Parámetros Proyección'!$G$11)+IF((N50/AI50&gt;'Parámetros Proyección'!$G$12),0,'Parámetros Proyección'!$G$12)+IF((T50/AI50&gt;'Parámetros Proyección'!$G$13),0,'Parámetros Proyección'!$G$13)+IF((Z50/AI50&gt;'Parámetros Proyección'!$G$14),0,'Parámetros Proyección'!$G$14)+IF((AF50/AI50&gt;'Parámetros Proyección'!$G$15),0,'Parámetros Proyección'!$G$15)))</f>
        <v/>
      </c>
      <c r="AB50" s="35">
        <f>Z50+AA50</f>
        <v/>
      </c>
      <c r="AC50" s="35">
        <f>AH49</f>
        <v/>
      </c>
      <c r="AD50" s="35">
        <f>AC50*(1+'Parámetros Proyección'!$E$15)</f>
        <v/>
      </c>
      <c r="AE50" s="35">
        <f>AD50*'Parámetros Proyección'!$F$15</f>
        <v/>
      </c>
      <c r="AF50" s="35">
        <f>AD50+AE50</f>
        <v/>
      </c>
      <c r="AG50" s="35">
        <f>IF((AF50/AI50&gt;'Parámetros Proyección'!$G$15),0,D50*'Parámetros Proyección'!$G$15/(IF((H50/AI50&gt;'Parámetros Proyección'!$G$11),0,'Parámetros Proyección'!$G$11)+IF((N50/AI50&gt;'Parámetros Proyección'!$G$12),0,'Parámetros Proyección'!$G$12)+IF((T50/AI50&gt;'Parámetros Proyección'!$G$13),0,'Parámetros Proyección'!$G$13)+IF((Z50/AI50&gt;'Parámetros Proyección'!$G$14),0,'Parámetros Proyección'!$G$14)+IF((AF50/AI50&gt;'Parámetros Proyección'!$G$15),0,'Parámetros Proyección'!$G$15)))</f>
        <v/>
      </c>
      <c r="AH50" s="35">
        <f>AF50+AG50</f>
        <v/>
      </c>
      <c r="AI50" s="35">
        <f>H50+N50+T50+Z50+AF50</f>
        <v/>
      </c>
      <c r="AJ50" s="33">
        <f>AF50/AI50</f>
        <v/>
      </c>
      <c r="AK50">
        <f>IF(AJ50&gt;'Parámetros Proyección'!$B$5,1,0)</f>
        <v/>
      </c>
      <c r="AL50" s="35">
        <f>G50+M50+S50+Y50+AE50</f>
        <v/>
      </c>
      <c r="AM50" s="35">
        <f>AM49+D50</f>
        <v/>
      </c>
      <c r="AN50" s="35">
        <f>AN49+AL50</f>
        <v/>
      </c>
      <c r="AO50" s="35">
        <f>J50+P50+V50+AB50+AH50</f>
        <v/>
      </c>
    </row>
    <row r="51">
      <c r="A51" t="n">
        <v>48</v>
      </c>
      <c r="B51" s="34">
        <f>EDATE(B50,1)</f>
        <v/>
      </c>
      <c r="C51">
        <f>YEAR(B51)</f>
        <v/>
      </c>
      <c r="D51" s="35">
        <f>'Parámetros Proyección'!$B$3*(1+'Parámetros Proyección'!$B$4)^(C51-YEAR('Parámetros Proyección'!$B$6))</f>
        <v/>
      </c>
      <c r="E51" s="35">
        <f>J50</f>
        <v/>
      </c>
      <c r="F51" s="35">
        <f>E51*(1+'Parámetros Proyección'!$E$11)</f>
        <v/>
      </c>
      <c r="G51" s="35">
        <f>F51*'Parámetros Proyección'!$F$11</f>
        <v/>
      </c>
      <c r="H51" s="35">
        <f>F51+G51</f>
        <v/>
      </c>
      <c r="I51" s="35">
        <f>IF((H51/AI51&gt;'Parámetros Proyección'!$G$11),0,D51*'Parámetros Proyección'!$G$11/(IF((H51/AI51&gt;'Parámetros Proyección'!$G$11),0,'Parámetros Proyección'!$G$11)+IF((N51/AI51&gt;'Parámetros Proyección'!$G$12),0,'Parámetros Proyección'!$G$12)+IF((T51/AI51&gt;'Parámetros Proyección'!$G$13),0,'Parámetros Proyección'!$G$13)+IF((Z51/AI51&gt;'Parámetros Proyección'!$G$14),0,'Parámetros Proyección'!$G$14)+IF((AF51/AI51&gt;'Parámetros Proyección'!$G$15),0,'Parámetros Proyección'!$G$15)))</f>
        <v/>
      </c>
      <c r="J51" s="35">
        <f>H51+I51</f>
        <v/>
      </c>
      <c r="K51" s="35">
        <f>P50</f>
        <v/>
      </c>
      <c r="L51" s="35">
        <f>K51*(1+'Parámetros Proyección'!$E$12)</f>
        <v/>
      </c>
      <c r="M51" s="35">
        <f>L51*'Parámetros Proyección'!$F$12</f>
        <v/>
      </c>
      <c r="N51" s="35">
        <f>L51+M51</f>
        <v/>
      </c>
      <c r="O51" s="35">
        <f>IF((N51/AI51&gt;'Parámetros Proyección'!$G$12),0,D51*'Parámetros Proyección'!$G$12/(IF((H51/AI51&gt;'Parámetros Proyección'!$G$11),0,'Parámetros Proyección'!$G$11)+IF((N51/AI51&gt;'Parámetros Proyección'!$G$12),0,'Parámetros Proyección'!$G$12)+IF((T51/AI51&gt;'Parámetros Proyección'!$G$13),0,'Parámetros Proyección'!$G$13)+IF((Z51/AI51&gt;'Parámetros Proyección'!$G$14),0,'Parámetros Proyección'!$G$14)+IF((AF51/AI51&gt;'Parámetros Proyección'!$G$15),0,'Parámetros Proyección'!$G$15)))</f>
        <v/>
      </c>
      <c r="P51" s="35">
        <f>N51+O51</f>
        <v/>
      </c>
      <c r="Q51" s="35">
        <f>V50</f>
        <v/>
      </c>
      <c r="R51" s="35">
        <f>Q51*(1+'Parámetros Proyección'!$E$13)</f>
        <v/>
      </c>
      <c r="S51" s="35">
        <f>R51*'Parámetros Proyección'!$F$13</f>
        <v/>
      </c>
      <c r="T51" s="35">
        <f>R51+S51</f>
        <v/>
      </c>
      <c r="U51" s="35">
        <f>IF((T51/AI51&gt;'Parámetros Proyección'!$G$13),0,D51*'Parámetros Proyección'!$G$13/(IF((H51/AI51&gt;'Parámetros Proyección'!$G$11),0,'Parámetros Proyección'!$G$11)+IF((N51/AI51&gt;'Parámetros Proyección'!$G$12),0,'Parámetros Proyección'!$G$12)+IF((T51/AI51&gt;'Parámetros Proyección'!$G$13),0,'Parámetros Proyección'!$G$13)+IF((Z51/AI51&gt;'Parámetros Proyección'!$G$14),0,'Parámetros Proyección'!$G$14)+IF((AF51/AI51&gt;'Parámetros Proyección'!$G$15),0,'Parámetros Proyección'!$G$15)))</f>
        <v/>
      </c>
      <c r="V51" s="35">
        <f>T51+U51</f>
        <v/>
      </c>
      <c r="W51" s="35">
        <f>AB50</f>
        <v/>
      </c>
      <c r="X51" s="35">
        <f>W51*(1+'Parámetros Proyección'!$E$14)</f>
        <v/>
      </c>
      <c r="Y51" s="35">
        <f>X51*'Parámetros Proyección'!$F$14</f>
        <v/>
      </c>
      <c r="Z51" s="35">
        <f>X51+Y51</f>
        <v/>
      </c>
      <c r="AA51" s="35">
        <f>IF((Z51/AI51&gt;'Parámetros Proyección'!$G$14),0,D51*'Parámetros Proyección'!$G$14/(IF((H51/AI51&gt;'Parámetros Proyección'!$G$11),0,'Parámetros Proyección'!$G$11)+IF((N51/AI51&gt;'Parámetros Proyección'!$G$12),0,'Parámetros Proyección'!$G$12)+IF((T51/AI51&gt;'Parámetros Proyección'!$G$13),0,'Parámetros Proyección'!$G$13)+IF((Z51/AI51&gt;'Parámetros Proyección'!$G$14),0,'Parámetros Proyección'!$G$14)+IF((AF51/AI51&gt;'Parámetros Proyección'!$G$15),0,'Parámetros Proyección'!$G$15)))</f>
        <v/>
      </c>
      <c r="AB51" s="35">
        <f>Z51+AA51</f>
        <v/>
      </c>
      <c r="AC51" s="35">
        <f>AH50</f>
        <v/>
      </c>
      <c r="AD51" s="35">
        <f>AC51*(1+'Parámetros Proyección'!$E$15)</f>
        <v/>
      </c>
      <c r="AE51" s="35">
        <f>AD51*'Parámetros Proyección'!$F$15</f>
        <v/>
      </c>
      <c r="AF51" s="35">
        <f>AD51+AE51</f>
        <v/>
      </c>
      <c r="AG51" s="35">
        <f>IF((AF51/AI51&gt;'Parámetros Proyección'!$G$15),0,D51*'Parámetros Proyección'!$G$15/(IF((H51/AI51&gt;'Parámetros Proyección'!$G$11),0,'Parámetros Proyección'!$G$11)+IF((N51/AI51&gt;'Parámetros Proyección'!$G$12),0,'Parámetros Proyección'!$G$12)+IF((T51/AI51&gt;'Parámetros Proyección'!$G$13),0,'Parámetros Proyección'!$G$13)+IF((Z51/AI51&gt;'Parámetros Proyección'!$G$14),0,'Parámetros Proyección'!$G$14)+IF((AF51/AI51&gt;'Parámetros Proyección'!$G$15),0,'Parámetros Proyección'!$G$15)))</f>
        <v/>
      </c>
      <c r="AH51" s="35">
        <f>AF51+AG51</f>
        <v/>
      </c>
      <c r="AI51" s="35">
        <f>H51+N51+T51+Z51+AF51</f>
        <v/>
      </c>
      <c r="AJ51" s="33">
        <f>AF51/AI51</f>
        <v/>
      </c>
      <c r="AK51">
        <f>IF(AJ51&gt;'Parámetros Proyección'!$B$5,1,0)</f>
        <v/>
      </c>
      <c r="AL51" s="35">
        <f>G51+M51+S51+Y51+AE51</f>
        <v/>
      </c>
      <c r="AM51" s="35">
        <f>AM50+D51</f>
        <v/>
      </c>
      <c r="AN51" s="35">
        <f>AN50+AL51</f>
        <v/>
      </c>
      <c r="AO51" s="35">
        <f>J51+P51+V51+AB51+AH51</f>
        <v/>
      </c>
    </row>
    <row r="52">
      <c r="A52" t="n">
        <v>49</v>
      </c>
      <c r="B52" s="34">
        <f>EDATE(B51,1)</f>
        <v/>
      </c>
      <c r="C52">
        <f>YEAR(B52)</f>
        <v/>
      </c>
      <c r="D52" s="35">
        <f>'Parámetros Proyección'!$B$3*(1+'Parámetros Proyección'!$B$4)^(C52-YEAR('Parámetros Proyección'!$B$6))</f>
        <v/>
      </c>
      <c r="E52" s="35">
        <f>J51</f>
        <v/>
      </c>
      <c r="F52" s="35">
        <f>E52*(1+'Parámetros Proyección'!$E$11)</f>
        <v/>
      </c>
      <c r="G52" s="35">
        <f>F52*'Parámetros Proyección'!$F$11</f>
        <v/>
      </c>
      <c r="H52" s="35">
        <f>F52+G52</f>
        <v/>
      </c>
      <c r="I52" s="35">
        <f>IF((H52/AI52&gt;'Parámetros Proyección'!$G$11),0,D52*'Parámetros Proyección'!$G$11/(IF((H52/AI52&gt;'Parámetros Proyección'!$G$11),0,'Parámetros Proyección'!$G$11)+IF((N52/AI52&gt;'Parámetros Proyección'!$G$12),0,'Parámetros Proyección'!$G$12)+IF((T52/AI52&gt;'Parámetros Proyección'!$G$13),0,'Parámetros Proyección'!$G$13)+IF((Z52/AI52&gt;'Parámetros Proyección'!$G$14),0,'Parámetros Proyección'!$G$14)+IF((AF52/AI52&gt;'Parámetros Proyección'!$G$15),0,'Parámetros Proyección'!$G$15)))</f>
        <v/>
      </c>
      <c r="J52" s="35">
        <f>H52+I52</f>
        <v/>
      </c>
      <c r="K52" s="35">
        <f>P51</f>
        <v/>
      </c>
      <c r="L52" s="35">
        <f>K52*(1+'Parámetros Proyección'!$E$12)</f>
        <v/>
      </c>
      <c r="M52" s="35">
        <f>L52*'Parámetros Proyección'!$F$12</f>
        <v/>
      </c>
      <c r="N52" s="35">
        <f>L52+M52</f>
        <v/>
      </c>
      <c r="O52" s="35">
        <f>IF((N52/AI52&gt;'Parámetros Proyección'!$G$12),0,D52*'Parámetros Proyección'!$G$12/(IF((H52/AI52&gt;'Parámetros Proyección'!$G$11),0,'Parámetros Proyección'!$G$11)+IF((N52/AI52&gt;'Parámetros Proyección'!$G$12),0,'Parámetros Proyección'!$G$12)+IF((T52/AI52&gt;'Parámetros Proyección'!$G$13),0,'Parámetros Proyección'!$G$13)+IF((Z52/AI52&gt;'Parámetros Proyección'!$G$14),0,'Parámetros Proyección'!$G$14)+IF((AF52/AI52&gt;'Parámetros Proyección'!$G$15),0,'Parámetros Proyección'!$G$15)))</f>
        <v/>
      </c>
      <c r="P52" s="35">
        <f>N52+O52</f>
        <v/>
      </c>
      <c r="Q52" s="35">
        <f>V51</f>
        <v/>
      </c>
      <c r="R52" s="35">
        <f>Q52*(1+'Parámetros Proyección'!$E$13)</f>
        <v/>
      </c>
      <c r="S52" s="35">
        <f>R52*'Parámetros Proyección'!$F$13</f>
        <v/>
      </c>
      <c r="T52" s="35">
        <f>R52+S52</f>
        <v/>
      </c>
      <c r="U52" s="35">
        <f>IF((T52/AI52&gt;'Parámetros Proyección'!$G$13),0,D52*'Parámetros Proyección'!$G$13/(IF((H52/AI52&gt;'Parámetros Proyección'!$G$11),0,'Parámetros Proyección'!$G$11)+IF((N52/AI52&gt;'Parámetros Proyección'!$G$12),0,'Parámetros Proyección'!$G$12)+IF((T52/AI52&gt;'Parámetros Proyección'!$G$13),0,'Parámetros Proyección'!$G$13)+IF((Z52/AI52&gt;'Parámetros Proyección'!$G$14),0,'Parámetros Proyección'!$G$14)+IF((AF52/AI52&gt;'Parámetros Proyección'!$G$15),0,'Parámetros Proyección'!$G$15)))</f>
        <v/>
      </c>
      <c r="V52" s="35">
        <f>T52+U52</f>
        <v/>
      </c>
      <c r="W52" s="35">
        <f>AB51</f>
        <v/>
      </c>
      <c r="X52" s="35">
        <f>W52*(1+'Parámetros Proyección'!$E$14)</f>
        <v/>
      </c>
      <c r="Y52" s="35">
        <f>X52*'Parámetros Proyección'!$F$14</f>
        <v/>
      </c>
      <c r="Z52" s="35">
        <f>X52+Y52</f>
        <v/>
      </c>
      <c r="AA52" s="35">
        <f>IF((Z52/AI52&gt;'Parámetros Proyección'!$G$14),0,D52*'Parámetros Proyección'!$G$14/(IF((H52/AI52&gt;'Parámetros Proyección'!$G$11),0,'Parámetros Proyección'!$G$11)+IF((N52/AI52&gt;'Parámetros Proyección'!$G$12),0,'Parámetros Proyección'!$G$12)+IF((T52/AI52&gt;'Parámetros Proyección'!$G$13),0,'Parámetros Proyección'!$G$13)+IF((Z52/AI52&gt;'Parámetros Proyección'!$G$14),0,'Parámetros Proyección'!$G$14)+IF((AF52/AI52&gt;'Parámetros Proyección'!$G$15),0,'Parámetros Proyección'!$G$15)))</f>
        <v/>
      </c>
      <c r="AB52" s="35">
        <f>Z52+AA52</f>
        <v/>
      </c>
      <c r="AC52" s="35">
        <f>AH51</f>
        <v/>
      </c>
      <c r="AD52" s="35">
        <f>AC52*(1+'Parámetros Proyección'!$E$15)</f>
        <v/>
      </c>
      <c r="AE52" s="35">
        <f>AD52*'Parámetros Proyección'!$F$15</f>
        <v/>
      </c>
      <c r="AF52" s="35">
        <f>AD52+AE52</f>
        <v/>
      </c>
      <c r="AG52" s="35">
        <f>IF((AF52/AI52&gt;'Parámetros Proyección'!$G$15),0,D52*'Parámetros Proyección'!$G$15/(IF((H52/AI52&gt;'Parámetros Proyección'!$G$11),0,'Parámetros Proyección'!$G$11)+IF((N52/AI52&gt;'Parámetros Proyección'!$G$12),0,'Parámetros Proyección'!$G$12)+IF((T52/AI52&gt;'Parámetros Proyección'!$G$13),0,'Parámetros Proyección'!$G$13)+IF((Z52/AI52&gt;'Parámetros Proyección'!$G$14),0,'Parámetros Proyección'!$G$14)+IF((AF52/AI52&gt;'Parámetros Proyección'!$G$15),0,'Parámetros Proyección'!$G$15)))</f>
        <v/>
      </c>
      <c r="AH52" s="35">
        <f>AF52+AG52</f>
        <v/>
      </c>
      <c r="AI52" s="35">
        <f>H52+N52+T52+Z52+AF52</f>
        <v/>
      </c>
      <c r="AJ52" s="33">
        <f>AF52/AI52</f>
        <v/>
      </c>
      <c r="AK52">
        <f>IF(AJ52&gt;'Parámetros Proyección'!$B$5,1,0)</f>
        <v/>
      </c>
      <c r="AL52" s="35">
        <f>G52+M52+S52+Y52+AE52</f>
        <v/>
      </c>
      <c r="AM52" s="35">
        <f>AM51+D52</f>
        <v/>
      </c>
      <c r="AN52" s="35">
        <f>AN51+AL52</f>
        <v/>
      </c>
      <c r="AO52" s="35">
        <f>J52+P52+V52+AB52+AH52</f>
        <v/>
      </c>
    </row>
    <row r="53">
      <c r="A53" t="n">
        <v>50</v>
      </c>
      <c r="B53" s="34">
        <f>EDATE(B52,1)</f>
        <v/>
      </c>
      <c r="C53">
        <f>YEAR(B53)</f>
        <v/>
      </c>
      <c r="D53" s="35">
        <f>'Parámetros Proyección'!$B$3*(1+'Parámetros Proyección'!$B$4)^(C53-YEAR('Parámetros Proyección'!$B$6))</f>
        <v/>
      </c>
      <c r="E53" s="35">
        <f>J52</f>
        <v/>
      </c>
      <c r="F53" s="35">
        <f>E53*(1+'Parámetros Proyección'!$E$11)</f>
        <v/>
      </c>
      <c r="G53" s="35">
        <f>F53*'Parámetros Proyección'!$F$11</f>
        <v/>
      </c>
      <c r="H53" s="35">
        <f>F53+G53</f>
        <v/>
      </c>
      <c r="I53" s="35">
        <f>IF((H53/AI53&gt;'Parámetros Proyección'!$G$11),0,D53*'Parámetros Proyección'!$G$11/(IF((H53/AI53&gt;'Parámetros Proyección'!$G$11),0,'Parámetros Proyección'!$G$11)+IF((N53/AI53&gt;'Parámetros Proyección'!$G$12),0,'Parámetros Proyección'!$G$12)+IF((T53/AI53&gt;'Parámetros Proyección'!$G$13),0,'Parámetros Proyección'!$G$13)+IF((Z53/AI53&gt;'Parámetros Proyección'!$G$14),0,'Parámetros Proyección'!$G$14)+IF((AF53/AI53&gt;'Parámetros Proyección'!$G$15),0,'Parámetros Proyección'!$G$15)))</f>
        <v/>
      </c>
      <c r="J53" s="35">
        <f>H53+I53</f>
        <v/>
      </c>
      <c r="K53" s="35">
        <f>P52</f>
        <v/>
      </c>
      <c r="L53" s="35">
        <f>K53*(1+'Parámetros Proyección'!$E$12)</f>
        <v/>
      </c>
      <c r="M53" s="35">
        <f>L53*'Parámetros Proyección'!$F$12</f>
        <v/>
      </c>
      <c r="N53" s="35">
        <f>L53+M53</f>
        <v/>
      </c>
      <c r="O53" s="35">
        <f>IF((N53/AI53&gt;'Parámetros Proyección'!$G$12),0,D53*'Parámetros Proyección'!$G$12/(IF((H53/AI53&gt;'Parámetros Proyección'!$G$11),0,'Parámetros Proyección'!$G$11)+IF((N53/AI53&gt;'Parámetros Proyección'!$G$12),0,'Parámetros Proyección'!$G$12)+IF((T53/AI53&gt;'Parámetros Proyección'!$G$13),0,'Parámetros Proyección'!$G$13)+IF((Z53/AI53&gt;'Parámetros Proyección'!$G$14),0,'Parámetros Proyección'!$G$14)+IF((AF53/AI53&gt;'Parámetros Proyección'!$G$15),0,'Parámetros Proyección'!$G$15)))</f>
        <v/>
      </c>
      <c r="P53" s="35">
        <f>N53+O53</f>
        <v/>
      </c>
      <c r="Q53" s="35">
        <f>V52</f>
        <v/>
      </c>
      <c r="R53" s="35">
        <f>Q53*(1+'Parámetros Proyección'!$E$13)</f>
        <v/>
      </c>
      <c r="S53" s="35">
        <f>R53*'Parámetros Proyección'!$F$13</f>
        <v/>
      </c>
      <c r="T53" s="35">
        <f>R53+S53</f>
        <v/>
      </c>
      <c r="U53" s="35">
        <f>IF((T53/AI53&gt;'Parámetros Proyección'!$G$13),0,D53*'Parámetros Proyección'!$G$13/(IF((H53/AI53&gt;'Parámetros Proyección'!$G$11),0,'Parámetros Proyección'!$G$11)+IF((N53/AI53&gt;'Parámetros Proyección'!$G$12),0,'Parámetros Proyección'!$G$12)+IF((T53/AI53&gt;'Parámetros Proyección'!$G$13),0,'Parámetros Proyección'!$G$13)+IF((Z53/AI53&gt;'Parámetros Proyección'!$G$14),0,'Parámetros Proyección'!$G$14)+IF((AF53/AI53&gt;'Parámetros Proyección'!$G$15),0,'Parámetros Proyección'!$G$15)))</f>
        <v/>
      </c>
      <c r="V53" s="35">
        <f>T53+U53</f>
        <v/>
      </c>
      <c r="W53" s="35">
        <f>AB52</f>
        <v/>
      </c>
      <c r="X53" s="35">
        <f>W53*(1+'Parámetros Proyección'!$E$14)</f>
        <v/>
      </c>
      <c r="Y53" s="35">
        <f>X53*'Parámetros Proyección'!$F$14</f>
        <v/>
      </c>
      <c r="Z53" s="35">
        <f>X53+Y53</f>
        <v/>
      </c>
      <c r="AA53" s="35">
        <f>IF((Z53/AI53&gt;'Parámetros Proyección'!$G$14),0,D53*'Parámetros Proyección'!$G$14/(IF((H53/AI53&gt;'Parámetros Proyección'!$G$11),0,'Parámetros Proyección'!$G$11)+IF((N53/AI53&gt;'Parámetros Proyección'!$G$12),0,'Parámetros Proyección'!$G$12)+IF((T53/AI53&gt;'Parámetros Proyección'!$G$13),0,'Parámetros Proyección'!$G$13)+IF((Z53/AI53&gt;'Parámetros Proyección'!$G$14),0,'Parámetros Proyección'!$G$14)+IF((AF53/AI53&gt;'Parámetros Proyección'!$G$15),0,'Parámetros Proyección'!$G$15)))</f>
        <v/>
      </c>
      <c r="AB53" s="35">
        <f>Z53+AA53</f>
        <v/>
      </c>
      <c r="AC53" s="35">
        <f>AH52</f>
        <v/>
      </c>
      <c r="AD53" s="35">
        <f>AC53*(1+'Parámetros Proyección'!$E$15)</f>
        <v/>
      </c>
      <c r="AE53" s="35">
        <f>AD53*'Parámetros Proyección'!$F$15</f>
        <v/>
      </c>
      <c r="AF53" s="35">
        <f>AD53+AE53</f>
        <v/>
      </c>
      <c r="AG53" s="35">
        <f>IF((AF53/AI53&gt;'Parámetros Proyección'!$G$15),0,D53*'Parámetros Proyección'!$G$15/(IF((H53/AI53&gt;'Parámetros Proyección'!$G$11),0,'Parámetros Proyección'!$G$11)+IF((N53/AI53&gt;'Parámetros Proyección'!$G$12),0,'Parámetros Proyección'!$G$12)+IF((T53/AI53&gt;'Parámetros Proyección'!$G$13),0,'Parámetros Proyección'!$G$13)+IF((Z53/AI53&gt;'Parámetros Proyección'!$G$14),0,'Parámetros Proyección'!$G$14)+IF((AF53/AI53&gt;'Parámetros Proyección'!$G$15),0,'Parámetros Proyección'!$G$15)))</f>
        <v/>
      </c>
      <c r="AH53" s="35">
        <f>AF53+AG53</f>
        <v/>
      </c>
      <c r="AI53" s="35">
        <f>H53+N53+T53+Z53+AF53</f>
        <v/>
      </c>
      <c r="AJ53" s="33">
        <f>AF53/AI53</f>
        <v/>
      </c>
      <c r="AK53">
        <f>IF(AJ53&gt;'Parámetros Proyección'!$B$5,1,0)</f>
        <v/>
      </c>
      <c r="AL53" s="35">
        <f>G53+M53+S53+Y53+AE53</f>
        <v/>
      </c>
      <c r="AM53" s="35">
        <f>AM52+D53</f>
        <v/>
      </c>
      <c r="AN53" s="35">
        <f>AN52+AL53</f>
        <v/>
      </c>
      <c r="AO53" s="35">
        <f>J53+P53+V53+AB53+AH53</f>
        <v/>
      </c>
    </row>
    <row r="54">
      <c r="A54" t="n">
        <v>51</v>
      </c>
      <c r="B54" s="34">
        <f>EDATE(B53,1)</f>
        <v/>
      </c>
      <c r="C54">
        <f>YEAR(B54)</f>
        <v/>
      </c>
      <c r="D54" s="35">
        <f>'Parámetros Proyección'!$B$3*(1+'Parámetros Proyección'!$B$4)^(C54-YEAR('Parámetros Proyección'!$B$6))</f>
        <v/>
      </c>
      <c r="E54" s="35">
        <f>J53</f>
        <v/>
      </c>
      <c r="F54" s="35">
        <f>E54*(1+'Parámetros Proyección'!$E$11)</f>
        <v/>
      </c>
      <c r="G54" s="35">
        <f>F54*'Parámetros Proyección'!$F$11</f>
        <v/>
      </c>
      <c r="H54" s="35">
        <f>F54+G54</f>
        <v/>
      </c>
      <c r="I54" s="35">
        <f>IF((H54/AI54&gt;'Parámetros Proyección'!$G$11),0,D54*'Parámetros Proyección'!$G$11/(IF((H54/AI54&gt;'Parámetros Proyección'!$G$11),0,'Parámetros Proyección'!$G$11)+IF((N54/AI54&gt;'Parámetros Proyección'!$G$12),0,'Parámetros Proyección'!$G$12)+IF((T54/AI54&gt;'Parámetros Proyección'!$G$13),0,'Parámetros Proyección'!$G$13)+IF((Z54/AI54&gt;'Parámetros Proyección'!$G$14),0,'Parámetros Proyección'!$G$14)+IF((AF54/AI54&gt;'Parámetros Proyección'!$G$15),0,'Parámetros Proyección'!$G$15)))</f>
        <v/>
      </c>
      <c r="J54" s="35">
        <f>H54+I54</f>
        <v/>
      </c>
      <c r="K54" s="35">
        <f>P53</f>
        <v/>
      </c>
      <c r="L54" s="35">
        <f>K54*(1+'Parámetros Proyección'!$E$12)</f>
        <v/>
      </c>
      <c r="M54" s="35">
        <f>L54*'Parámetros Proyección'!$F$12</f>
        <v/>
      </c>
      <c r="N54" s="35">
        <f>L54+M54</f>
        <v/>
      </c>
      <c r="O54" s="35">
        <f>IF((N54/AI54&gt;'Parámetros Proyección'!$G$12),0,D54*'Parámetros Proyección'!$G$12/(IF((H54/AI54&gt;'Parámetros Proyección'!$G$11),0,'Parámetros Proyección'!$G$11)+IF((N54/AI54&gt;'Parámetros Proyección'!$G$12),0,'Parámetros Proyección'!$G$12)+IF((T54/AI54&gt;'Parámetros Proyección'!$G$13),0,'Parámetros Proyección'!$G$13)+IF((Z54/AI54&gt;'Parámetros Proyección'!$G$14),0,'Parámetros Proyección'!$G$14)+IF((AF54/AI54&gt;'Parámetros Proyección'!$G$15),0,'Parámetros Proyección'!$G$15)))</f>
        <v/>
      </c>
      <c r="P54" s="35">
        <f>N54+O54</f>
        <v/>
      </c>
      <c r="Q54" s="35">
        <f>V53</f>
        <v/>
      </c>
      <c r="R54" s="35">
        <f>Q54*(1+'Parámetros Proyección'!$E$13)</f>
        <v/>
      </c>
      <c r="S54" s="35">
        <f>R54*'Parámetros Proyección'!$F$13</f>
        <v/>
      </c>
      <c r="T54" s="35">
        <f>R54+S54</f>
        <v/>
      </c>
      <c r="U54" s="35">
        <f>IF((T54/AI54&gt;'Parámetros Proyección'!$G$13),0,D54*'Parámetros Proyección'!$G$13/(IF((H54/AI54&gt;'Parámetros Proyección'!$G$11),0,'Parámetros Proyección'!$G$11)+IF((N54/AI54&gt;'Parámetros Proyección'!$G$12),0,'Parámetros Proyección'!$G$12)+IF((T54/AI54&gt;'Parámetros Proyección'!$G$13),0,'Parámetros Proyección'!$G$13)+IF((Z54/AI54&gt;'Parámetros Proyección'!$G$14),0,'Parámetros Proyección'!$G$14)+IF((AF54/AI54&gt;'Parámetros Proyección'!$G$15),0,'Parámetros Proyección'!$G$15)))</f>
        <v/>
      </c>
      <c r="V54" s="35">
        <f>T54+U54</f>
        <v/>
      </c>
      <c r="W54" s="35">
        <f>AB53</f>
        <v/>
      </c>
      <c r="X54" s="35">
        <f>W54*(1+'Parámetros Proyección'!$E$14)</f>
        <v/>
      </c>
      <c r="Y54" s="35">
        <f>X54*'Parámetros Proyección'!$F$14</f>
        <v/>
      </c>
      <c r="Z54" s="35">
        <f>X54+Y54</f>
        <v/>
      </c>
      <c r="AA54" s="35">
        <f>IF((Z54/AI54&gt;'Parámetros Proyección'!$G$14),0,D54*'Parámetros Proyección'!$G$14/(IF((H54/AI54&gt;'Parámetros Proyección'!$G$11),0,'Parámetros Proyección'!$G$11)+IF((N54/AI54&gt;'Parámetros Proyección'!$G$12),0,'Parámetros Proyección'!$G$12)+IF((T54/AI54&gt;'Parámetros Proyección'!$G$13),0,'Parámetros Proyección'!$G$13)+IF((Z54/AI54&gt;'Parámetros Proyección'!$G$14),0,'Parámetros Proyección'!$G$14)+IF((AF54/AI54&gt;'Parámetros Proyección'!$G$15),0,'Parámetros Proyección'!$G$15)))</f>
        <v/>
      </c>
      <c r="AB54" s="35">
        <f>Z54+AA54</f>
        <v/>
      </c>
      <c r="AC54" s="35">
        <f>AH53</f>
        <v/>
      </c>
      <c r="AD54" s="35">
        <f>AC54*(1+'Parámetros Proyección'!$E$15)</f>
        <v/>
      </c>
      <c r="AE54" s="35">
        <f>AD54*'Parámetros Proyección'!$F$15</f>
        <v/>
      </c>
      <c r="AF54" s="35">
        <f>AD54+AE54</f>
        <v/>
      </c>
      <c r="AG54" s="35">
        <f>IF((AF54/AI54&gt;'Parámetros Proyección'!$G$15),0,D54*'Parámetros Proyección'!$G$15/(IF((H54/AI54&gt;'Parámetros Proyección'!$G$11),0,'Parámetros Proyección'!$G$11)+IF((N54/AI54&gt;'Parámetros Proyección'!$G$12),0,'Parámetros Proyección'!$G$12)+IF((T54/AI54&gt;'Parámetros Proyección'!$G$13),0,'Parámetros Proyección'!$G$13)+IF((Z54/AI54&gt;'Parámetros Proyección'!$G$14),0,'Parámetros Proyección'!$G$14)+IF((AF54/AI54&gt;'Parámetros Proyección'!$G$15),0,'Parámetros Proyección'!$G$15)))</f>
        <v/>
      </c>
      <c r="AH54" s="35">
        <f>AF54+AG54</f>
        <v/>
      </c>
      <c r="AI54" s="35">
        <f>H54+N54+T54+Z54+AF54</f>
        <v/>
      </c>
      <c r="AJ54" s="33">
        <f>AF54/AI54</f>
        <v/>
      </c>
      <c r="AK54">
        <f>IF(AJ54&gt;'Parámetros Proyección'!$B$5,1,0)</f>
        <v/>
      </c>
      <c r="AL54" s="35">
        <f>G54+M54+S54+Y54+AE54</f>
        <v/>
      </c>
      <c r="AM54" s="35">
        <f>AM53+D54</f>
        <v/>
      </c>
      <c r="AN54" s="35">
        <f>AN53+AL54</f>
        <v/>
      </c>
      <c r="AO54" s="35">
        <f>J54+P54+V54+AB54+AH54</f>
        <v/>
      </c>
    </row>
    <row r="55">
      <c r="A55" t="n">
        <v>52</v>
      </c>
      <c r="B55" s="34">
        <f>EDATE(B54,1)</f>
        <v/>
      </c>
      <c r="C55">
        <f>YEAR(B55)</f>
        <v/>
      </c>
      <c r="D55" s="35">
        <f>'Parámetros Proyección'!$B$3*(1+'Parámetros Proyección'!$B$4)^(C55-YEAR('Parámetros Proyección'!$B$6))</f>
        <v/>
      </c>
      <c r="E55" s="35">
        <f>J54</f>
        <v/>
      </c>
      <c r="F55" s="35">
        <f>E55*(1+'Parámetros Proyección'!$E$11)</f>
        <v/>
      </c>
      <c r="G55" s="35">
        <f>F55*'Parámetros Proyección'!$F$11</f>
        <v/>
      </c>
      <c r="H55" s="35">
        <f>F55+G55</f>
        <v/>
      </c>
      <c r="I55" s="35">
        <f>IF((H55/AI55&gt;'Parámetros Proyección'!$G$11),0,D55*'Parámetros Proyección'!$G$11/(IF((H55/AI55&gt;'Parámetros Proyección'!$G$11),0,'Parámetros Proyección'!$G$11)+IF((N55/AI55&gt;'Parámetros Proyección'!$G$12),0,'Parámetros Proyección'!$G$12)+IF((T55/AI55&gt;'Parámetros Proyección'!$G$13),0,'Parámetros Proyección'!$G$13)+IF((Z55/AI55&gt;'Parámetros Proyección'!$G$14),0,'Parámetros Proyección'!$G$14)+IF((AF55/AI55&gt;'Parámetros Proyección'!$G$15),0,'Parámetros Proyección'!$G$15)))</f>
        <v/>
      </c>
      <c r="J55" s="35">
        <f>H55+I55</f>
        <v/>
      </c>
      <c r="K55" s="35">
        <f>P54</f>
        <v/>
      </c>
      <c r="L55" s="35">
        <f>K55*(1+'Parámetros Proyección'!$E$12)</f>
        <v/>
      </c>
      <c r="M55" s="35">
        <f>L55*'Parámetros Proyección'!$F$12</f>
        <v/>
      </c>
      <c r="N55" s="35">
        <f>L55+M55</f>
        <v/>
      </c>
      <c r="O55" s="35">
        <f>IF((N55/AI55&gt;'Parámetros Proyección'!$G$12),0,D55*'Parámetros Proyección'!$G$12/(IF((H55/AI55&gt;'Parámetros Proyección'!$G$11),0,'Parámetros Proyección'!$G$11)+IF((N55/AI55&gt;'Parámetros Proyección'!$G$12),0,'Parámetros Proyección'!$G$12)+IF((T55/AI55&gt;'Parámetros Proyección'!$G$13),0,'Parámetros Proyección'!$G$13)+IF((Z55/AI55&gt;'Parámetros Proyección'!$G$14),0,'Parámetros Proyección'!$G$14)+IF((AF55/AI55&gt;'Parámetros Proyección'!$G$15),0,'Parámetros Proyección'!$G$15)))</f>
        <v/>
      </c>
      <c r="P55" s="35">
        <f>N55+O55</f>
        <v/>
      </c>
      <c r="Q55" s="35">
        <f>V54</f>
        <v/>
      </c>
      <c r="R55" s="35">
        <f>Q55*(1+'Parámetros Proyección'!$E$13)</f>
        <v/>
      </c>
      <c r="S55" s="35">
        <f>R55*'Parámetros Proyección'!$F$13</f>
        <v/>
      </c>
      <c r="T55" s="35">
        <f>R55+S55</f>
        <v/>
      </c>
      <c r="U55" s="35">
        <f>IF((T55/AI55&gt;'Parámetros Proyección'!$G$13),0,D55*'Parámetros Proyección'!$G$13/(IF((H55/AI55&gt;'Parámetros Proyección'!$G$11),0,'Parámetros Proyección'!$G$11)+IF((N55/AI55&gt;'Parámetros Proyección'!$G$12),0,'Parámetros Proyección'!$G$12)+IF((T55/AI55&gt;'Parámetros Proyección'!$G$13),0,'Parámetros Proyección'!$G$13)+IF((Z55/AI55&gt;'Parámetros Proyección'!$G$14),0,'Parámetros Proyección'!$G$14)+IF((AF55/AI55&gt;'Parámetros Proyección'!$G$15),0,'Parámetros Proyección'!$G$15)))</f>
        <v/>
      </c>
      <c r="V55" s="35">
        <f>T55+U55</f>
        <v/>
      </c>
      <c r="W55" s="35">
        <f>AB54</f>
        <v/>
      </c>
      <c r="X55" s="35">
        <f>W55*(1+'Parámetros Proyección'!$E$14)</f>
        <v/>
      </c>
      <c r="Y55" s="35">
        <f>X55*'Parámetros Proyección'!$F$14</f>
        <v/>
      </c>
      <c r="Z55" s="35">
        <f>X55+Y55</f>
        <v/>
      </c>
      <c r="AA55" s="35">
        <f>IF((Z55/AI55&gt;'Parámetros Proyección'!$G$14),0,D55*'Parámetros Proyección'!$G$14/(IF((H55/AI55&gt;'Parámetros Proyección'!$G$11),0,'Parámetros Proyección'!$G$11)+IF((N55/AI55&gt;'Parámetros Proyección'!$G$12),0,'Parámetros Proyección'!$G$12)+IF((T55/AI55&gt;'Parámetros Proyección'!$G$13),0,'Parámetros Proyección'!$G$13)+IF((Z55/AI55&gt;'Parámetros Proyección'!$G$14),0,'Parámetros Proyección'!$G$14)+IF((AF55/AI55&gt;'Parámetros Proyección'!$G$15),0,'Parámetros Proyección'!$G$15)))</f>
        <v/>
      </c>
      <c r="AB55" s="35">
        <f>Z55+AA55</f>
        <v/>
      </c>
      <c r="AC55" s="35">
        <f>AH54</f>
        <v/>
      </c>
      <c r="AD55" s="35">
        <f>AC55*(1+'Parámetros Proyección'!$E$15)</f>
        <v/>
      </c>
      <c r="AE55" s="35">
        <f>AD55*'Parámetros Proyección'!$F$15</f>
        <v/>
      </c>
      <c r="AF55" s="35">
        <f>AD55+AE55</f>
        <v/>
      </c>
      <c r="AG55" s="35">
        <f>IF((AF55/AI55&gt;'Parámetros Proyección'!$G$15),0,D55*'Parámetros Proyección'!$G$15/(IF((H55/AI55&gt;'Parámetros Proyección'!$G$11),0,'Parámetros Proyección'!$G$11)+IF((N55/AI55&gt;'Parámetros Proyección'!$G$12),0,'Parámetros Proyección'!$G$12)+IF((T55/AI55&gt;'Parámetros Proyección'!$G$13),0,'Parámetros Proyección'!$G$13)+IF((Z55/AI55&gt;'Parámetros Proyección'!$G$14),0,'Parámetros Proyección'!$G$14)+IF((AF55/AI55&gt;'Parámetros Proyección'!$G$15),0,'Parámetros Proyección'!$G$15)))</f>
        <v/>
      </c>
      <c r="AH55" s="35">
        <f>AF55+AG55</f>
        <v/>
      </c>
      <c r="AI55" s="35">
        <f>H55+N55+T55+Z55+AF55</f>
        <v/>
      </c>
      <c r="AJ55" s="33">
        <f>AF55/AI55</f>
        <v/>
      </c>
      <c r="AK55">
        <f>IF(AJ55&gt;'Parámetros Proyección'!$B$5,1,0)</f>
        <v/>
      </c>
      <c r="AL55" s="35">
        <f>G55+M55+S55+Y55+AE55</f>
        <v/>
      </c>
      <c r="AM55" s="35">
        <f>AM54+D55</f>
        <v/>
      </c>
      <c r="AN55" s="35">
        <f>AN54+AL55</f>
        <v/>
      </c>
      <c r="AO55" s="35">
        <f>J55+P55+V55+AB55+AH55</f>
        <v/>
      </c>
    </row>
    <row r="56">
      <c r="A56" t="n">
        <v>53</v>
      </c>
      <c r="B56" s="34">
        <f>EDATE(B55,1)</f>
        <v/>
      </c>
      <c r="C56">
        <f>YEAR(B56)</f>
        <v/>
      </c>
      <c r="D56" s="35">
        <f>'Parámetros Proyección'!$B$3*(1+'Parámetros Proyección'!$B$4)^(C56-YEAR('Parámetros Proyección'!$B$6))</f>
        <v/>
      </c>
      <c r="E56" s="35">
        <f>J55</f>
        <v/>
      </c>
      <c r="F56" s="35">
        <f>E56*(1+'Parámetros Proyección'!$E$11)</f>
        <v/>
      </c>
      <c r="G56" s="35">
        <f>F56*'Parámetros Proyección'!$F$11</f>
        <v/>
      </c>
      <c r="H56" s="35">
        <f>F56+G56</f>
        <v/>
      </c>
      <c r="I56" s="35">
        <f>IF((H56/AI56&gt;'Parámetros Proyección'!$G$11),0,D56*'Parámetros Proyección'!$G$11/(IF((H56/AI56&gt;'Parámetros Proyección'!$G$11),0,'Parámetros Proyección'!$G$11)+IF((N56/AI56&gt;'Parámetros Proyección'!$G$12),0,'Parámetros Proyección'!$G$12)+IF((T56/AI56&gt;'Parámetros Proyección'!$G$13),0,'Parámetros Proyección'!$G$13)+IF((Z56/AI56&gt;'Parámetros Proyección'!$G$14),0,'Parámetros Proyección'!$G$14)+IF((AF56/AI56&gt;'Parámetros Proyección'!$G$15),0,'Parámetros Proyección'!$G$15)))</f>
        <v/>
      </c>
      <c r="J56" s="35">
        <f>H56+I56</f>
        <v/>
      </c>
      <c r="K56" s="35">
        <f>P55</f>
        <v/>
      </c>
      <c r="L56" s="35">
        <f>K56*(1+'Parámetros Proyección'!$E$12)</f>
        <v/>
      </c>
      <c r="M56" s="35">
        <f>L56*'Parámetros Proyección'!$F$12</f>
        <v/>
      </c>
      <c r="N56" s="35">
        <f>L56+M56</f>
        <v/>
      </c>
      <c r="O56" s="35">
        <f>IF((N56/AI56&gt;'Parámetros Proyección'!$G$12),0,D56*'Parámetros Proyección'!$G$12/(IF((H56/AI56&gt;'Parámetros Proyección'!$G$11),0,'Parámetros Proyección'!$G$11)+IF((N56/AI56&gt;'Parámetros Proyección'!$G$12),0,'Parámetros Proyección'!$G$12)+IF((T56/AI56&gt;'Parámetros Proyección'!$G$13),0,'Parámetros Proyección'!$G$13)+IF((Z56/AI56&gt;'Parámetros Proyección'!$G$14),0,'Parámetros Proyección'!$G$14)+IF((AF56/AI56&gt;'Parámetros Proyección'!$G$15),0,'Parámetros Proyección'!$G$15)))</f>
        <v/>
      </c>
      <c r="P56" s="35">
        <f>N56+O56</f>
        <v/>
      </c>
      <c r="Q56" s="35">
        <f>V55</f>
        <v/>
      </c>
      <c r="R56" s="35">
        <f>Q56*(1+'Parámetros Proyección'!$E$13)</f>
        <v/>
      </c>
      <c r="S56" s="35">
        <f>R56*'Parámetros Proyección'!$F$13</f>
        <v/>
      </c>
      <c r="T56" s="35">
        <f>R56+S56</f>
        <v/>
      </c>
      <c r="U56" s="35">
        <f>IF((T56/AI56&gt;'Parámetros Proyección'!$G$13),0,D56*'Parámetros Proyección'!$G$13/(IF((H56/AI56&gt;'Parámetros Proyección'!$G$11),0,'Parámetros Proyección'!$G$11)+IF((N56/AI56&gt;'Parámetros Proyección'!$G$12),0,'Parámetros Proyección'!$G$12)+IF((T56/AI56&gt;'Parámetros Proyección'!$G$13),0,'Parámetros Proyección'!$G$13)+IF((Z56/AI56&gt;'Parámetros Proyección'!$G$14),0,'Parámetros Proyección'!$G$14)+IF((AF56/AI56&gt;'Parámetros Proyección'!$G$15),0,'Parámetros Proyección'!$G$15)))</f>
        <v/>
      </c>
      <c r="V56" s="35">
        <f>T56+U56</f>
        <v/>
      </c>
      <c r="W56" s="35">
        <f>AB55</f>
        <v/>
      </c>
      <c r="X56" s="35">
        <f>W56*(1+'Parámetros Proyección'!$E$14)</f>
        <v/>
      </c>
      <c r="Y56" s="35">
        <f>X56*'Parámetros Proyección'!$F$14</f>
        <v/>
      </c>
      <c r="Z56" s="35">
        <f>X56+Y56</f>
        <v/>
      </c>
      <c r="AA56" s="35">
        <f>IF((Z56/AI56&gt;'Parámetros Proyección'!$G$14),0,D56*'Parámetros Proyección'!$G$14/(IF((H56/AI56&gt;'Parámetros Proyección'!$G$11),0,'Parámetros Proyección'!$G$11)+IF((N56/AI56&gt;'Parámetros Proyección'!$G$12),0,'Parámetros Proyección'!$G$12)+IF((T56/AI56&gt;'Parámetros Proyección'!$G$13),0,'Parámetros Proyección'!$G$13)+IF((Z56/AI56&gt;'Parámetros Proyección'!$G$14),0,'Parámetros Proyección'!$G$14)+IF((AF56/AI56&gt;'Parámetros Proyección'!$G$15),0,'Parámetros Proyección'!$G$15)))</f>
        <v/>
      </c>
      <c r="AB56" s="35">
        <f>Z56+AA56</f>
        <v/>
      </c>
      <c r="AC56" s="35">
        <f>AH55</f>
        <v/>
      </c>
      <c r="AD56" s="35">
        <f>AC56*(1+'Parámetros Proyección'!$E$15)</f>
        <v/>
      </c>
      <c r="AE56" s="35">
        <f>AD56*'Parámetros Proyección'!$F$15</f>
        <v/>
      </c>
      <c r="AF56" s="35">
        <f>AD56+AE56</f>
        <v/>
      </c>
      <c r="AG56" s="35">
        <f>IF((AF56/AI56&gt;'Parámetros Proyección'!$G$15),0,D56*'Parámetros Proyección'!$G$15/(IF((H56/AI56&gt;'Parámetros Proyección'!$G$11),0,'Parámetros Proyección'!$G$11)+IF((N56/AI56&gt;'Parámetros Proyección'!$G$12),0,'Parámetros Proyección'!$G$12)+IF((T56/AI56&gt;'Parámetros Proyección'!$G$13),0,'Parámetros Proyección'!$G$13)+IF((Z56/AI56&gt;'Parámetros Proyección'!$G$14),0,'Parámetros Proyección'!$G$14)+IF((AF56/AI56&gt;'Parámetros Proyección'!$G$15),0,'Parámetros Proyección'!$G$15)))</f>
        <v/>
      </c>
      <c r="AH56" s="35">
        <f>AF56+AG56</f>
        <v/>
      </c>
      <c r="AI56" s="35">
        <f>H56+N56+T56+Z56+AF56</f>
        <v/>
      </c>
      <c r="AJ56" s="33">
        <f>AF56/AI56</f>
        <v/>
      </c>
      <c r="AK56">
        <f>IF(AJ56&gt;'Parámetros Proyección'!$B$5,1,0)</f>
        <v/>
      </c>
      <c r="AL56" s="35">
        <f>G56+M56+S56+Y56+AE56</f>
        <v/>
      </c>
      <c r="AM56" s="35">
        <f>AM55+D56</f>
        <v/>
      </c>
      <c r="AN56" s="35">
        <f>AN55+AL56</f>
        <v/>
      </c>
      <c r="AO56" s="35">
        <f>J56+P56+V56+AB56+AH56</f>
        <v/>
      </c>
    </row>
    <row r="57">
      <c r="A57" t="n">
        <v>54</v>
      </c>
      <c r="B57" s="34">
        <f>EDATE(B56,1)</f>
        <v/>
      </c>
      <c r="C57">
        <f>YEAR(B57)</f>
        <v/>
      </c>
      <c r="D57" s="35">
        <f>'Parámetros Proyección'!$B$3*(1+'Parámetros Proyección'!$B$4)^(C57-YEAR('Parámetros Proyección'!$B$6))</f>
        <v/>
      </c>
      <c r="E57" s="35">
        <f>J56</f>
        <v/>
      </c>
      <c r="F57" s="35">
        <f>E57*(1+'Parámetros Proyección'!$E$11)</f>
        <v/>
      </c>
      <c r="G57" s="35">
        <f>F57*'Parámetros Proyección'!$F$11</f>
        <v/>
      </c>
      <c r="H57" s="35">
        <f>F57+G57</f>
        <v/>
      </c>
      <c r="I57" s="35">
        <f>IF((H57/AI57&gt;'Parámetros Proyección'!$G$11),0,D57*'Parámetros Proyección'!$G$11/(IF((H57/AI57&gt;'Parámetros Proyección'!$G$11),0,'Parámetros Proyección'!$G$11)+IF((N57/AI57&gt;'Parámetros Proyección'!$G$12),0,'Parámetros Proyección'!$G$12)+IF((T57/AI57&gt;'Parámetros Proyección'!$G$13),0,'Parámetros Proyección'!$G$13)+IF((Z57/AI57&gt;'Parámetros Proyección'!$G$14),0,'Parámetros Proyección'!$G$14)+IF((AF57/AI57&gt;'Parámetros Proyección'!$G$15),0,'Parámetros Proyección'!$G$15)))</f>
        <v/>
      </c>
      <c r="J57" s="35">
        <f>H57+I57</f>
        <v/>
      </c>
      <c r="K57" s="35">
        <f>P56</f>
        <v/>
      </c>
      <c r="L57" s="35">
        <f>K57*(1+'Parámetros Proyección'!$E$12)</f>
        <v/>
      </c>
      <c r="M57" s="35">
        <f>L57*'Parámetros Proyección'!$F$12</f>
        <v/>
      </c>
      <c r="N57" s="35">
        <f>L57+M57</f>
        <v/>
      </c>
      <c r="O57" s="35">
        <f>IF((N57/AI57&gt;'Parámetros Proyección'!$G$12),0,D57*'Parámetros Proyección'!$G$12/(IF((H57/AI57&gt;'Parámetros Proyección'!$G$11),0,'Parámetros Proyección'!$G$11)+IF((N57/AI57&gt;'Parámetros Proyección'!$G$12),0,'Parámetros Proyección'!$G$12)+IF((T57/AI57&gt;'Parámetros Proyección'!$G$13),0,'Parámetros Proyección'!$G$13)+IF((Z57/AI57&gt;'Parámetros Proyección'!$G$14),0,'Parámetros Proyección'!$G$14)+IF((AF57/AI57&gt;'Parámetros Proyección'!$G$15),0,'Parámetros Proyección'!$G$15)))</f>
        <v/>
      </c>
      <c r="P57" s="35">
        <f>N57+O57</f>
        <v/>
      </c>
      <c r="Q57" s="35">
        <f>V56</f>
        <v/>
      </c>
      <c r="R57" s="35">
        <f>Q57*(1+'Parámetros Proyección'!$E$13)</f>
        <v/>
      </c>
      <c r="S57" s="35">
        <f>R57*'Parámetros Proyección'!$F$13</f>
        <v/>
      </c>
      <c r="T57" s="35">
        <f>R57+S57</f>
        <v/>
      </c>
      <c r="U57" s="35">
        <f>IF((T57/AI57&gt;'Parámetros Proyección'!$G$13),0,D57*'Parámetros Proyección'!$G$13/(IF((H57/AI57&gt;'Parámetros Proyección'!$G$11),0,'Parámetros Proyección'!$G$11)+IF((N57/AI57&gt;'Parámetros Proyección'!$G$12),0,'Parámetros Proyección'!$G$12)+IF((T57/AI57&gt;'Parámetros Proyección'!$G$13),0,'Parámetros Proyección'!$G$13)+IF((Z57/AI57&gt;'Parámetros Proyección'!$G$14),0,'Parámetros Proyección'!$G$14)+IF((AF57/AI57&gt;'Parámetros Proyección'!$G$15),0,'Parámetros Proyección'!$G$15)))</f>
        <v/>
      </c>
      <c r="V57" s="35">
        <f>T57+U57</f>
        <v/>
      </c>
      <c r="W57" s="35">
        <f>AB56</f>
        <v/>
      </c>
      <c r="X57" s="35">
        <f>W57*(1+'Parámetros Proyección'!$E$14)</f>
        <v/>
      </c>
      <c r="Y57" s="35">
        <f>X57*'Parámetros Proyección'!$F$14</f>
        <v/>
      </c>
      <c r="Z57" s="35">
        <f>X57+Y57</f>
        <v/>
      </c>
      <c r="AA57" s="35">
        <f>IF((Z57/AI57&gt;'Parámetros Proyección'!$G$14),0,D57*'Parámetros Proyección'!$G$14/(IF((H57/AI57&gt;'Parámetros Proyección'!$G$11),0,'Parámetros Proyección'!$G$11)+IF((N57/AI57&gt;'Parámetros Proyección'!$G$12),0,'Parámetros Proyección'!$G$12)+IF((T57/AI57&gt;'Parámetros Proyección'!$G$13),0,'Parámetros Proyección'!$G$13)+IF((Z57/AI57&gt;'Parámetros Proyección'!$G$14),0,'Parámetros Proyección'!$G$14)+IF((AF57/AI57&gt;'Parámetros Proyección'!$G$15),0,'Parámetros Proyección'!$G$15)))</f>
        <v/>
      </c>
      <c r="AB57" s="35">
        <f>Z57+AA57</f>
        <v/>
      </c>
      <c r="AC57" s="35">
        <f>AH56</f>
        <v/>
      </c>
      <c r="AD57" s="35">
        <f>AC57*(1+'Parámetros Proyección'!$E$15)</f>
        <v/>
      </c>
      <c r="AE57" s="35">
        <f>AD57*'Parámetros Proyección'!$F$15</f>
        <v/>
      </c>
      <c r="AF57" s="35">
        <f>AD57+AE57</f>
        <v/>
      </c>
      <c r="AG57" s="35">
        <f>IF((AF57/AI57&gt;'Parámetros Proyección'!$G$15),0,D57*'Parámetros Proyección'!$G$15/(IF((H57/AI57&gt;'Parámetros Proyección'!$G$11),0,'Parámetros Proyección'!$G$11)+IF((N57/AI57&gt;'Parámetros Proyección'!$G$12),0,'Parámetros Proyección'!$G$12)+IF((T57/AI57&gt;'Parámetros Proyección'!$G$13),0,'Parámetros Proyección'!$G$13)+IF((Z57/AI57&gt;'Parámetros Proyección'!$G$14),0,'Parámetros Proyección'!$G$14)+IF((AF57/AI57&gt;'Parámetros Proyección'!$G$15),0,'Parámetros Proyección'!$G$15)))</f>
        <v/>
      </c>
      <c r="AH57" s="35">
        <f>AF57+AG57</f>
        <v/>
      </c>
      <c r="AI57" s="35">
        <f>H57+N57+T57+Z57+AF57</f>
        <v/>
      </c>
      <c r="AJ57" s="33">
        <f>AF57/AI57</f>
        <v/>
      </c>
      <c r="AK57">
        <f>IF(AJ57&gt;'Parámetros Proyección'!$B$5,1,0)</f>
        <v/>
      </c>
      <c r="AL57" s="35">
        <f>G57+M57+S57+Y57+AE57</f>
        <v/>
      </c>
      <c r="AM57" s="35">
        <f>AM56+D57</f>
        <v/>
      </c>
      <c r="AN57" s="35">
        <f>AN56+AL57</f>
        <v/>
      </c>
      <c r="AO57" s="35">
        <f>J57+P57+V57+AB57+AH57</f>
        <v/>
      </c>
    </row>
    <row r="58">
      <c r="A58" t="n">
        <v>55</v>
      </c>
      <c r="B58" s="34">
        <f>EDATE(B57,1)</f>
        <v/>
      </c>
      <c r="C58">
        <f>YEAR(B58)</f>
        <v/>
      </c>
      <c r="D58" s="35">
        <f>'Parámetros Proyección'!$B$3*(1+'Parámetros Proyección'!$B$4)^(C58-YEAR('Parámetros Proyección'!$B$6))</f>
        <v/>
      </c>
      <c r="E58" s="35">
        <f>J57</f>
        <v/>
      </c>
      <c r="F58" s="35">
        <f>E58*(1+'Parámetros Proyección'!$E$11)</f>
        <v/>
      </c>
      <c r="G58" s="35">
        <f>F58*'Parámetros Proyección'!$F$11</f>
        <v/>
      </c>
      <c r="H58" s="35">
        <f>F58+G58</f>
        <v/>
      </c>
      <c r="I58" s="35">
        <f>IF((H58/AI58&gt;'Parámetros Proyección'!$G$11),0,D58*'Parámetros Proyección'!$G$11/(IF((H58/AI58&gt;'Parámetros Proyección'!$G$11),0,'Parámetros Proyección'!$G$11)+IF((N58/AI58&gt;'Parámetros Proyección'!$G$12),0,'Parámetros Proyección'!$G$12)+IF((T58/AI58&gt;'Parámetros Proyección'!$G$13),0,'Parámetros Proyección'!$G$13)+IF((Z58/AI58&gt;'Parámetros Proyección'!$G$14),0,'Parámetros Proyección'!$G$14)+IF((AF58/AI58&gt;'Parámetros Proyección'!$G$15),0,'Parámetros Proyección'!$G$15)))</f>
        <v/>
      </c>
      <c r="J58" s="35">
        <f>H58+I58</f>
        <v/>
      </c>
      <c r="K58" s="35">
        <f>P57</f>
        <v/>
      </c>
      <c r="L58" s="35">
        <f>K58*(1+'Parámetros Proyección'!$E$12)</f>
        <v/>
      </c>
      <c r="M58" s="35">
        <f>L58*'Parámetros Proyección'!$F$12</f>
        <v/>
      </c>
      <c r="N58" s="35">
        <f>L58+M58</f>
        <v/>
      </c>
      <c r="O58" s="35">
        <f>IF((N58/AI58&gt;'Parámetros Proyección'!$G$12),0,D58*'Parámetros Proyección'!$G$12/(IF((H58/AI58&gt;'Parámetros Proyección'!$G$11),0,'Parámetros Proyección'!$G$11)+IF((N58/AI58&gt;'Parámetros Proyección'!$G$12),0,'Parámetros Proyección'!$G$12)+IF((T58/AI58&gt;'Parámetros Proyección'!$G$13),0,'Parámetros Proyección'!$G$13)+IF((Z58/AI58&gt;'Parámetros Proyección'!$G$14),0,'Parámetros Proyección'!$G$14)+IF((AF58/AI58&gt;'Parámetros Proyección'!$G$15),0,'Parámetros Proyección'!$G$15)))</f>
        <v/>
      </c>
      <c r="P58" s="35">
        <f>N58+O58</f>
        <v/>
      </c>
      <c r="Q58" s="35">
        <f>V57</f>
        <v/>
      </c>
      <c r="R58" s="35">
        <f>Q58*(1+'Parámetros Proyección'!$E$13)</f>
        <v/>
      </c>
      <c r="S58" s="35">
        <f>R58*'Parámetros Proyección'!$F$13</f>
        <v/>
      </c>
      <c r="T58" s="35">
        <f>R58+S58</f>
        <v/>
      </c>
      <c r="U58" s="35">
        <f>IF((T58/AI58&gt;'Parámetros Proyección'!$G$13),0,D58*'Parámetros Proyección'!$G$13/(IF((H58/AI58&gt;'Parámetros Proyección'!$G$11),0,'Parámetros Proyección'!$G$11)+IF((N58/AI58&gt;'Parámetros Proyección'!$G$12),0,'Parámetros Proyección'!$G$12)+IF((T58/AI58&gt;'Parámetros Proyección'!$G$13),0,'Parámetros Proyección'!$G$13)+IF((Z58/AI58&gt;'Parámetros Proyección'!$G$14),0,'Parámetros Proyección'!$G$14)+IF((AF58/AI58&gt;'Parámetros Proyección'!$G$15),0,'Parámetros Proyección'!$G$15)))</f>
        <v/>
      </c>
      <c r="V58" s="35">
        <f>T58+U58</f>
        <v/>
      </c>
      <c r="W58" s="35">
        <f>AB57</f>
        <v/>
      </c>
      <c r="X58" s="35">
        <f>W58*(1+'Parámetros Proyección'!$E$14)</f>
        <v/>
      </c>
      <c r="Y58" s="35">
        <f>X58*'Parámetros Proyección'!$F$14</f>
        <v/>
      </c>
      <c r="Z58" s="35">
        <f>X58+Y58</f>
        <v/>
      </c>
      <c r="AA58" s="35">
        <f>IF((Z58/AI58&gt;'Parámetros Proyección'!$G$14),0,D58*'Parámetros Proyección'!$G$14/(IF((H58/AI58&gt;'Parámetros Proyección'!$G$11),0,'Parámetros Proyección'!$G$11)+IF((N58/AI58&gt;'Parámetros Proyección'!$G$12),0,'Parámetros Proyección'!$G$12)+IF((T58/AI58&gt;'Parámetros Proyección'!$G$13),0,'Parámetros Proyección'!$G$13)+IF((Z58/AI58&gt;'Parámetros Proyección'!$G$14),0,'Parámetros Proyección'!$G$14)+IF((AF58/AI58&gt;'Parámetros Proyección'!$G$15),0,'Parámetros Proyección'!$G$15)))</f>
        <v/>
      </c>
      <c r="AB58" s="35">
        <f>Z58+AA58</f>
        <v/>
      </c>
      <c r="AC58" s="35">
        <f>AH57</f>
        <v/>
      </c>
      <c r="AD58" s="35">
        <f>AC58*(1+'Parámetros Proyección'!$E$15)</f>
        <v/>
      </c>
      <c r="AE58" s="35">
        <f>AD58*'Parámetros Proyección'!$F$15</f>
        <v/>
      </c>
      <c r="AF58" s="35">
        <f>AD58+AE58</f>
        <v/>
      </c>
      <c r="AG58" s="35">
        <f>IF((AF58/AI58&gt;'Parámetros Proyección'!$G$15),0,D58*'Parámetros Proyección'!$G$15/(IF((H58/AI58&gt;'Parámetros Proyección'!$G$11),0,'Parámetros Proyección'!$G$11)+IF((N58/AI58&gt;'Parámetros Proyección'!$G$12),0,'Parámetros Proyección'!$G$12)+IF((T58/AI58&gt;'Parámetros Proyección'!$G$13),0,'Parámetros Proyección'!$G$13)+IF((Z58/AI58&gt;'Parámetros Proyección'!$G$14),0,'Parámetros Proyección'!$G$14)+IF((AF58/AI58&gt;'Parámetros Proyección'!$G$15),0,'Parámetros Proyección'!$G$15)))</f>
        <v/>
      </c>
      <c r="AH58" s="35">
        <f>AF58+AG58</f>
        <v/>
      </c>
      <c r="AI58" s="35">
        <f>H58+N58+T58+Z58+AF58</f>
        <v/>
      </c>
      <c r="AJ58" s="33">
        <f>AF58/AI58</f>
        <v/>
      </c>
      <c r="AK58">
        <f>IF(AJ58&gt;'Parámetros Proyección'!$B$5,1,0)</f>
        <v/>
      </c>
      <c r="AL58" s="35">
        <f>G58+M58+S58+Y58+AE58</f>
        <v/>
      </c>
      <c r="AM58" s="35">
        <f>AM57+D58</f>
        <v/>
      </c>
      <c r="AN58" s="35">
        <f>AN57+AL58</f>
        <v/>
      </c>
      <c r="AO58" s="35">
        <f>J58+P58+V58+AB58+AH58</f>
        <v/>
      </c>
    </row>
    <row r="59">
      <c r="A59" t="n">
        <v>56</v>
      </c>
      <c r="B59" s="34">
        <f>EDATE(B58,1)</f>
        <v/>
      </c>
      <c r="C59">
        <f>YEAR(B59)</f>
        <v/>
      </c>
      <c r="D59" s="35">
        <f>'Parámetros Proyección'!$B$3*(1+'Parámetros Proyección'!$B$4)^(C59-YEAR('Parámetros Proyección'!$B$6))</f>
        <v/>
      </c>
      <c r="E59" s="35">
        <f>J58</f>
        <v/>
      </c>
      <c r="F59" s="35">
        <f>E59*(1+'Parámetros Proyección'!$E$11)</f>
        <v/>
      </c>
      <c r="G59" s="35">
        <f>F59*'Parámetros Proyección'!$F$11</f>
        <v/>
      </c>
      <c r="H59" s="35">
        <f>F59+G59</f>
        <v/>
      </c>
      <c r="I59" s="35">
        <f>IF((H59/AI59&gt;'Parámetros Proyección'!$G$11),0,D59*'Parámetros Proyección'!$G$11/(IF((H59/AI59&gt;'Parámetros Proyección'!$G$11),0,'Parámetros Proyección'!$G$11)+IF((N59/AI59&gt;'Parámetros Proyección'!$G$12),0,'Parámetros Proyección'!$G$12)+IF((T59/AI59&gt;'Parámetros Proyección'!$G$13),0,'Parámetros Proyección'!$G$13)+IF((Z59/AI59&gt;'Parámetros Proyección'!$G$14),0,'Parámetros Proyección'!$G$14)+IF((AF59/AI59&gt;'Parámetros Proyección'!$G$15),0,'Parámetros Proyección'!$G$15)))</f>
        <v/>
      </c>
      <c r="J59" s="35">
        <f>H59+I59</f>
        <v/>
      </c>
      <c r="K59" s="35">
        <f>P58</f>
        <v/>
      </c>
      <c r="L59" s="35">
        <f>K59*(1+'Parámetros Proyección'!$E$12)</f>
        <v/>
      </c>
      <c r="M59" s="35">
        <f>L59*'Parámetros Proyección'!$F$12</f>
        <v/>
      </c>
      <c r="N59" s="35">
        <f>L59+M59</f>
        <v/>
      </c>
      <c r="O59" s="35">
        <f>IF((N59/AI59&gt;'Parámetros Proyección'!$G$12),0,D59*'Parámetros Proyección'!$G$12/(IF((H59/AI59&gt;'Parámetros Proyección'!$G$11),0,'Parámetros Proyección'!$G$11)+IF((N59/AI59&gt;'Parámetros Proyección'!$G$12),0,'Parámetros Proyección'!$G$12)+IF((T59/AI59&gt;'Parámetros Proyección'!$G$13),0,'Parámetros Proyección'!$G$13)+IF((Z59/AI59&gt;'Parámetros Proyección'!$G$14),0,'Parámetros Proyección'!$G$14)+IF((AF59/AI59&gt;'Parámetros Proyección'!$G$15),0,'Parámetros Proyección'!$G$15)))</f>
        <v/>
      </c>
      <c r="P59" s="35">
        <f>N59+O59</f>
        <v/>
      </c>
      <c r="Q59" s="35">
        <f>V58</f>
        <v/>
      </c>
      <c r="R59" s="35">
        <f>Q59*(1+'Parámetros Proyección'!$E$13)</f>
        <v/>
      </c>
      <c r="S59" s="35">
        <f>R59*'Parámetros Proyección'!$F$13</f>
        <v/>
      </c>
      <c r="T59" s="35">
        <f>R59+S59</f>
        <v/>
      </c>
      <c r="U59" s="35">
        <f>IF((T59/AI59&gt;'Parámetros Proyección'!$G$13),0,D59*'Parámetros Proyección'!$G$13/(IF((H59/AI59&gt;'Parámetros Proyección'!$G$11),0,'Parámetros Proyección'!$G$11)+IF((N59/AI59&gt;'Parámetros Proyección'!$G$12),0,'Parámetros Proyección'!$G$12)+IF((T59/AI59&gt;'Parámetros Proyección'!$G$13),0,'Parámetros Proyección'!$G$13)+IF((Z59/AI59&gt;'Parámetros Proyección'!$G$14),0,'Parámetros Proyección'!$G$14)+IF((AF59/AI59&gt;'Parámetros Proyección'!$G$15),0,'Parámetros Proyección'!$G$15)))</f>
        <v/>
      </c>
      <c r="V59" s="35">
        <f>T59+U59</f>
        <v/>
      </c>
      <c r="W59" s="35">
        <f>AB58</f>
        <v/>
      </c>
      <c r="X59" s="35">
        <f>W59*(1+'Parámetros Proyección'!$E$14)</f>
        <v/>
      </c>
      <c r="Y59" s="35">
        <f>X59*'Parámetros Proyección'!$F$14</f>
        <v/>
      </c>
      <c r="Z59" s="35">
        <f>X59+Y59</f>
        <v/>
      </c>
      <c r="AA59" s="35">
        <f>IF((Z59/AI59&gt;'Parámetros Proyección'!$G$14),0,D59*'Parámetros Proyección'!$G$14/(IF((H59/AI59&gt;'Parámetros Proyección'!$G$11),0,'Parámetros Proyección'!$G$11)+IF((N59/AI59&gt;'Parámetros Proyección'!$G$12),0,'Parámetros Proyección'!$G$12)+IF((T59/AI59&gt;'Parámetros Proyección'!$G$13),0,'Parámetros Proyección'!$G$13)+IF((Z59/AI59&gt;'Parámetros Proyección'!$G$14),0,'Parámetros Proyección'!$G$14)+IF((AF59/AI59&gt;'Parámetros Proyección'!$G$15),0,'Parámetros Proyección'!$G$15)))</f>
        <v/>
      </c>
      <c r="AB59" s="35">
        <f>Z59+AA59</f>
        <v/>
      </c>
      <c r="AC59" s="35">
        <f>AH58</f>
        <v/>
      </c>
      <c r="AD59" s="35">
        <f>AC59*(1+'Parámetros Proyección'!$E$15)</f>
        <v/>
      </c>
      <c r="AE59" s="35">
        <f>AD59*'Parámetros Proyección'!$F$15</f>
        <v/>
      </c>
      <c r="AF59" s="35">
        <f>AD59+AE59</f>
        <v/>
      </c>
      <c r="AG59" s="35">
        <f>IF((AF59/AI59&gt;'Parámetros Proyección'!$G$15),0,D59*'Parámetros Proyección'!$G$15/(IF((H59/AI59&gt;'Parámetros Proyección'!$G$11),0,'Parámetros Proyección'!$G$11)+IF((N59/AI59&gt;'Parámetros Proyección'!$G$12),0,'Parámetros Proyección'!$G$12)+IF((T59/AI59&gt;'Parámetros Proyección'!$G$13),0,'Parámetros Proyección'!$G$13)+IF((Z59/AI59&gt;'Parámetros Proyección'!$G$14),0,'Parámetros Proyección'!$G$14)+IF((AF59/AI59&gt;'Parámetros Proyección'!$G$15),0,'Parámetros Proyección'!$G$15)))</f>
        <v/>
      </c>
      <c r="AH59" s="35">
        <f>AF59+AG59</f>
        <v/>
      </c>
      <c r="AI59" s="35">
        <f>H59+N59+T59+Z59+AF59</f>
        <v/>
      </c>
      <c r="AJ59" s="33">
        <f>AF59/AI59</f>
        <v/>
      </c>
      <c r="AK59">
        <f>IF(AJ59&gt;'Parámetros Proyección'!$B$5,1,0)</f>
        <v/>
      </c>
      <c r="AL59" s="35">
        <f>G59+M59+S59+Y59+AE59</f>
        <v/>
      </c>
      <c r="AM59" s="35">
        <f>AM58+D59</f>
        <v/>
      </c>
      <c r="AN59" s="35">
        <f>AN58+AL59</f>
        <v/>
      </c>
      <c r="AO59" s="35">
        <f>J59+P59+V59+AB59+AH59</f>
        <v/>
      </c>
    </row>
    <row r="60">
      <c r="A60" t="n">
        <v>57</v>
      </c>
      <c r="B60" s="34">
        <f>EDATE(B59,1)</f>
        <v/>
      </c>
      <c r="C60">
        <f>YEAR(B60)</f>
        <v/>
      </c>
      <c r="D60" s="35">
        <f>'Parámetros Proyección'!$B$3*(1+'Parámetros Proyección'!$B$4)^(C60-YEAR('Parámetros Proyección'!$B$6))</f>
        <v/>
      </c>
      <c r="E60" s="35">
        <f>J59</f>
        <v/>
      </c>
      <c r="F60" s="35">
        <f>E60*(1+'Parámetros Proyección'!$E$11)</f>
        <v/>
      </c>
      <c r="G60" s="35">
        <f>F60*'Parámetros Proyección'!$F$11</f>
        <v/>
      </c>
      <c r="H60" s="35">
        <f>F60+G60</f>
        <v/>
      </c>
      <c r="I60" s="35">
        <f>IF((H60/AI60&gt;'Parámetros Proyección'!$G$11),0,D60*'Parámetros Proyección'!$G$11/(IF((H60/AI60&gt;'Parámetros Proyección'!$G$11),0,'Parámetros Proyección'!$G$11)+IF((N60/AI60&gt;'Parámetros Proyección'!$G$12),0,'Parámetros Proyección'!$G$12)+IF((T60/AI60&gt;'Parámetros Proyección'!$G$13),0,'Parámetros Proyección'!$G$13)+IF((Z60/AI60&gt;'Parámetros Proyección'!$G$14),0,'Parámetros Proyección'!$G$14)+IF((AF60/AI60&gt;'Parámetros Proyección'!$G$15),0,'Parámetros Proyección'!$G$15)))</f>
        <v/>
      </c>
      <c r="J60" s="35">
        <f>H60+I60</f>
        <v/>
      </c>
      <c r="K60" s="35">
        <f>P59</f>
        <v/>
      </c>
      <c r="L60" s="35">
        <f>K60*(1+'Parámetros Proyección'!$E$12)</f>
        <v/>
      </c>
      <c r="M60" s="35">
        <f>L60*'Parámetros Proyección'!$F$12</f>
        <v/>
      </c>
      <c r="N60" s="35">
        <f>L60+M60</f>
        <v/>
      </c>
      <c r="O60" s="35">
        <f>IF((N60/AI60&gt;'Parámetros Proyección'!$G$12),0,D60*'Parámetros Proyección'!$G$12/(IF((H60/AI60&gt;'Parámetros Proyección'!$G$11),0,'Parámetros Proyección'!$G$11)+IF((N60/AI60&gt;'Parámetros Proyección'!$G$12),0,'Parámetros Proyección'!$G$12)+IF((T60/AI60&gt;'Parámetros Proyección'!$G$13),0,'Parámetros Proyección'!$G$13)+IF((Z60/AI60&gt;'Parámetros Proyección'!$G$14),0,'Parámetros Proyección'!$G$14)+IF((AF60/AI60&gt;'Parámetros Proyección'!$G$15),0,'Parámetros Proyección'!$G$15)))</f>
        <v/>
      </c>
      <c r="P60" s="35">
        <f>N60+O60</f>
        <v/>
      </c>
      <c r="Q60" s="35">
        <f>V59</f>
        <v/>
      </c>
      <c r="R60" s="35">
        <f>Q60*(1+'Parámetros Proyección'!$E$13)</f>
        <v/>
      </c>
      <c r="S60" s="35">
        <f>R60*'Parámetros Proyección'!$F$13</f>
        <v/>
      </c>
      <c r="T60" s="35">
        <f>R60+S60</f>
        <v/>
      </c>
      <c r="U60" s="35">
        <f>IF((T60/AI60&gt;'Parámetros Proyección'!$G$13),0,D60*'Parámetros Proyección'!$G$13/(IF((H60/AI60&gt;'Parámetros Proyección'!$G$11),0,'Parámetros Proyección'!$G$11)+IF((N60/AI60&gt;'Parámetros Proyección'!$G$12),0,'Parámetros Proyección'!$G$12)+IF((T60/AI60&gt;'Parámetros Proyección'!$G$13),0,'Parámetros Proyección'!$G$13)+IF((Z60/AI60&gt;'Parámetros Proyección'!$G$14),0,'Parámetros Proyección'!$G$14)+IF((AF60/AI60&gt;'Parámetros Proyección'!$G$15),0,'Parámetros Proyección'!$G$15)))</f>
        <v/>
      </c>
      <c r="V60" s="35">
        <f>T60+U60</f>
        <v/>
      </c>
      <c r="W60" s="35">
        <f>AB59</f>
        <v/>
      </c>
      <c r="X60" s="35">
        <f>W60*(1+'Parámetros Proyección'!$E$14)</f>
        <v/>
      </c>
      <c r="Y60" s="35">
        <f>X60*'Parámetros Proyección'!$F$14</f>
        <v/>
      </c>
      <c r="Z60" s="35">
        <f>X60+Y60</f>
        <v/>
      </c>
      <c r="AA60" s="35">
        <f>IF((Z60/AI60&gt;'Parámetros Proyección'!$G$14),0,D60*'Parámetros Proyección'!$G$14/(IF((H60/AI60&gt;'Parámetros Proyección'!$G$11),0,'Parámetros Proyección'!$G$11)+IF((N60/AI60&gt;'Parámetros Proyección'!$G$12),0,'Parámetros Proyección'!$G$12)+IF((T60/AI60&gt;'Parámetros Proyección'!$G$13),0,'Parámetros Proyección'!$G$13)+IF((Z60/AI60&gt;'Parámetros Proyección'!$G$14),0,'Parámetros Proyección'!$G$14)+IF((AF60/AI60&gt;'Parámetros Proyección'!$G$15),0,'Parámetros Proyección'!$G$15)))</f>
        <v/>
      </c>
      <c r="AB60" s="35">
        <f>Z60+AA60</f>
        <v/>
      </c>
      <c r="AC60" s="35">
        <f>AH59</f>
        <v/>
      </c>
      <c r="AD60" s="35">
        <f>AC60*(1+'Parámetros Proyección'!$E$15)</f>
        <v/>
      </c>
      <c r="AE60" s="35">
        <f>AD60*'Parámetros Proyección'!$F$15</f>
        <v/>
      </c>
      <c r="AF60" s="35">
        <f>AD60+AE60</f>
        <v/>
      </c>
      <c r="AG60" s="35">
        <f>IF((AF60/AI60&gt;'Parámetros Proyección'!$G$15),0,D60*'Parámetros Proyección'!$G$15/(IF((H60/AI60&gt;'Parámetros Proyección'!$G$11),0,'Parámetros Proyección'!$G$11)+IF((N60/AI60&gt;'Parámetros Proyección'!$G$12),0,'Parámetros Proyección'!$G$12)+IF((T60/AI60&gt;'Parámetros Proyección'!$G$13),0,'Parámetros Proyección'!$G$13)+IF((Z60/AI60&gt;'Parámetros Proyección'!$G$14),0,'Parámetros Proyección'!$G$14)+IF((AF60/AI60&gt;'Parámetros Proyección'!$G$15),0,'Parámetros Proyección'!$G$15)))</f>
        <v/>
      </c>
      <c r="AH60" s="35">
        <f>AF60+AG60</f>
        <v/>
      </c>
      <c r="AI60" s="35">
        <f>H60+N60+T60+Z60+AF60</f>
        <v/>
      </c>
      <c r="AJ60" s="33">
        <f>AF60/AI60</f>
        <v/>
      </c>
      <c r="AK60">
        <f>IF(AJ60&gt;'Parámetros Proyección'!$B$5,1,0)</f>
        <v/>
      </c>
      <c r="AL60" s="35">
        <f>G60+M60+S60+Y60+AE60</f>
        <v/>
      </c>
      <c r="AM60" s="35">
        <f>AM59+D60</f>
        <v/>
      </c>
      <c r="AN60" s="35">
        <f>AN59+AL60</f>
        <v/>
      </c>
      <c r="AO60" s="35">
        <f>J60+P60+V60+AB60+AH60</f>
        <v/>
      </c>
    </row>
    <row r="61">
      <c r="A61" t="n">
        <v>58</v>
      </c>
      <c r="B61" s="34">
        <f>EDATE(B60,1)</f>
        <v/>
      </c>
      <c r="C61">
        <f>YEAR(B61)</f>
        <v/>
      </c>
      <c r="D61" s="35">
        <f>'Parámetros Proyección'!$B$3*(1+'Parámetros Proyección'!$B$4)^(C61-YEAR('Parámetros Proyección'!$B$6))</f>
        <v/>
      </c>
      <c r="E61" s="35">
        <f>J60</f>
        <v/>
      </c>
      <c r="F61" s="35">
        <f>E61*(1+'Parámetros Proyección'!$E$11)</f>
        <v/>
      </c>
      <c r="G61" s="35">
        <f>F61*'Parámetros Proyección'!$F$11</f>
        <v/>
      </c>
      <c r="H61" s="35">
        <f>F61+G61</f>
        <v/>
      </c>
      <c r="I61" s="35">
        <f>IF((H61/AI61&gt;'Parámetros Proyección'!$G$11),0,D61*'Parámetros Proyección'!$G$11/(IF((H61/AI61&gt;'Parámetros Proyección'!$G$11),0,'Parámetros Proyección'!$G$11)+IF((N61/AI61&gt;'Parámetros Proyección'!$G$12),0,'Parámetros Proyección'!$G$12)+IF((T61/AI61&gt;'Parámetros Proyección'!$G$13),0,'Parámetros Proyección'!$G$13)+IF((Z61/AI61&gt;'Parámetros Proyección'!$G$14),0,'Parámetros Proyección'!$G$14)+IF((AF61/AI61&gt;'Parámetros Proyección'!$G$15),0,'Parámetros Proyección'!$G$15)))</f>
        <v/>
      </c>
      <c r="J61" s="35">
        <f>H61+I61</f>
        <v/>
      </c>
      <c r="K61" s="35">
        <f>P60</f>
        <v/>
      </c>
      <c r="L61" s="35">
        <f>K61*(1+'Parámetros Proyección'!$E$12)</f>
        <v/>
      </c>
      <c r="M61" s="35">
        <f>L61*'Parámetros Proyección'!$F$12</f>
        <v/>
      </c>
      <c r="N61" s="35">
        <f>L61+M61</f>
        <v/>
      </c>
      <c r="O61" s="35">
        <f>IF((N61/AI61&gt;'Parámetros Proyección'!$G$12),0,D61*'Parámetros Proyección'!$G$12/(IF((H61/AI61&gt;'Parámetros Proyección'!$G$11),0,'Parámetros Proyección'!$G$11)+IF((N61/AI61&gt;'Parámetros Proyección'!$G$12),0,'Parámetros Proyección'!$G$12)+IF((T61/AI61&gt;'Parámetros Proyección'!$G$13),0,'Parámetros Proyección'!$G$13)+IF((Z61/AI61&gt;'Parámetros Proyección'!$G$14),0,'Parámetros Proyección'!$G$14)+IF((AF61/AI61&gt;'Parámetros Proyección'!$G$15),0,'Parámetros Proyección'!$G$15)))</f>
        <v/>
      </c>
      <c r="P61" s="35">
        <f>N61+O61</f>
        <v/>
      </c>
      <c r="Q61" s="35">
        <f>V60</f>
        <v/>
      </c>
      <c r="R61" s="35">
        <f>Q61*(1+'Parámetros Proyección'!$E$13)</f>
        <v/>
      </c>
      <c r="S61" s="35">
        <f>R61*'Parámetros Proyección'!$F$13</f>
        <v/>
      </c>
      <c r="T61" s="35">
        <f>R61+S61</f>
        <v/>
      </c>
      <c r="U61" s="35">
        <f>IF((T61/AI61&gt;'Parámetros Proyección'!$G$13),0,D61*'Parámetros Proyección'!$G$13/(IF((H61/AI61&gt;'Parámetros Proyección'!$G$11),0,'Parámetros Proyección'!$G$11)+IF((N61/AI61&gt;'Parámetros Proyección'!$G$12),0,'Parámetros Proyección'!$G$12)+IF((T61/AI61&gt;'Parámetros Proyección'!$G$13),0,'Parámetros Proyección'!$G$13)+IF((Z61/AI61&gt;'Parámetros Proyección'!$G$14),0,'Parámetros Proyección'!$G$14)+IF((AF61/AI61&gt;'Parámetros Proyección'!$G$15),0,'Parámetros Proyección'!$G$15)))</f>
        <v/>
      </c>
      <c r="V61" s="35">
        <f>T61+U61</f>
        <v/>
      </c>
      <c r="W61" s="35">
        <f>AB60</f>
        <v/>
      </c>
      <c r="X61" s="35">
        <f>W61*(1+'Parámetros Proyección'!$E$14)</f>
        <v/>
      </c>
      <c r="Y61" s="35">
        <f>X61*'Parámetros Proyección'!$F$14</f>
        <v/>
      </c>
      <c r="Z61" s="35">
        <f>X61+Y61</f>
        <v/>
      </c>
      <c r="AA61" s="35">
        <f>IF((Z61/AI61&gt;'Parámetros Proyección'!$G$14),0,D61*'Parámetros Proyección'!$G$14/(IF((H61/AI61&gt;'Parámetros Proyección'!$G$11),0,'Parámetros Proyección'!$G$11)+IF((N61/AI61&gt;'Parámetros Proyección'!$G$12),0,'Parámetros Proyección'!$G$12)+IF((T61/AI61&gt;'Parámetros Proyección'!$G$13),0,'Parámetros Proyección'!$G$13)+IF((Z61/AI61&gt;'Parámetros Proyección'!$G$14),0,'Parámetros Proyección'!$G$14)+IF((AF61/AI61&gt;'Parámetros Proyección'!$G$15),0,'Parámetros Proyección'!$G$15)))</f>
        <v/>
      </c>
      <c r="AB61" s="35">
        <f>Z61+AA61</f>
        <v/>
      </c>
      <c r="AC61" s="35">
        <f>AH60</f>
        <v/>
      </c>
      <c r="AD61" s="35">
        <f>AC61*(1+'Parámetros Proyección'!$E$15)</f>
        <v/>
      </c>
      <c r="AE61" s="35">
        <f>AD61*'Parámetros Proyección'!$F$15</f>
        <v/>
      </c>
      <c r="AF61" s="35">
        <f>AD61+AE61</f>
        <v/>
      </c>
      <c r="AG61" s="35">
        <f>IF((AF61/AI61&gt;'Parámetros Proyección'!$G$15),0,D61*'Parámetros Proyección'!$G$15/(IF((H61/AI61&gt;'Parámetros Proyección'!$G$11),0,'Parámetros Proyección'!$G$11)+IF((N61/AI61&gt;'Parámetros Proyección'!$G$12),0,'Parámetros Proyección'!$G$12)+IF((T61/AI61&gt;'Parámetros Proyección'!$G$13),0,'Parámetros Proyección'!$G$13)+IF((Z61/AI61&gt;'Parámetros Proyección'!$G$14),0,'Parámetros Proyección'!$G$14)+IF((AF61/AI61&gt;'Parámetros Proyección'!$G$15),0,'Parámetros Proyección'!$G$15)))</f>
        <v/>
      </c>
      <c r="AH61" s="35">
        <f>AF61+AG61</f>
        <v/>
      </c>
      <c r="AI61" s="35">
        <f>H61+N61+T61+Z61+AF61</f>
        <v/>
      </c>
      <c r="AJ61" s="33">
        <f>AF61/AI61</f>
        <v/>
      </c>
      <c r="AK61">
        <f>IF(AJ61&gt;'Parámetros Proyección'!$B$5,1,0)</f>
        <v/>
      </c>
      <c r="AL61" s="35">
        <f>G61+M61+S61+Y61+AE61</f>
        <v/>
      </c>
      <c r="AM61" s="35">
        <f>AM60+D61</f>
        <v/>
      </c>
      <c r="AN61" s="35">
        <f>AN60+AL61</f>
        <v/>
      </c>
      <c r="AO61" s="35">
        <f>J61+P61+V61+AB61+AH61</f>
        <v/>
      </c>
    </row>
    <row r="62">
      <c r="A62" t="n">
        <v>59</v>
      </c>
      <c r="B62" s="34">
        <f>EDATE(B61,1)</f>
        <v/>
      </c>
      <c r="C62">
        <f>YEAR(B62)</f>
        <v/>
      </c>
      <c r="D62" s="35">
        <f>'Parámetros Proyección'!$B$3*(1+'Parámetros Proyección'!$B$4)^(C62-YEAR('Parámetros Proyección'!$B$6))</f>
        <v/>
      </c>
      <c r="E62" s="35">
        <f>J61</f>
        <v/>
      </c>
      <c r="F62" s="35">
        <f>E62*(1+'Parámetros Proyección'!$E$11)</f>
        <v/>
      </c>
      <c r="G62" s="35">
        <f>F62*'Parámetros Proyección'!$F$11</f>
        <v/>
      </c>
      <c r="H62" s="35">
        <f>F62+G62</f>
        <v/>
      </c>
      <c r="I62" s="35">
        <f>IF((H62/AI62&gt;'Parámetros Proyección'!$G$11),0,D62*'Parámetros Proyección'!$G$11/(IF((H62/AI62&gt;'Parámetros Proyección'!$G$11),0,'Parámetros Proyección'!$G$11)+IF((N62/AI62&gt;'Parámetros Proyección'!$G$12),0,'Parámetros Proyección'!$G$12)+IF((T62/AI62&gt;'Parámetros Proyección'!$G$13),0,'Parámetros Proyección'!$G$13)+IF((Z62/AI62&gt;'Parámetros Proyección'!$G$14),0,'Parámetros Proyección'!$G$14)+IF((AF62/AI62&gt;'Parámetros Proyección'!$G$15),0,'Parámetros Proyección'!$G$15)))</f>
        <v/>
      </c>
      <c r="J62" s="35">
        <f>H62+I62</f>
        <v/>
      </c>
      <c r="K62" s="35">
        <f>P61</f>
        <v/>
      </c>
      <c r="L62" s="35">
        <f>K62*(1+'Parámetros Proyección'!$E$12)</f>
        <v/>
      </c>
      <c r="M62" s="35">
        <f>L62*'Parámetros Proyección'!$F$12</f>
        <v/>
      </c>
      <c r="N62" s="35">
        <f>L62+M62</f>
        <v/>
      </c>
      <c r="O62" s="35">
        <f>IF((N62/AI62&gt;'Parámetros Proyección'!$G$12),0,D62*'Parámetros Proyección'!$G$12/(IF((H62/AI62&gt;'Parámetros Proyección'!$G$11),0,'Parámetros Proyección'!$G$11)+IF((N62/AI62&gt;'Parámetros Proyección'!$G$12),0,'Parámetros Proyección'!$G$12)+IF((T62/AI62&gt;'Parámetros Proyección'!$G$13),0,'Parámetros Proyección'!$G$13)+IF((Z62/AI62&gt;'Parámetros Proyección'!$G$14),0,'Parámetros Proyección'!$G$14)+IF((AF62/AI62&gt;'Parámetros Proyección'!$G$15),0,'Parámetros Proyección'!$G$15)))</f>
        <v/>
      </c>
      <c r="P62" s="35">
        <f>N62+O62</f>
        <v/>
      </c>
      <c r="Q62" s="35">
        <f>V61</f>
        <v/>
      </c>
      <c r="R62" s="35">
        <f>Q62*(1+'Parámetros Proyección'!$E$13)</f>
        <v/>
      </c>
      <c r="S62" s="35">
        <f>R62*'Parámetros Proyección'!$F$13</f>
        <v/>
      </c>
      <c r="T62" s="35">
        <f>R62+S62</f>
        <v/>
      </c>
      <c r="U62" s="35">
        <f>IF((T62/AI62&gt;'Parámetros Proyección'!$G$13),0,D62*'Parámetros Proyección'!$G$13/(IF((H62/AI62&gt;'Parámetros Proyección'!$G$11),0,'Parámetros Proyección'!$G$11)+IF((N62/AI62&gt;'Parámetros Proyección'!$G$12),0,'Parámetros Proyección'!$G$12)+IF((T62/AI62&gt;'Parámetros Proyección'!$G$13),0,'Parámetros Proyección'!$G$13)+IF((Z62/AI62&gt;'Parámetros Proyección'!$G$14),0,'Parámetros Proyección'!$G$14)+IF((AF62/AI62&gt;'Parámetros Proyección'!$G$15),0,'Parámetros Proyección'!$G$15)))</f>
        <v/>
      </c>
      <c r="V62" s="35">
        <f>T62+U62</f>
        <v/>
      </c>
      <c r="W62" s="35">
        <f>AB61</f>
        <v/>
      </c>
      <c r="X62" s="35">
        <f>W62*(1+'Parámetros Proyección'!$E$14)</f>
        <v/>
      </c>
      <c r="Y62" s="35">
        <f>X62*'Parámetros Proyección'!$F$14</f>
        <v/>
      </c>
      <c r="Z62" s="35">
        <f>X62+Y62</f>
        <v/>
      </c>
      <c r="AA62" s="35">
        <f>IF((Z62/AI62&gt;'Parámetros Proyección'!$G$14),0,D62*'Parámetros Proyección'!$G$14/(IF((H62/AI62&gt;'Parámetros Proyección'!$G$11),0,'Parámetros Proyección'!$G$11)+IF((N62/AI62&gt;'Parámetros Proyección'!$G$12),0,'Parámetros Proyección'!$G$12)+IF((T62/AI62&gt;'Parámetros Proyección'!$G$13),0,'Parámetros Proyección'!$G$13)+IF((Z62/AI62&gt;'Parámetros Proyección'!$G$14),0,'Parámetros Proyección'!$G$14)+IF((AF62/AI62&gt;'Parámetros Proyección'!$G$15),0,'Parámetros Proyección'!$G$15)))</f>
        <v/>
      </c>
      <c r="AB62" s="35">
        <f>Z62+AA62</f>
        <v/>
      </c>
      <c r="AC62" s="35">
        <f>AH61</f>
        <v/>
      </c>
      <c r="AD62" s="35">
        <f>AC62*(1+'Parámetros Proyección'!$E$15)</f>
        <v/>
      </c>
      <c r="AE62" s="35">
        <f>AD62*'Parámetros Proyección'!$F$15</f>
        <v/>
      </c>
      <c r="AF62" s="35">
        <f>AD62+AE62</f>
        <v/>
      </c>
      <c r="AG62" s="35">
        <f>IF((AF62/AI62&gt;'Parámetros Proyección'!$G$15),0,D62*'Parámetros Proyección'!$G$15/(IF((H62/AI62&gt;'Parámetros Proyección'!$G$11),0,'Parámetros Proyección'!$G$11)+IF((N62/AI62&gt;'Parámetros Proyección'!$G$12),0,'Parámetros Proyección'!$G$12)+IF((T62/AI62&gt;'Parámetros Proyección'!$G$13),0,'Parámetros Proyección'!$G$13)+IF((Z62/AI62&gt;'Parámetros Proyección'!$G$14),0,'Parámetros Proyección'!$G$14)+IF((AF62/AI62&gt;'Parámetros Proyección'!$G$15),0,'Parámetros Proyección'!$G$15)))</f>
        <v/>
      </c>
      <c r="AH62" s="35">
        <f>AF62+AG62</f>
        <v/>
      </c>
      <c r="AI62" s="35">
        <f>H62+N62+T62+Z62+AF62</f>
        <v/>
      </c>
      <c r="AJ62" s="33">
        <f>AF62/AI62</f>
        <v/>
      </c>
      <c r="AK62">
        <f>IF(AJ62&gt;'Parámetros Proyección'!$B$5,1,0)</f>
        <v/>
      </c>
      <c r="AL62" s="35">
        <f>G62+M62+S62+Y62+AE62</f>
        <v/>
      </c>
      <c r="AM62" s="35">
        <f>AM61+D62</f>
        <v/>
      </c>
      <c r="AN62" s="35">
        <f>AN61+AL62</f>
        <v/>
      </c>
      <c r="AO62" s="35">
        <f>J62+P62+V62+AB62+AH62</f>
        <v/>
      </c>
    </row>
    <row r="63">
      <c r="A63" t="n">
        <v>60</v>
      </c>
      <c r="B63" s="34">
        <f>EDATE(B62,1)</f>
        <v/>
      </c>
      <c r="C63">
        <f>YEAR(B63)</f>
        <v/>
      </c>
      <c r="D63" s="35">
        <f>'Parámetros Proyección'!$B$3*(1+'Parámetros Proyección'!$B$4)^(C63-YEAR('Parámetros Proyección'!$B$6))</f>
        <v/>
      </c>
      <c r="E63" s="35">
        <f>J62</f>
        <v/>
      </c>
      <c r="F63" s="35">
        <f>E63*(1+'Parámetros Proyección'!$E$11)</f>
        <v/>
      </c>
      <c r="G63" s="35">
        <f>F63*'Parámetros Proyección'!$F$11</f>
        <v/>
      </c>
      <c r="H63" s="35">
        <f>F63+G63</f>
        <v/>
      </c>
      <c r="I63" s="35">
        <f>IF((H63/AI63&gt;'Parámetros Proyección'!$G$11),0,D63*'Parámetros Proyección'!$G$11/(IF((H63/AI63&gt;'Parámetros Proyección'!$G$11),0,'Parámetros Proyección'!$G$11)+IF((N63/AI63&gt;'Parámetros Proyección'!$G$12),0,'Parámetros Proyección'!$G$12)+IF((T63/AI63&gt;'Parámetros Proyección'!$G$13),0,'Parámetros Proyección'!$G$13)+IF((Z63/AI63&gt;'Parámetros Proyección'!$G$14),0,'Parámetros Proyección'!$G$14)+IF((AF63/AI63&gt;'Parámetros Proyección'!$G$15),0,'Parámetros Proyección'!$G$15)))</f>
        <v/>
      </c>
      <c r="J63" s="35">
        <f>H63+I63</f>
        <v/>
      </c>
      <c r="K63" s="35">
        <f>P62</f>
        <v/>
      </c>
      <c r="L63" s="35">
        <f>K63*(1+'Parámetros Proyección'!$E$12)</f>
        <v/>
      </c>
      <c r="M63" s="35">
        <f>L63*'Parámetros Proyección'!$F$12</f>
        <v/>
      </c>
      <c r="N63" s="35">
        <f>L63+M63</f>
        <v/>
      </c>
      <c r="O63" s="35">
        <f>IF((N63/AI63&gt;'Parámetros Proyección'!$G$12),0,D63*'Parámetros Proyección'!$G$12/(IF((H63/AI63&gt;'Parámetros Proyección'!$G$11),0,'Parámetros Proyección'!$G$11)+IF((N63/AI63&gt;'Parámetros Proyección'!$G$12),0,'Parámetros Proyección'!$G$12)+IF((T63/AI63&gt;'Parámetros Proyección'!$G$13),0,'Parámetros Proyección'!$G$13)+IF((Z63/AI63&gt;'Parámetros Proyección'!$G$14),0,'Parámetros Proyección'!$G$14)+IF((AF63/AI63&gt;'Parámetros Proyección'!$G$15),0,'Parámetros Proyección'!$G$15)))</f>
        <v/>
      </c>
      <c r="P63" s="35">
        <f>N63+O63</f>
        <v/>
      </c>
      <c r="Q63" s="35">
        <f>V62</f>
        <v/>
      </c>
      <c r="R63" s="35">
        <f>Q63*(1+'Parámetros Proyección'!$E$13)</f>
        <v/>
      </c>
      <c r="S63" s="35">
        <f>R63*'Parámetros Proyección'!$F$13</f>
        <v/>
      </c>
      <c r="T63" s="35">
        <f>R63+S63</f>
        <v/>
      </c>
      <c r="U63" s="35">
        <f>IF((T63/AI63&gt;'Parámetros Proyección'!$G$13),0,D63*'Parámetros Proyección'!$G$13/(IF((H63/AI63&gt;'Parámetros Proyección'!$G$11),0,'Parámetros Proyección'!$G$11)+IF((N63/AI63&gt;'Parámetros Proyección'!$G$12),0,'Parámetros Proyección'!$G$12)+IF((T63/AI63&gt;'Parámetros Proyección'!$G$13),0,'Parámetros Proyección'!$G$13)+IF((Z63/AI63&gt;'Parámetros Proyección'!$G$14),0,'Parámetros Proyección'!$G$14)+IF((AF63/AI63&gt;'Parámetros Proyección'!$G$15),0,'Parámetros Proyección'!$G$15)))</f>
        <v/>
      </c>
      <c r="V63" s="35">
        <f>T63+U63</f>
        <v/>
      </c>
      <c r="W63" s="35">
        <f>AB62</f>
        <v/>
      </c>
      <c r="X63" s="35">
        <f>W63*(1+'Parámetros Proyección'!$E$14)</f>
        <v/>
      </c>
      <c r="Y63" s="35">
        <f>X63*'Parámetros Proyección'!$F$14</f>
        <v/>
      </c>
      <c r="Z63" s="35">
        <f>X63+Y63</f>
        <v/>
      </c>
      <c r="AA63" s="35">
        <f>IF((Z63/AI63&gt;'Parámetros Proyección'!$G$14),0,D63*'Parámetros Proyección'!$G$14/(IF((H63/AI63&gt;'Parámetros Proyección'!$G$11),0,'Parámetros Proyección'!$G$11)+IF((N63/AI63&gt;'Parámetros Proyección'!$G$12),0,'Parámetros Proyección'!$G$12)+IF((T63/AI63&gt;'Parámetros Proyección'!$G$13),0,'Parámetros Proyección'!$G$13)+IF((Z63/AI63&gt;'Parámetros Proyección'!$G$14),0,'Parámetros Proyección'!$G$14)+IF((AF63/AI63&gt;'Parámetros Proyección'!$G$15),0,'Parámetros Proyección'!$G$15)))</f>
        <v/>
      </c>
      <c r="AB63" s="35">
        <f>Z63+AA63</f>
        <v/>
      </c>
      <c r="AC63" s="35">
        <f>AH62</f>
        <v/>
      </c>
      <c r="AD63" s="35">
        <f>AC63*(1+'Parámetros Proyección'!$E$15)</f>
        <v/>
      </c>
      <c r="AE63" s="35">
        <f>AD63*'Parámetros Proyección'!$F$15</f>
        <v/>
      </c>
      <c r="AF63" s="35">
        <f>AD63+AE63</f>
        <v/>
      </c>
      <c r="AG63" s="35">
        <f>IF((AF63/AI63&gt;'Parámetros Proyección'!$G$15),0,D63*'Parámetros Proyección'!$G$15/(IF((H63/AI63&gt;'Parámetros Proyección'!$G$11),0,'Parámetros Proyección'!$G$11)+IF((N63/AI63&gt;'Parámetros Proyección'!$G$12),0,'Parámetros Proyección'!$G$12)+IF((T63/AI63&gt;'Parámetros Proyección'!$G$13),0,'Parámetros Proyección'!$G$13)+IF((Z63/AI63&gt;'Parámetros Proyección'!$G$14),0,'Parámetros Proyección'!$G$14)+IF((AF63/AI63&gt;'Parámetros Proyección'!$G$15),0,'Parámetros Proyección'!$G$15)))</f>
        <v/>
      </c>
      <c r="AH63" s="35">
        <f>AF63+AG63</f>
        <v/>
      </c>
      <c r="AI63" s="35">
        <f>H63+N63+T63+Z63+AF63</f>
        <v/>
      </c>
      <c r="AJ63" s="33">
        <f>AF63/AI63</f>
        <v/>
      </c>
      <c r="AK63">
        <f>IF(AJ63&gt;'Parámetros Proyección'!$B$5,1,0)</f>
        <v/>
      </c>
      <c r="AL63" s="35">
        <f>G63+M63+S63+Y63+AE63</f>
        <v/>
      </c>
      <c r="AM63" s="35">
        <f>AM62+D63</f>
        <v/>
      </c>
      <c r="AN63" s="35">
        <f>AN62+AL63</f>
        <v/>
      </c>
      <c r="AO63" s="35">
        <f>J63+P63+V63+AB63+AH63</f>
        <v/>
      </c>
    </row>
    <row r="64">
      <c r="A64" t="n">
        <v>61</v>
      </c>
      <c r="B64" s="34">
        <f>EDATE(B63,1)</f>
        <v/>
      </c>
      <c r="C64">
        <f>YEAR(B64)</f>
        <v/>
      </c>
      <c r="D64" s="35">
        <f>'Parámetros Proyección'!$B$3*(1+'Parámetros Proyección'!$B$4)^(C64-YEAR('Parámetros Proyección'!$B$6))</f>
        <v/>
      </c>
      <c r="E64" s="35">
        <f>J63</f>
        <v/>
      </c>
      <c r="F64" s="35">
        <f>E64*(1+'Parámetros Proyección'!$E$11)</f>
        <v/>
      </c>
      <c r="G64" s="35">
        <f>F64*'Parámetros Proyección'!$F$11</f>
        <v/>
      </c>
      <c r="H64" s="35">
        <f>F64+G64</f>
        <v/>
      </c>
      <c r="I64" s="35">
        <f>IF((H64/AI64&gt;'Parámetros Proyección'!$G$11),0,D64*'Parámetros Proyección'!$G$11/(IF((H64/AI64&gt;'Parámetros Proyección'!$G$11),0,'Parámetros Proyección'!$G$11)+IF((N64/AI64&gt;'Parámetros Proyección'!$G$12),0,'Parámetros Proyección'!$G$12)+IF((T64/AI64&gt;'Parámetros Proyección'!$G$13),0,'Parámetros Proyección'!$G$13)+IF((Z64/AI64&gt;'Parámetros Proyección'!$G$14),0,'Parámetros Proyección'!$G$14)+IF((AF64/AI64&gt;'Parámetros Proyección'!$G$15),0,'Parámetros Proyección'!$G$15)))</f>
        <v/>
      </c>
      <c r="J64" s="35">
        <f>H64+I64</f>
        <v/>
      </c>
      <c r="K64" s="35">
        <f>P63</f>
        <v/>
      </c>
      <c r="L64" s="35">
        <f>K64*(1+'Parámetros Proyección'!$E$12)</f>
        <v/>
      </c>
      <c r="M64" s="35">
        <f>L64*'Parámetros Proyección'!$F$12</f>
        <v/>
      </c>
      <c r="N64" s="35">
        <f>L64+M64</f>
        <v/>
      </c>
      <c r="O64" s="35">
        <f>IF((N64/AI64&gt;'Parámetros Proyección'!$G$12),0,D64*'Parámetros Proyección'!$G$12/(IF((H64/AI64&gt;'Parámetros Proyección'!$G$11),0,'Parámetros Proyección'!$G$11)+IF((N64/AI64&gt;'Parámetros Proyección'!$G$12),0,'Parámetros Proyección'!$G$12)+IF((T64/AI64&gt;'Parámetros Proyección'!$G$13),0,'Parámetros Proyección'!$G$13)+IF((Z64/AI64&gt;'Parámetros Proyección'!$G$14),0,'Parámetros Proyección'!$G$14)+IF((AF64/AI64&gt;'Parámetros Proyección'!$G$15),0,'Parámetros Proyección'!$G$15)))</f>
        <v/>
      </c>
      <c r="P64" s="35">
        <f>N64+O64</f>
        <v/>
      </c>
      <c r="Q64" s="35">
        <f>V63</f>
        <v/>
      </c>
      <c r="R64" s="35">
        <f>Q64*(1+'Parámetros Proyección'!$E$13)</f>
        <v/>
      </c>
      <c r="S64" s="35">
        <f>R64*'Parámetros Proyección'!$F$13</f>
        <v/>
      </c>
      <c r="T64" s="35">
        <f>R64+S64</f>
        <v/>
      </c>
      <c r="U64" s="35">
        <f>IF((T64/AI64&gt;'Parámetros Proyección'!$G$13),0,D64*'Parámetros Proyección'!$G$13/(IF((H64/AI64&gt;'Parámetros Proyección'!$G$11),0,'Parámetros Proyección'!$G$11)+IF((N64/AI64&gt;'Parámetros Proyección'!$G$12),0,'Parámetros Proyección'!$G$12)+IF((T64/AI64&gt;'Parámetros Proyección'!$G$13),0,'Parámetros Proyección'!$G$13)+IF((Z64/AI64&gt;'Parámetros Proyección'!$G$14),0,'Parámetros Proyección'!$G$14)+IF((AF64/AI64&gt;'Parámetros Proyección'!$G$15),0,'Parámetros Proyección'!$G$15)))</f>
        <v/>
      </c>
      <c r="V64" s="35">
        <f>T64+U64</f>
        <v/>
      </c>
      <c r="W64" s="35">
        <f>AB63</f>
        <v/>
      </c>
      <c r="X64" s="35">
        <f>W64*(1+'Parámetros Proyección'!$E$14)</f>
        <v/>
      </c>
      <c r="Y64" s="35">
        <f>X64*'Parámetros Proyección'!$F$14</f>
        <v/>
      </c>
      <c r="Z64" s="35">
        <f>X64+Y64</f>
        <v/>
      </c>
      <c r="AA64" s="35">
        <f>IF((Z64/AI64&gt;'Parámetros Proyección'!$G$14),0,D64*'Parámetros Proyección'!$G$14/(IF((H64/AI64&gt;'Parámetros Proyección'!$G$11),0,'Parámetros Proyección'!$G$11)+IF((N64/AI64&gt;'Parámetros Proyección'!$G$12),0,'Parámetros Proyección'!$G$12)+IF((T64/AI64&gt;'Parámetros Proyección'!$G$13),0,'Parámetros Proyección'!$G$13)+IF((Z64/AI64&gt;'Parámetros Proyección'!$G$14),0,'Parámetros Proyección'!$G$14)+IF((AF64/AI64&gt;'Parámetros Proyección'!$G$15),0,'Parámetros Proyección'!$G$15)))</f>
        <v/>
      </c>
      <c r="AB64" s="35">
        <f>Z64+AA64</f>
        <v/>
      </c>
      <c r="AC64" s="35">
        <f>AH63</f>
        <v/>
      </c>
      <c r="AD64" s="35">
        <f>AC64*(1+'Parámetros Proyección'!$E$15)</f>
        <v/>
      </c>
      <c r="AE64" s="35">
        <f>AD64*'Parámetros Proyección'!$F$15</f>
        <v/>
      </c>
      <c r="AF64" s="35">
        <f>AD64+AE64</f>
        <v/>
      </c>
      <c r="AG64" s="35">
        <f>IF((AF64/AI64&gt;'Parámetros Proyección'!$G$15),0,D64*'Parámetros Proyección'!$G$15/(IF((H64/AI64&gt;'Parámetros Proyección'!$G$11),0,'Parámetros Proyección'!$G$11)+IF((N64/AI64&gt;'Parámetros Proyección'!$G$12),0,'Parámetros Proyección'!$G$12)+IF((T64/AI64&gt;'Parámetros Proyección'!$G$13),0,'Parámetros Proyección'!$G$13)+IF((Z64/AI64&gt;'Parámetros Proyección'!$G$14),0,'Parámetros Proyección'!$G$14)+IF((AF64/AI64&gt;'Parámetros Proyección'!$G$15),0,'Parámetros Proyección'!$G$15)))</f>
        <v/>
      </c>
      <c r="AH64" s="35">
        <f>AF64+AG64</f>
        <v/>
      </c>
      <c r="AI64" s="35">
        <f>H64+N64+T64+Z64+AF64</f>
        <v/>
      </c>
      <c r="AJ64" s="33">
        <f>AF64/AI64</f>
        <v/>
      </c>
      <c r="AK64">
        <f>IF(AJ64&gt;'Parámetros Proyección'!$B$5,1,0)</f>
        <v/>
      </c>
      <c r="AL64" s="35">
        <f>G64+M64+S64+Y64+AE64</f>
        <v/>
      </c>
      <c r="AM64" s="35">
        <f>AM63+D64</f>
        <v/>
      </c>
      <c r="AN64" s="35">
        <f>AN63+AL64</f>
        <v/>
      </c>
      <c r="AO64" s="35">
        <f>J64+P64+V64+AB64+AH64</f>
        <v/>
      </c>
    </row>
    <row r="65">
      <c r="A65" t="n">
        <v>62</v>
      </c>
      <c r="B65" s="34">
        <f>EDATE(B64,1)</f>
        <v/>
      </c>
      <c r="C65">
        <f>YEAR(B65)</f>
        <v/>
      </c>
      <c r="D65" s="35">
        <f>'Parámetros Proyección'!$B$3*(1+'Parámetros Proyección'!$B$4)^(C65-YEAR('Parámetros Proyección'!$B$6))</f>
        <v/>
      </c>
      <c r="E65" s="35">
        <f>J64</f>
        <v/>
      </c>
      <c r="F65" s="35">
        <f>E65*(1+'Parámetros Proyección'!$E$11)</f>
        <v/>
      </c>
      <c r="G65" s="35">
        <f>F65*'Parámetros Proyección'!$F$11</f>
        <v/>
      </c>
      <c r="H65" s="35">
        <f>F65+G65</f>
        <v/>
      </c>
      <c r="I65" s="35">
        <f>IF((H65/AI65&gt;'Parámetros Proyección'!$G$11),0,D65*'Parámetros Proyección'!$G$11/(IF((H65/AI65&gt;'Parámetros Proyección'!$G$11),0,'Parámetros Proyección'!$G$11)+IF((N65/AI65&gt;'Parámetros Proyección'!$G$12),0,'Parámetros Proyección'!$G$12)+IF((T65/AI65&gt;'Parámetros Proyección'!$G$13),0,'Parámetros Proyección'!$G$13)+IF((Z65/AI65&gt;'Parámetros Proyección'!$G$14),0,'Parámetros Proyección'!$G$14)+IF((AF65/AI65&gt;'Parámetros Proyección'!$G$15),0,'Parámetros Proyección'!$G$15)))</f>
        <v/>
      </c>
      <c r="J65" s="35">
        <f>H65+I65</f>
        <v/>
      </c>
      <c r="K65" s="35">
        <f>P64</f>
        <v/>
      </c>
      <c r="L65" s="35">
        <f>K65*(1+'Parámetros Proyección'!$E$12)</f>
        <v/>
      </c>
      <c r="M65" s="35">
        <f>L65*'Parámetros Proyección'!$F$12</f>
        <v/>
      </c>
      <c r="N65" s="35">
        <f>L65+M65</f>
        <v/>
      </c>
      <c r="O65" s="35">
        <f>IF((N65/AI65&gt;'Parámetros Proyección'!$G$12),0,D65*'Parámetros Proyección'!$G$12/(IF((H65/AI65&gt;'Parámetros Proyección'!$G$11),0,'Parámetros Proyección'!$G$11)+IF((N65/AI65&gt;'Parámetros Proyección'!$G$12),0,'Parámetros Proyección'!$G$12)+IF((T65/AI65&gt;'Parámetros Proyección'!$G$13),0,'Parámetros Proyección'!$G$13)+IF((Z65/AI65&gt;'Parámetros Proyección'!$G$14),0,'Parámetros Proyección'!$G$14)+IF((AF65/AI65&gt;'Parámetros Proyección'!$G$15),0,'Parámetros Proyección'!$G$15)))</f>
        <v/>
      </c>
      <c r="P65" s="35">
        <f>N65+O65</f>
        <v/>
      </c>
      <c r="Q65" s="35">
        <f>V64</f>
        <v/>
      </c>
      <c r="R65" s="35">
        <f>Q65*(1+'Parámetros Proyección'!$E$13)</f>
        <v/>
      </c>
      <c r="S65" s="35">
        <f>R65*'Parámetros Proyección'!$F$13</f>
        <v/>
      </c>
      <c r="T65" s="35">
        <f>R65+S65</f>
        <v/>
      </c>
      <c r="U65" s="35">
        <f>IF((T65/AI65&gt;'Parámetros Proyección'!$G$13),0,D65*'Parámetros Proyección'!$G$13/(IF((H65/AI65&gt;'Parámetros Proyección'!$G$11),0,'Parámetros Proyección'!$G$11)+IF((N65/AI65&gt;'Parámetros Proyección'!$G$12),0,'Parámetros Proyección'!$G$12)+IF((T65/AI65&gt;'Parámetros Proyección'!$G$13),0,'Parámetros Proyección'!$G$13)+IF((Z65/AI65&gt;'Parámetros Proyección'!$G$14),0,'Parámetros Proyección'!$G$14)+IF((AF65/AI65&gt;'Parámetros Proyección'!$G$15),0,'Parámetros Proyección'!$G$15)))</f>
        <v/>
      </c>
      <c r="V65" s="35">
        <f>T65+U65</f>
        <v/>
      </c>
      <c r="W65" s="35">
        <f>AB64</f>
        <v/>
      </c>
      <c r="X65" s="35">
        <f>W65*(1+'Parámetros Proyección'!$E$14)</f>
        <v/>
      </c>
      <c r="Y65" s="35">
        <f>X65*'Parámetros Proyección'!$F$14</f>
        <v/>
      </c>
      <c r="Z65" s="35">
        <f>X65+Y65</f>
        <v/>
      </c>
      <c r="AA65" s="35">
        <f>IF((Z65/AI65&gt;'Parámetros Proyección'!$G$14),0,D65*'Parámetros Proyección'!$G$14/(IF((H65/AI65&gt;'Parámetros Proyección'!$G$11),0,'Parámetros Proyección'!$G$11)+IF((N65/AI65&gt;'Parámetros Proyección'!$G$12),0,'Parámetros Proyección'!$G$12)+IF((T65/AI65&gt;'Parámetros Proyección'!$G$13),0,'Parámetros Proyección'!$G$13)+IF((Z65/AI65&gt;'Parámetros Proyección'!$G$14),0,'Parámetros Proyección'!$G$14)+IF((AF65/AI65&gt;'Parámetros Proyección'!$G$15),0,'Parámetros Proyección'!$G$15)))</f>
        <v/>
      </c>
      <c r="AB65" s="35">
        <f>Z65+AA65</f>
        <v/>
      </c>
      <c r="AC65" s="35">
        <f>AH64</f>
        <v/>
      </c>
      <c r="AD65" s="35">
        <f>AC65*(1+'Parámetros Proyección'!$E$15)</f>
        <v/>
      </c>
      <c r="AE65" s="35">
        <f>AD65*'Parámetros Proyección'!$F$15</f>
        <v/>
      </c>
      <c r="AF65" s="35">
        <f>AD65+AE65</f>
        <v/>
      </c>
      <c r="AG65" s="35">
        <f>IF((AF65/AI65&gt;'Parámetros Proyección'!$G$15),0,D65*'Parámetros Proyección'!$G$15/(IF((H65/AI65&gt;'Parámetros Proyección'!$G$11),0,'Parámetros Proyección'!$G$11)+IF((N65/AI65&gt;'Parámetros Proyección'!$G$12),0,'Parámetros Proyección'!$G$12)+IF((T65/AI65&gt;'Parámetros Proyección'!$G$13),0,'Parámetros Proyección'!$G$13)+IF((Z65/AI65&gt;'Parámetros Proyección'!$G$14),0,'Parámetros Proyección'!$G$14)+IF((AF65/AI65&gt;'Parámetros Proyección'!$G$15),0,'Parámetros Proyección'!$G$15)))</f>
        <v/>
      </c>
      <c r="AH65" s="35">
        <f>AF65+AG65</f>
        <v/>
      </c>
      <c r="AI65" s="35">
        <f>H65+N65+T65+Z65+AF65</f>
        <v/>
      </c>
      <c r="AJ65" s="33">
        <f>AF65/AI65</f>
        <v/>
      </c>
      <c r="AK65">
        <f>IF(AJ65&gt;'Parámetros Proyección'!$B$5,1,0)</f>
        <v/>
      </c>
      <c r="AL65" s="35">
        <f>G65+M65+S65+Y65+AE65</f>
        <v/>
      </c>
      <c r="AM65" s="35">
        <f>AM64+D65</f>
        <v/>
      </c>
      <c r="AN65" s="35">
        <f>AN64+AL65</f>
        <v/>
      </c>
      <c r="AO65" s="35">
        <f>J65+P65+V65+AB65+AH65</f>
        <v/>
      </c>
    </row>
    <row r="66">
      <c r="A66" t="n">
        <v>63</v>
      </c>
      <c r="B66" s="34">
        <f>EDATE(B65,1)</f>
        <v/>
      </c>
      <c r="C66">
        <f>YEAR(B66)</f>
        <v/>
      </c>
      <c r="D66" s="35">
        <f>'Parámetros Proyección'!$B$3*(1+'Parámetros Proyección'!$B$4)^(C66-YEAR('Parámetros Proyección'!$B$6))</f>
        <v/>
      </c>
      <c r="E66" s="35">
        <f>J65</f>
        <v/>
      </c>
      <c r="F66" s="35">
        <f>E66*(1+'Parámetros Proyección'!$E$11)</f>
        <v/>
      </c>
      <c r="G66" s="35">
        <f>F66*'Parámetros Proyección'!$F$11</f>
        <v/>
      </c>
      <c r="H66" s="35">
        <f>F66+G66</f>
        <v/>
      </c>
      <c r="I66" s="35">
        <f>IF((H66/AI66&gt;'Parámetros Proyección'!$G$11),0,D66*'Parámetros Proyección'!$G$11/(IF((H66/AI66&gt;'Parámetros Proyección'!$G$11),0,'Parámetros Proyección'!$G$11)+IF((N66/AI66&gt;'Parámetros Proyección'!$G$12),0,'Parámetros Proyección'!$G$12)+IF((T66/AI66&gt;'Parámetros Proyección'!$G$13),0,'Parámetros Proyección'!$G$13)+IF((Z66/AI66&gt;'Parámetros Proyección'!$G$14),0,'Parámetros Proyección'!$G$14)+IF((AF66/AI66&gt;'Parámetros Proyección'!$G$15),0,'Parámetros Proyección'!$G$15)))</f>
        <v/>
      </c>
      <c r="J66" s="35">
        <f>H66+I66</f>
        <v/>
      </c>
      <c r="K66" s="35">
        <f>P65</f>
        <v/>
      </c>
      <c r="L66" s="35">
        <f>K66*(1+'Parámetros Proyección'!$E$12)</f>
        <v/>
      </c>
      <c r="M66" s="35">
        <f>L66*'Parámetros Proyección'!$F$12</f>
        <v/>
      </c>
      <c r="N66" s="35">
        <f>L66+M66</f>
        <v/>
      </c>
      <c r="O66" s="35">
        <f>IF((N66/AI66&gt;'Parámetros Proyección'!$G$12),0,D66*'Parámetros Proyección'!$G$12/(IF((H66/AI66&gt;'Parámetros Proyección'!$G$11),0,'Parámetros Proyección'!$G$11)+IF((N66/AI66&gt;'Parámetros Proyección'!$G$12),0,'Parámetros Proyección'!$G$12)+IF((T66/AI66&gt;'Parámetros Proyección'!$G$13),0,'Parámetros Proyección'!$G$13)+IF((Z66/AI66&gt;'Parámetros Proyección'!$G$14),0,'Parámetros Proyección'!$G$14)+IF((AF66/AI66&gt;'Parámetros Proyección'!$G$15),0,'Parámetros Proyección'!$G$15)))</f>
        <v/>
      </c>
      <c r="P66" s="35">
        <f>N66+O66</f>
        <v/>
      </c>
      <c r="Q66" s="35">
        <f>V65</f>
        <v/>
      </c>
      <c r="R66" s="35">
        <f>Q66*(1+'Parámetros Proyección'!$E$13)</f>
        <v/>
      </c>
      <c r="S66" s="35">
        <f>R66*'Parámetros Proyección'!$F$13</f>
        <v/>
      </c>
      <c r="T66" s="35">
        <f>R66+S66</f>
        <v/>
      </c>
      <c r="U66" s="35">
        <f>IF((T66/AI66&gt;'Parámetros Proyección'!$G$13),0,D66*'Parámetros Proyección'!$G$13/(IF((H66/AI66&gt;'Parámetros Proyección'!$G$11),0,'Parámetros Proyección'!$G$11)+IF((N66/AI66&gt;'Parámetros Proyección'!$G$12),0,'Parámetros Proyección'!$G$12)+IF((T66/AI66&gt;'Parámetros Proyección'!$G$13),0,'Parámetros Proyección'!$G$13)+IF((Z66/AI66&gt;'Parámetros Proyección'!$G$14),0,'Parámetros Proyección'!$G$14)+IF((AF66/AI66&gt;'Parámetros Proyección'!$G$15),0,'Parámetros Proyección'!$G$15)))</f>
        <v/>
      </c>
      <c r="V66" s="35">
        <f>T66+U66</f>
        <v/>
      </c>
      <c r="W66" s="35">
        <f>AB65</f>
        <v/>
      </c>
      <c r="X66" s="35">
        <f>W66*(1+'Parámetros Proyección'!$E$14)</f>
        <v/>
      </c>
      <c r="Y66" s="35">
        <f>X66*'Parámetros Proyección'!$F$14</f>
        <v/>
      </c>
      <c r="Z66" s="35">
        <f>X66+Y66</f>
        <v/>
      </c>
      <c r="AA66" s="35">
        <f>IF((Z66/AI66&gt;'Parámetros Proyección'!$G$14),0,D66*'Parámetros Proyección'!$G$14/(IF((H66/AI66&gt;'Parámetros Proyección'!$G$11),0,'Parámetros Proyección'!$G$11)+IF((N66/AI66&gt;'Parámetros Proyección'!$G$12),0,'Parámetros Proyección'!$G$12)+IF((T66/AI66&gt;'Parámetros Proyección'!$G$13),0,'Parámetros Proyección'!$G$13)+IF((Z66/AI66&gt;'Parámetros Proyección'!$G$14),0,'Parámetros Proyección'!$G$14)+IF((AF66/AI66&gt;'Parámetros Proyección'!$G$15),0,'Parámetros Proyección'!$G$15)))</f>
        <v/>
      </c>
      <c r="AB66" s="35">
        <f>Z66+AA66</f>
        <v/>
      </c>
      <c r="AC66" s="35">
        <f>AH65</f>
        <v/>
      </c>
      <c r="AD66" s="35">
        <f>AC66*(1+'Parámetros Proyección'!$E$15)</f>
        <v/>
      </c>
      <c r="AE66" s="35">
        <f>AD66*'Parámetros Proyección'!$F$15</f>
        <v/>
      </c>
      <c r="AF66" s="35">
        <f>AD66+AE66</f>
        <v/>
      </c>
      <c r="AG66" s="35">
        <f>IF((AF66/AI66&gt;'Parámetros Proyección'!$G$15),0,D66*'Parámetros Proyección'!$G$15/(IF((H66/AI66&gt;'Parámetros Proyección'!$G$11),0,'Parámetros Proyección'!$G$11)+IF((N66/AI66&gt;'Parámetros Proyección'!$G$12),0,'Parámetros Proyección'!$G$12)+IF((T66/AI66&gt;'Parámetros Proyección'!$G$13),0,'Parámetros Proyección'!$G$13)+IF((Z66/AI66&gt;'Parámetros Proyección'!$G$14),0,'Parámetros Proyección'!$G$14)+IF((AF66/AI66&gt;'Parámetros Proyección'!$G$15),0,'Parámetros Proyección'!$G$15)))</f>
        <v/>
      </c>
      <c r="AH66" s="35">
        <f>AF66+AG66</f>
        <v/>
      </c>
      <c r="AI66" s="35">
        <f>H66+N66+T66+Z66+AF66</f>
        <v/>
      </c>
      <c r="AJ66" s="33">
        <f>AF66/AI66</f>
        <v/>
      </c>
      <c r="AK66">
        <f>IF(AJ66&gt;'Parámetros Proyección'!$B$5,1,0)</f>
        <v/>
      </c>
      <c r="AL66" s="35">
        <f>G66+M66+S66+Y66+AE66</f>
        <v/>
      </c>
      <c r="AM66" s="35">
        <f>AM65+D66</f>
        <v/>
      </c>
      <c r="AN66" s="35">
        <f>AN65+AL66</f>
        <v/>
      </c>
      <c r="AO66" s="35">
        <f>J66+P66+V66+AB66+AH66</f>
        <v/>
      </c>
    </row>
    <row r="67">
      <c r="A67" t="n">
        <v>64</v>
      </c>
      <c r="B67" s="34">
        <f>EDATE(B66,1)</f>
        <v/>
      </c>
      <c r="C67">
        <f>YEAR(B67)</f>
        <v/>
      </c>
      <c r="D67" s="35">
        <f>'Parámetros Proyección'!$B$3*(1+'Parámetros Proyección'!$B$4)^(C67-YEAR('Parámetros Proyección'!$B$6))</f>
        <v/>
      </c>
      <c r="E67" s="35">
        <f>J66</f>
        <v/>
      </c>
      <c r="F67" s="35">
        <f>E67*(1+'Parámetros Proyección'!$E$11)</f>
        <v/>
      </c>
      <c r="G67" s="35">
        <f>F67*'Parámetros Proyección'!$F$11</f>
        <v/>
      </c>
      <c r="H67" s="35">
        <f>F67+G67</f>
        <v/>
      </c>
      <c r="I67" s="35">
        <f>IF((H67/AI67&gt;'Parámetros Proyección'!$G$11),0,D67*'Parámetros Proyección'!$G$11/(IF((H67/AI67&gt;'Parámetros Proyección'!$G$11),0,'Parámetros Proyección'!$G$11)+IF((N67/AI67&gt;'Parámetros Proyección'!$G$12),0,'Parámetros Proyección'!$G$12)+IF((T67/AI67&gt;'Parámetros Proyección'!$G$13),0,'Parámetros Proyección'!$G$13)+IF((Z67/AI67&gt;'Parámetros Proyección'!$G$14),0,'Parámetros Proyección'!$G$14)+IF((AF67/AI67&gt;'Parámetros Proyección'!$G$15),0,'Parámetros Proyección'!$G$15)))</f>
        <v/>
      </c>
      <c r="J67" s="35">
        <f>H67+I67</f>
        <v/>
      </c>
      <c r="K67" s="35">
        <f>P66</f>
        <v/>
      </c>
      <c r="L67" s="35">
        <f>K67*(1+'Parámetros Proyección'!$E$12)</f>
        <v/>
      </c>
      <c r="M67" s="35">
        <f>L67*'Parámetros Proyección'!$F$12</f>
        <v/>
      </c>
      <c r="N67" s="35">
        <f>L67+M67</f>
        <v/>
      </c>
      <c r="O67" s="35">
        <f>IF((N67/AI67&gt;'Parámetros Proyección'!$G$12),0,D67*'Parámetros Proyección'!$G$12/(IF((H67/AI67&gt;'Parámetros Proyección'!$G$11),0,'Parámetros Proyección'!$G$11)+IF((N67/AI67&gt;'Parámetros Proyección'!$G$12),0,'Parámetros Proyección'!$G$12)+IF((T67/AI67&gt;'Parámetros Proyección'!$G$13),0,'Parámetros Proyección'!$G$13)+IF((Z67/AI67&gt;'Parámetros Proyección'!$G$14),0,'Parámetros Proyección'!$G$14)+IF((AF67/AI67&gt;'Parámetros Proyección'!$G$15),0,'Parámetros Proyección'!$G$15)))</f>
        <v/>
      </c>
      <c r="P67" s="35">
        <f>N67+O67</f>
        <v/>
      </c>
      <c r="Q67" s="35">
        <f>V66</f>
        <v/>
      </c>
      <c r="R67" s="35">
        <f>Q67*(1+'Parámetros Proyección'!$E$13)</f>
        <v/>
      </c>
      <c r="S67" s="35">
        <f>R67*'Parámetros Proyección'!$F$13</f>
        <v/>
      </c>
      <c r="T67" s="35">
        <f>R67+S67</f>
        <v/>
      </c>
      <c r="U67" s="35">
        <f>IF((T67/AI67&gt;'Parámetros Proyección'!$G$13),0,D67*'Parámetros Proyección'!$G$13/(IF((H67/AI67&gt;'Parámetros Proyección'!$G$11),0,'Parámetros Proyección'!$G$11)+IF((N67/AI67&gt;'Parámetros Proyección'!$G$12),0,'Parámetros Proyección'!$G$12)+IF((T67/AI67&gt;'Parámetros Proyección'!$G$13),0,'Parámetros Proyección'!$G$13)+IF((Z67/AI67&gt;'Parámetros Proyección'!$G$14),0,'Parámetros Proyección'!$G$14)+IF((AF67/AI67&gt;'Parámetros Proyección'!$G$15),0,'Parámetros Proyección'!$G$15)))</f>
        <v/>
      </c>
      <c r="V67" s="35">
        <f>T67+U67</f>
        <v/>
      </c>
      <c r="W67" s="35">
        <f>AB66</f>
        <v/>
      </c>
      <c r="X67" s="35">
        <f>W67*(1+'Parámetros Proyección'!$E$14)</f>
        <v/>
      </c>
      <c r="Y67" s="35">
        <f>X67*'Parámetros Proyección'!$F$14</f>
        <v/>
      </c>
      <c r="Z67" s="35">
        <f>X67+Y67</f>
        <v/>
      </c>
      <c r="AA67" s="35">
        <f>IF((Z67/AI67&gt;'Parámetros Proyección'!$G$14),0,D67*'Parámetros Proyección'!$G$14/(IF((H67/AI67&gt;'Parámetros Proyección'!$G$11),0,'Parámetros Proyección'!$G$11)+IF((N67/AI67&gt;'Parámetros Proyección'!$G$12),0,'Parámetros Proyección'!$G$12)+IF((T67/AI67&gt;'Parámetros Proyección'!$G$13),0,'Parámetros Proyección'!$G$13)+IF((Z67/AI67&gt;'Parámetros Proyección'!$G$14),0,'Parámetros Proyección'!$G$14)+IF((AF67/AI67&gt;'Parámetros Proyección'!$G$15),0,'Parámetros Proyección'!$G$15)))</f>
        <v/>
      </c>
      <c r="AB67" s="35">
        <f>Z67+AA67</f>
        <v/>
      </c>
      <c r="AC67" s="35">
        <f>AH66</f>
        <v/>
      </c>
      <c r="AD67" s="35">
        <f>AC67*(1+'Parámetros Proyección'!$E$15)</f>
        <v/>
      </c>
      <c r="AE67" s="35">
        <f>AD67*'Parámetros Proyección'!$F$15</f>
        <v/>
      </c>
      <c r="AF67" s="35">
        <f>AD67+AE67</f>
        <v/>
      </c>
      <c r="AG67" s="35">
        <f>IF((AF67/AI67&gt;'Parámetros Proyección'!$G$15),0,D67*'Parámetros Proyección'!$G$15/(IF((H67/AI67&gt;'Parámetros Proyección'!$G$11),0,'Parámetros Proyección'!$G$11)+IF((N67/AI67&gt;'Parámetros Proyección'!$G$12),0,'Parámetros Proyección'!$G$12)+IF((T67/AI67&gt;'Parámetros Proyección'!$G$13),0,'Parámetros Proyección'!$G$13)+IF((Z67/AI67&gt;'Parámetros Proyección'!$G$14),0,'Parámetros Proyección'!$G$14)+IF((AF67/AI67&gt;'Parámetros Proyección'!$G$15),0,'Parámetros Proyección'!$G$15)))</f>
        <v/>
      </c>
      <c r="AH67" s="35">
        <f>AF67+AG67</f>
        <v/>
      </c>
      <c r="AI67" s="35">
        <f>H67+N67+T67+Z67+AF67</f>
        <v/>
      </c>
      <c r="AJ67" s="33">
        <f>AF67/AI67</f>
        <v/>
      </c>
      <c r="AK67">
        <f>IF(AJ67&gt;'Parámetros Proyección'!$B$5,1,0)</f>
        <v/>
      </c>
      <c r="AL67" s="35">
        <f>G67+M67+S67+Y67+AE67</f>
        <v/>
      </c>
      <c r="AM67" s="35">
        <f>AM66+D67</f>
        <v/>
      </c>
      <c r="AN67" s="35">
        <f>AN66+AL67</f>
        <v/>
      </c>
      <c r="AO67" s="35">
        <f>J67+P67+V67+AB67+AH67</f>
        <v/>
      </c>
    </row>
    <row r="68">
      <c r="A68" t="n">
        <v>65</v>
      </c>
      <c r="B68" s="34">
        <f>EDATE(B67,1)</f>
        <v/>
      </c>
      <c r="C68">
        <f>YEAR(B68)</f>
        <v/>
      </c>
      <c r="D68" s="35">
        <f>'Parámetros Proyección'!$B$3*(1+'Parámetros Proyección'!$B$4)^(C68-YEAR('Parámetros Proyección'!$B$6))</f>
        <v/>
      </c>
      <c r="E68" s="35">
        <f>J67</f>
        <v/>
      </c>
      <c r="F68" s="35">
        <f>E68*(1+'Parámetros Proyección'!$E$11)</f>
        <v/>
      </c>
      <c r="G68" s="35">
        <f>F68*'Parámetros Proyección'!$F$11</f>
        <v/>
      </c>
      <c r="H68" s="35">
        <f>F68+G68</f>
        <v/>
      </c>
      <c r="I68" s="35">
        <f>IF((H68/AI68&gt;'Parámetros Proyección'!$G$11),0,D68*'Parámetros Proyección'!$G$11/(IF((H68/AI68&gt;'Parámetros Proyección'!$G$11),0,'Parámetros Proyección'!$G$11)+IF((N68/AI68&gt;'Parámetros Proyección'!$G$12),0,'Parámetros Proyección'!$G$12)+IF((T68/AI68&gt;'Parámetros Proyección'!$G$13),0,'Parámetros Proyección'!$G$13)+IF((Z68/AI68&gt;'Parámetros Proyección'!$G$14),0,'Parámetros Proyección'!$G$14)+IF((AF68/AI68&gt;'Parámetros Proyección'!$G$15),0,'Parámetros Proyección'!$G$15)))</f>
        <v/>
      </c>
      <c r="J68" s="35">
        <f>H68+I68</f>
        <v/>
      </c>
      <c r="K68" s="35">
        <f>P67</f>
        <v/>
      </c>
      <c r="L68" s="35">
        <f>K68*(1+'Parámetros Proyección'!$E$12)</f>
        <v/>
      </c>
      <c r="M68" s="35">
        <f>L68*'Parámetros Proyección'!$F$12</f>
        <v/>
      </c>
      <c r="N68" s="35">
        <f>L68+M68</f>
        <v/>
      </c>
      <c r="O68" s="35">
        <f>IF((N68/AI68&gt;'Parámetros Proyección'!$G$12),0,D68*'Parámetros Proyección'!$G$12/(IF((H68/AI68&gt;'Parámetros Proyección'!$G$11),0,'Parámetros Proyección'!$G$11)+IF((N68/AI68&gt;'Parámetros Proyección'!$G$12),0,'Parámetros Proyección'!$G$12)+IF((T68/AI68&gt;'Parámetros Proyección'!$G$13),0,'Parámetros Proyección'!$G$13)+IF((Z68/AI68&gt;'Parámetros Proyección'!$G$14),0,'Parámetros Proyección'!$G$14)+IF((AF68/AI68&gt;'Parámetros Proyección'!$G$15),0,'Parámetros Proyección'!$G$15)))</f>
        <v/>
      </c>
      <c r="P68" s="35">
        <f>N68+O68</f>
        <v/>
      </c>
      <c r="Q68" s="35">
        <f>V67</f>
        <v/>
      </c>
      <c r="R68" s="35">
        <f>Q68*(1+'Parámetros Proyección'!$E$13)</f>
        <v/>
      </c>
      <c r="S68" s="35">
        <f>R68*'Parámetros Proyección'!$F$13</f>
        <v/>
      </c>
      <c r="T68" s="35">
        <f>R68+S68</f>
        <v/>
      </c>
      <c r="U68" s="35">
        <f>IF((T68/AI68&gt;'Parámetros Proyección'!$G$13),0,D68*'Parámetros Proyección'!$G$13/(IF((H68/AI68&gt;'Parámetros Proyección'!$G$11),0,'Parámetros Proyección'!$G$11)+IF((N68/AI68&gt;'Parámetros Proyección'!$G$12),0,'Parámetros Proyección'!$G$12)+IF((T68/AI68&gt;'Parámetros Proyección'!$G$13),0,'Parámetros Proyección'!$G$13)+IF((Z68/AI68&gt;'Parámetros Proyección'!$G$14),0,'Parámetros Proyección'!$G$14)+IF((AF68/AI68&gt;'Parámetros Proyección'!$G$15),0,'Parámetros Proyección'!$G$15)))</f>
        <v/>
      </c>
      <c r="V68" s="35">
        <f>T68+U68</f>
        <v/>
      </c>
      <c r="W68" s="35">
        <f>AB67</f>
        <v/>
      </c>
      <c r="X68" s="35">
        <f>W68*(1+'Parámetros Proyección'!$E$14)</f>
        <v/>
      </c>
      <c r="Y68" s="35">
        <f>X68*'Parámetros Proyección'!$F$14</f>
        <v/>
      </c>
      <c r="Z68" s="35">
        <f>X68+Y68</f>
        <v/>
      </c>
      <c r="AA68" s="35">
        <f>IF((Z68/AI68&gt;'Parámetros Proyección'!$G$14),0,D68*'Parámetros Proyección'!$G$14/(IF((H68/AI68&gt;'Parámetros Proyección'!$G$11),0,'Parámetros Proyección'!$G$11)+IF((N68/AI68&gt;'Parámetros Proyección'!$G$12),0,'Parámetros Proyección'!$G$12)+IF((T68/AI68&gt;'Parámetros Proyección'!$G$13),0,'Parámetros Proyección'!$G$13)+IF((Z68/AI68&gt;'Parámetros Proyección'!$G$14),0,'Parámetros Proyección'!$G$14)+IF((AF68/AI68&gt;'Parámetros Proyección'!$G$15),0,'Parámetros Proyección'!$G$15)))</f>
        <v/>
      </c>
      <c r="AB68" s="35">
        <f>Z68+AA68</f>
        <v/>
      </c>
      <c r="AC68" s="35">
        <f>AH67</f>
        <v/>
      </c>
      <c r="AD68" s="35">
        <f>AC68*(1+'Parámetros Proyección'!$E$15)</f>
        <v/>
      </c>
      <c r="AE68" s="35">
        <f>AD68*'Parámetros Proyección'!$F$15</f>
        <v/>
      </c>
      <c r="AF68" s="35">
        <f>AD68+AE68</f>
        <v/>
      </c>
      <c r="AG68" s="35">
        <f>IF((AF68/AI68&gt;'Parámetros Proyección'!$G$15),0,D68*'Parámetros Proyección'!$G$15/(IF((H68/AI68&gt;'Parámetros Proyección'!$G$11),0,'Parámetros Proyección'!$G$11)+IF((N68/AI68&gt;'Parámetros Proyección'!$G$12),0,'Parámetros Proyección'!$G$12)+IF((T68/AI68&gt;'Parámetros Proyección'!$G$13),0,'Parámetros Proyección'!$G$13)+IF((Z68/AI68&gt;'Parámetros Proyección'!$G$14),0,'Parámetros Proyección'!$G$14)+IF((AF68/AI68&gt;'Parámetros Proyección'!$G$15),0,'Parámetros Proyección'!$G$15)))</f>
        <v/>
      </c>
      <c r="AH68" s="35">
        <f>AF68+AG68</f>
        <v/>
      </c>
      <c r="AI68" s="35">
        <f>H68+N68+T68+Z68+AF68</f>
        <v/>
      </c>
      <c r="AJ68" s="33">
        <f>AF68/AI68</f>
        <v/>
      </c>
      <c r="AK68">
        <f>IF(AJ68&gt;'Parámetros Proyección'!$B$5,1,0)</f>
        <v/>
      </c>
      <c r="AL68" s="35">
        <f>G68+M68+S68+Y68+AE68</f>
        <v/>
      </c>
      <c r="AM68" s="35">
        <f>AM67+D68</f>
        <v/>
      </c>
      <c r="AN68" s="35">
        <f>AN67+AL68</f>
        <v/>
      </c>
      <c r="AO68" s="35">
        <f>J68+P68+V68+AB68+AH68</f>
        <v/>
      </c>
    </row>
    <row r="69">
      <c r="A69" t="n">
        <v>66</v>
      </c>
      <c r="B69" s="34">
        <f>EDATE(B68,1)</f>
        <v/>
      </c>
      <c r="C69">
        <f>YEAR(B69)</f>
        <v/>
      </c>
      <c r="D69" s="35">
        <f>'Parámetros Proyección'!$B$3*(1+'Parámetros Proyección'!$B$4)^(C69-YEAR('Parámetros Proyección'!$B$6))</f>
        <v/>
      </c>
      <c r="E69" s="35">
        <f>J68</f>
        <v/>
      </c>
      <c r="F69" s="35">
        <f>E69*(1+'Parámetros Proyección'!$E$11)</f>
        <v/>
      </c>
      <c r="G69" s="35">
        <f>F69*'Parámetros Proyección'!$F$11</f>
        <v/>
      </c>
      <c r="H69" s="35">
        <f>F69+G69</f>
        <v/>
      </c>
      <c r="I69" s="35">
        <f>IF((H69/AI69&gt;'Parámetros Proyección'!$G$11),0,D69*'Parámetros Proyección'!$G$11/(IF((H69/AI69&gt;'Parámetros Proyección'!$G$11),0,'Parámetros Proyección'!$G$11)+IF((N69/AI69&gt;'Parámetros Proyección'!$G$12),0,'Parámetros Proyección'!$G$12)+IF((T69/AI69&gt;'Parámetros Proyección'!$G$13),0,'Parámetros Proyección'!$G$13)+IF((Z69/AI69&gt;'Parámetros Proyección'!$G$14),0,'Parámetros Proyección'!$G$14)+IF((AF69/AI69&gt;'Parámetros Proyección'!$G$15),0,'Parámetros Proyección'!$G$15)))</f>
        <v/>
      </c>
      <c r="J69" s="35">
        <f>H69+I69</f>
        <v/>
      </c>
      <c r="K69" s="35">
        <f>P68</f>
        <v/>
      </c>
      <c r="L69" s="35">
        <f>K69*(1+'Parámetros Proyección'!$E$12)</f>
        <v/>
      </c>
      <c r="M69" s="35">
        <f>L69*'Parámetros Proyección'!$F$12</f>
        <v/>
      </c>
      <c r="N69" s="35">
        <f>L69+M69</f>
        <v/>
      </c>
      <c r="O69" s="35">
        <f>IF((N69/AI69&gt;'Parámetros Proyección'!$G$12),0,D69*'Parámetros Proyección'!$G$12/(IF((H69/AI69&gt;'Parámetros Proyección'!$G$11),0,'Parámetros Proyección'!$G$11)+IF((N69/AI69&gt;'Parámetros Proyección'!$G$12),0,'Parámetros Proyección'!$G$12)+IF((T69/AI69&gt;'Parámetros Proyección'!$G$13),0,'Parámetros Proyección'!$G$13)+IF((Z69/AI69&gt;'Parámetros Proyección'!$G$14),0,'Parámetros Proyección'!$G$14)+IF((AF69/AI69&gt;'Parámetros Proyección'!$G$15),0,'Parámetros Proyección'!$G$15)))</f>
        <v/>
      </c>
      <c r="P69" s="35">
        <f>N69+O69</f>
        <v/>
      </c>
      <c r="Q69" s="35">
        <f>V68</f>
        <v/>
      </c>
      <c r="R69" s="35">
        <f>Q69*(1+'Parámetros Proyección'!$E$13)</f>
        <v/>
      </c>
      <c r="S69" s="35">
        <f>R69*'Parámetros Proyección'!$F$13</f>
        <v/>
      </c>
      <c r="T69" s="35">
        <f>R69+S69</f>
        <v/>
      </c>
      <c r="U69" s="35">
        <f>IF((T69/AI69&gt;'Parámetros Proyección'!$G$13),0,D69*'Parámetros Proyección'!$G$13/(IF((H69/AI69&gt;'Parámetros Proyección'!$G$11),0,'Parámetros Proyección'!$G$11)+IF((N69/AI69&gt;'Parámetros Proyección'!$G$12),0,'Parámetros Proyección'!$G$12)+IF((T69/AI69&gt;'Parámetros Proyección'!$G$13),0,'Parámetros Proyección'!$G$13)+IF((Z69/AI69&gt;'Parámetros Proyección'!$G$14),0,'Parámetros Proyección'!$G$14)+IF((AF69/AI69&gt;'Parámetros Proyección'!$G$15),0,'Parámetros Proyección'!$G$15)))</f>
        <v/>
      </c>
      <c r="V69" s="35">
        <f>T69+U69</f>
        <v/>
      </c>
      <c r="W69" s="35">
        <f>AB68</f>
        <v/>
      </c>
      <c r="X69" s="35">
        <f>W69*(1+'Parámetros Proyección'!$E$14)</f>
        <v/>
      </c>
      <c r="Y69" s="35">
        <f>X69*'Parámetros Proyección'!$F$14</f>
        <v/>
      </c>
      <c r="Z69" s="35">
        <f>X69+Y69</f>
        <v/>
      </c>
      <c r="AA69" s="35">
        <f>IF((Z69/AI69&gt;'Parámetros Proyección'!$G$14),0,D69*'Parámetros Proyección'!$G$14/(IF((H69/AI69&gt;'Parámetros Proyección'!$G$11),0,'Parámetros Proyección'!$G$11)+IF((N69/AI69&gt;'Parámetros Proyección'!$G$12),0,'Parámetros Proyección'!$G$12)+IF((T69/AI69&gt;'Parámetros Proyección'!$G$13),0,'Parámetros Proyección'!$G$13)+IF((Z69/AI69&gt;'Parámetros Proyección'!$G$14),0,'Parámetros Proyección'!$G$14)+IF((AF69/AI69&gt;'Parámetros Proyección'!$G$15),0,'Parámetros Proyección'!$G$15)))</f>
        <v/>
      </c>
      <c r="AB69" s="35">
        <f>Z69+AA69</f>
        <v/>
      </c>
      <c r="AC69" s="35">
        <f>AH68</f>
        <v/>
      </c>
      <c r="AD69" s="35">
        <f>AC69*(1+'Parámetros Proyección'!$E$15)</f>
        <v/>
      </c>
      <c r="AE69" s="35">
        <f>AD69*'Parámetros Proyección'!$F$15</f>
        <v/>
      </c>
      <c r="AF69" s="35">
        <f>AD69+AE69</f>
        <v/>
      </c>
      <c r="AG69" s="35">
        <f>IF((AF69/AI69&gt;'Parámetros Proyección'!$G$15),0,D69*'Parámetros Proyección'!$G$15/(IF((H69/AI69&gt;'Parámetros Proyección'!$G$11),0,'Parámetros Proyección'!$G$11)+IF((N69/AI69&gt;'Parámetros Proyección'!$G$12),0,'Parámetros Proyección'!$G$12)+IF((T69/AI69&gt;'Parámetros Proyección'!$G$13),0,'Parámetros Proyección'!$G$13)+IF((Z69/AI69&gt;'Parámetros Proyección'!$G$14),0,'Parámetros Proyección'!$G$14)+IF((AF69/AI69&gt;'Parámetros Proyección'!$G$15),0,'Parámetros Proyección'!$G$15)))</f>
        <v/>
      </c>
      <c r="AH69" s="35">
        <f>AF69+AG69</f>
        <v/>
      </c>
      <c r="AI69" s="35">
        <f>H69+N69+T69+Z69+AF69</f>
        <v/>
      </c>
      <c r="AJ69" s="33">
        <f>AF69/AI69</f>
        <v/>
      </c>
      <c r="AK69">
        <f>IF(AJ69&gt;'Parámetros Proyección'!$B$5,1,0)</f>
        <v/>
      </c>
      <c r="AL69" s="35">
        <f>G69+M69+S69+Y69+AE69</f>
        <v/>
      </c>
      <c r="AM69" s="35">
        <f>AM68+D69</f>
        <v/>
      </c>
      <c r="AN69" s="35">
        <f>AN68+AL69</f>
        <v/>
      </c>
      <c r="AO69" s="35">
        <f>J69+P69+V69+AB69+AH69</f>
        <v/>
      </c>
    </row>
    <row r="70">
      <c r="A70" t="n">
        <v>67</v>
      </c>
      <c r="B70" s="34">
        <f>EDATE(B69,1)</f>
        <v/>
      </c>
      <c r="C70">
        <f>YEAR(B70)</f>
        <v/>
      </c>
      <c r="D70" s="35">
        <f>'Parámetros Proyección'!$B$3*(1+'Parámetros Proyección'!$B$4)^(C70-YEAR('Parámetros Proyección'!$B$6))</f>
        <v/>
      </c>
      <c r="E70" s="35">
        <f>J69</f>
        <v/>
      </c>
      <c r="F70" s="35">
        <f>E70*(1+'Parámetros Proyección'!$E$11)</f>
        <v/>
      </c>
      <c r="G70" s="35">
        <f>F70*'Parámetros Proyección'!$F$11</f>
        <v/>
      </c>
      <c r="H70" s="35">
        <f>F70+G70</f>
        <v/>
      </c>
      <c r="I70" s="35">
        <f>IF((H70/AI70&gt;'Parámetros Proyección'!$G$11),0,D70*'Parámetros Proyección'!$G$11/(IF((H70/AI70&gt;'Parámetros Proyección'!$G$11),0,'Parámetros Proyección'!$G$11)+IF((N70/AI70&gt;'Parámetros Proyección'!$G$12),0,'Parámetros Proyección'!$G$12)+IF((T70/AI70&gt;'Parámetros Proyección'!$G$13),0,'Parámetros Proyección'!$G$13)+IF((Z70/AI70&gt;'Parámetros Proyección'!$G$14),0,'Parámetros Proyección'!$G$14)+IF((AF70/AI70&gt;'Parámetros Proyección'!$G$15),0,'Parámetros Proyección'!$G$15)))</f>
        <v/>
      </c>
      <c r="J70" s="35">
        <f>H70+I70</f>
        <v/>
      </c>
      <c r="K70" s="35">
        <f>P69</f>
        <v/>
      </c>
      <c r="L70" s="35">
        <f>K70*(1+'Parámetros Proyección'!$E$12)</f>
        <v/>
      </c>
      <c r="M70" s="35">
        <f>L70*'Parámetros Proyección'!$F$12</f>
        <v/>
      </c>
      <c r="N70" s="35">
        <f>L70+M70</f>
        <v/>
      </c>
      <c r="O70" s="35">
        <f>IF((N70/AI70&gt;'Parámetros Proyección'!$G$12),0,D70*'Parámetros Proyección'!$G$12/(IF((H70/AI70&gt;'Parámetros Proyección'!$G$11),0,'Parámetros Proyección'!$G$11)+IF((N70/AI70&gt;'Parámetros Proyección'!$G$12),0,'Parámetros Proyección'!$G$12)+IF((T70/AI70&gt;'Parámetros Proyección'!$G$13),0,'Parámetros Proyección'!$G$13)+IF((Z70/AI70&gt;'Parámetros Proyección'!$G$14),0,'Parámetros Proyección'!$G$14)+IF((AF70/AI70&gt;'Parámetros Proyección'!$G$15),0,'Parámetros Proyección'!$G$15)))</f>
        <v/>
      </c>
      <c r="P70" s="35">
        <f>N70+O70</f>
        <v/>
      </c>
      <c r="Q70" s="35">
        <f>V69</f>
        <v/>
      </c>
      <c r="R70" s="35">
        <f>Q70*(1+'Parámetros Proyección'!$E$13)</f>
        <v/>
      </c>
      <c r="S70" s="35">
        <f>R70*'Parámetros Proyección'!$F$13</f>
        <v/>
      </c>
      <c r="T70" s="35">
        <f>R70+S70</f>
        <v/>
      </c>
      <c r="U70" s="35">
        <f>IF((T70/AI70&gt;'Parámetros Proyección'!$G$13),0,D70*'Parámetros Proyección'!$G$13/(IF((H70/AI70&gt;'Parámetros Proyección'!$G$11),0,'Parámetros Proyección'!$G$11)+IF((N70/AI70&gt;'Parámetros Proyección'!$G$12),0,'Parámetros Proyección'!$G$12)+IF((T70/AI70&gt;'Parámetros Proyección'!$G$13),0,'Parámetros Proyección'!$G$13)+IF((Z70/AI70&gt;'Parámetros Proyección'!$G$14),0,'Parámetros Proyección'!$G$14)+IF((AF70/AI70&gt;'Parámetros Proyección'!$G$15),0,'Parámetros Proyección'!$G$15)))</f>
        <v/>
      </c>
      <c r="V70" s="35">
        <f>T70+U70</f>
        <v/>
      </c>
      <c r="W70" s="35">
        <f>AB69</f>
        <v/>
      </c>
      <c r="X70" s="35">
        <f>W70*(1+'Parámetros Proyección'!$E$14)</f>
        <v/>
      </c>
      <c r="Y70" s="35">
        <f>X70*'Parámetros Proyección'!$F$14</f>
        <v/>
      </c>
      <c r="Z70" s="35">
        <f>X70+Y70</f>
        <v/>
      </c>
      <c r="AA70" s="35">
        <f>IF((Z70/AI70&gt;'Parámetros Proyección'!$G$14),0,D70*'Parámetros Proyección'!$G$14/(IF((H70/AI70&gt;'Parámetros Proyección'!$G$11),0,'Parámetros Proyección'!$G$11)+IF((N70/AI70&gt;'Parámetros Proyección'!$G$12),0,'Parámetros Proyección'!$G$12)+IF((T70/AI70&gt;'Parámetros Proyección'!$G$13),0,'Parámetros Proyección'!$G$13)+IF((Z70/AI70&gt;'Parámetros Proyección'!$G$14),0,'Parámetros Proyección'!$G$14)+IF((AF70/AI70&gt;'Parámetros Proyección'!$G$15),0,'Parámetros Proyección'!$G$15)))</f>
        <v/>
      </c>
      <c r="AB70" s="35">
        <f>Z70+AA70</f>
        <v/>
      </c>
      <c r="AC70" s="35">
        <f>AH69</f>
        <v/>
      </c>
      <c r="AD70" s="35">
        <f>AC70*(1+'Parámetros Proyección'!$E$15)</f>
        <v/>
      </c>
      <c r="AE70" s="35">
        <f>AD70*'Parámetros Proyección'!$F$15</f>
        <v/>
      </c>
      <c r="AF70" s="35">
        <f>AD70+AE70</f>
        <v/>
      </c>
      <c r="AG70" s="35">
        <f>IF((AF70/AI70&gt;'Parámetros Proyección'!$G$15),0,D70*'Parámetros Proyección'!$G$15/(IF((H70/AI70&gt;'Parámetros Proyección'!$G$11),0,'Parámetros Proyección'!$G$11)+IF((N70/AI70&gt;'Parámetros Proyección'!$G$12),0,'Parámetros Proyección'!$G$12)+IF((T70/AI70&gt;'Parámetros Proyección'!$G$13),0,'Parámetros Proyección'!$G$13)+IF((Z70/AI70&gt;'Parámetros Proyección'!$G$14),0,'Parámetros Proyección'!$G$14)+IF((AF70/AI70&gt;'Parámetros Proyección'!$G$15),0,'Parámetros Proyección'!$G$15)))</f>
        <v/>
      </c>
      <c r="AH70" s="35">
        <f>AF70+AG70</f>
        <v/>
      </c>
      <c r="AI70" s="35">
        <f>H70+N70+T70+Z70+AF70</f>
        <v/>
      </c>
      <c r="AJ70" s="33">
        <f>AF70/AI70</f>
        <v/>
      </c>
      <c r="AK70">
        <f>IF(AJ70&gt;'Parámetros Proyección'!$B$5,1,0)</f>
        <v/>
      </c>
      <c r="AL70" s="35">
        <f>G70+M70+S70+Y70+AE70</f>
        <v/>
      </c>
      <c r="AM70" s="35">
        <f>AM69+D70</f>
        <v/>
      </c>
      <c r="AN70" s="35">
        <f>AN69+AL70</f>
        <v/>
      </c>
      <c r="AO70" s="35">
        <f>J70+P70+V70+AB70+AH70</f>
        <v/>
      </c>
    </row>
    <row r="71">
      <c r="A71" t="n">
        <v>68</v>
      </c>
      <c r="B71" s="34">
        <f>EDATE(B70,1)</f>
        <v/>
      </c>
      <c r="C71">
        <f>YEAR(B71)</f>
        <v/>
      </c>
      <c r="D71" s="35">
        <f>'Parámetros Proyección'!$B$3*(1+'Parámetros Proyección'!$B$4)^(C71-YEAR('Parámetros Proyección'!$B$6))</f>
        <v/>
      </c>
      <c r="E71" s="35">
        <f>J70</f>
        <v/>
      </c>
      <c r="F71" s="35">
        <f>E71*(1+'Parámetros Proyección'!$E$11)</f>
        <v/>
      </c>
      <c r="G71" s="35">
        <f>F71*'Parámetros Proyección'!$F$11</f>
        <v/>
      </c>
      <c r="H71" s="35">
        <f>F71+G71</f>
        <v/>
      </c>
      <c r="I71" s="35">
        <f>IF((H71/AI71&gt;'Parámetros Proyección'!$G$11),0,D71*'Parámetros Proyección'!$G$11/(IF((H71/AI71&gt;'Parámetros Proyección'!$G$11),0,'Parámetros Proyección'!$G$11)+IF((N71/AI71&gt;'Parámetros Proyección'!$G$12),0,'Parámetros Proyección'!$G$12)+IF((T71/AI71&gt;'Parámetros Proyección'!$G$13),0,'Parámetros Proyección'!$G$13)+IF((Z71/AI71&gt;'Parámetros Proyección'!$G$14),0,'Parámetros Proyección'!$G$14)+IF((AF71/AI71&gt;'Parámetros Proyección'!$G$15),0,'Parámetros Proyección'!$G$15)))</f>
        <v/>
      </c>
      <c r="J71" s="35">
        <f>H71+I71</f>
        <v/>
      </c>
      <c r="K71" s="35">
        <f>P70</f>
        <v/>
      </c>
      <c r="L71" s="35">
        <f>K71*(1+'Parámetros Proyección'!$E$12)</f>
        <v/>
      </c>
      <c r="M71" s="35">
        <f>L71*'Parámetros Proyección'!$F$12</f>
        <v/>
      </c>
      <c r="N71" s="35">
        <f>L71+M71</f>
        <v/>
      </c>
      <c r="O71" s="35">
        <f>IF((N71/AI71&gt;'Parámetros Proyección'!$G$12),0,D71*'Parámetros Proyección'!$G$12/(IF((H71/AI71&gt;'Parámetros Proyección'!$G$11),0,'Parámetros Proyección'!$G$11)+IF((N71/AI71&gt;'Parámetros Proyección'!$G$12),0,'Parámetros Proyección'!$G$12)+IF((T71/AI71&gt;'Parámetros Proyección'!$G$13),0,'Parámetros Proyección'!$G$13)+IF((Z71/AI71&gt;'Parámetros Proyección'!$G$14),0,'Parámetros Proyección'!$G$14)+IF((AF71/AI71&gt;'Parámetros Proyección'!$G$15),0,'Parámetros Proyección'!$G$15)))</f>
        <v/>
      </c>
      <c r="P71" s="35">
        <f>N71+O71</f>
        <v/>
      </c>
      <c r="Q71" s="35">
        <f>V70</f>
        <v/>
      </c>
      <c r="R71" s="35">
        <f>Q71*(1+'Parámetros Proyección'!$E$13)</f>
        <v/>
      </c>
      <c r="S71" s="35">
        <f>R71*'Parámetros Proyección'!$F$13</f>
        <v/>
      </c>
      <c r="T71" s="35">
        <f>R71+S71</f>
        <v/>
      </c>
      <c r="U71" s="35">
        <f>IF((T71/AI71&gt;'Parámetros Proyección'!$G$13),0,D71*'Parámetros Proyección'!$G$13/(IF((H71/AI71&gt;'Parámetros Proyección'!$G$11),0,'Parámetros Proyección'!$G$11)+IF((N71/AI71&gt;'Parámetros Proyección'!$G$12),0,'Parámetros Proyección'!$G$12)+IF((T71/AI71&gt;'Parámetros Proyección'!$G$13),0,'Parámetros Proyección'!$G$13)+IF((Z71/AI71&gt;'Parámetros Proyección'!$G$14),0,'Parámetros Proyección'!$G$14)+IF((AF71/AI71&gt;'Parámetros Proyección'!$G$15),0,'Parámetros Proyección'!$G$15)))</f>
        <v/>
      </c>
      <c r="V71" s="35">
        <f>T71+U71</f>
        <v/>
      </c>
      <c r="W71" s="35">
        <f>AB70</f>
        <v/>
      </c>
      <c r="X71" s="35">
        <f>W71*(1+'Parámetros Proyección'!$E$14)</f>
        <v/>
      </c>
      <c r="Y71" s="35">
        <f>X71*'Parámetros Proyección'!$F$14</f>
        <v/>
      </c>
      <c r="Z71" s="35">
        <f>X71+Y71</f>
        <v/>
      </c>
      <c r="AA71" s="35">
        <f>IF((Z71/AI71&gt;'Parámetros Proyección'!$G$14),0,D71*'Parámetros Proyección'!$G$14/(IF((H71/AI71&gt;'Parámetros Proyección'!$G$11),0,'Parámetros Proyección'!$G$11)+IF((N71/AI71&gt;'Parámetros Proyección'!$G$12),0,'Parámetros Proyección'!$G$12)+IF((T71/AI71&gt;'Parámetros Proyección'!$G$13),0,'Parámetros Proyección'!$G$13)+IF((Z71/AI71&gt;'Parámetros Proyección'!$G$14),0,'Parámetros Proyección'!$G$14)+IF((AF71/AI71&gt;'Parámetros Proyección'!$G$15),0,'Parámetros Proyección'!$G$15)))</f>
        <v/>
      </c>
      <c r="AB71" s="35">
        <f>Z71+AA71</f>
        <v/>
      </c>
      <c r="AC71" s="35">
        <f>AH70</f>
        <v/>
      </c>
      <c r="AD71" s="35">
        <f>AC71*(1+'Parámetros Proyección'!$E$15)</f>
        <v/>
      </c>
      <c r="AE71" s="35">
        <f>AD71*'Parámetros Proyección'!$F$15</f>
        <v/>
      </c>
      <c r="AF71" s="35">
        <f>AD71+AE71</f>
        <v/>
      </c>
      <c r="AG71" s="35">
        <f>IF((AF71/AI71&gt;'Parámetros Proyección'!$G$15),0,D71*'Parámetros Proyección'!$G$15/(IF((H71/AI71&gt;'Parámetros Proyección'!$G$11),0,'Parámetros Proyección'!$G$11)+IF((N71/AI71&gt;'Parámetros Proyección'!$G$12),0,'Parámetros Proyección'!$G$12)+IF((T71/AI71&gt;'Parámetros Proyección'!$G$13),0,'Parámetros Proyección'!$G$13)+IF((Z71/AI71&gt;'Parámetros Proyección'!$G$14),0,'Parámetros Proyección'!$G$14)+IF((AF71/AI71&gt;'Parámetros Proyección'!$G$15),0,'Parámetros Proyección'!$G$15)))</f>
        <v/>
      </c>
      <c r="AH71" s="35">
        <f>AF71+AG71</f>
        <v/>
      </c>
      <c r="AI71" s="35">
        <f>H71+N71+T71+Z71+AF71</f>
        <v/>
      </c>
      <c r="AJ71" s="33">
        <f>AF71/AI71</f>
        <v/>
      </c>
      <c r="AK71">
        <f>IF(AJ71&gt;'Parámetros Proyección'!$B$5,1,0)</f>
        <v/>
      </c>
      <c r="AL71" s="35">
        <f>G71+M71+S71+Y71+AE71</f>
        <v/>
      </c>
      <c r="AM71" s="35">
        <f>AM70+D71</f>
        <v/>
      </c>
      <c r="AN71" s="35">
        <f>AN70+AL71</f>
        <v/>
      </c>
      <c r="AO71" s="35">
        <f>J71+P71+V71+AB71+AH71</f>
        <v/>
      </c>
    </row>
    <row r="72">
      <c r="A72" t="n">
        <v>69</v>
      </c>
      <c r="B72" s="34">
        <f>EDATE(B71,1)</f>
        <v/>
      </c>
      <c r="C72">
        <f>YEAR(B72)</f>
        <v/>
      </c>
      <c r="D72" s="35">
        <f>'Parámetros Proyección'!$B$3*(1+'Parámetros Proyección'!$B$4)^(C72-YEAR('Parámetros Proyección'!$B$6))</f>
        <v/>
      </c>
      <c r="E72" s="35">
        <f>J71</f>
        <v/>
      </c>
      <c r="F72" s="35">
        <f>E72*(1+'Parámetros Proyección'!$E$11)</f>
        <v/>
      </c>
      <c r="G72" s="35">
        <f>F72*'Parámetros Proyección'!$F$11</f>
        <v/>
      </c>
      <c r="H72" s="35">
        <f>F72+G72</f>
        <v/>
      </c>
      <c r="I72" s="35">
        <f>IF((H72/AI72&gt;'Parámetros Proyección'!$G$11),0,D72*'Parámetros Proyección'!$G$11/(IF((H72/AI72&gt;'Parámetros Proyección'!$G$11),0,'Parámetros Proyección'!$G$11)+IF((N72/AI72&gt;'Parámetros Proyección'!$G$12),0,'Parámetros Proyección'!$G$12)+IF((T72/AI72&gt;'Parámetros Proyección'!$G$13),0,'Parámetros Proyección'!$G$13)+IF((Z72/AI72&gt;'Parámetros Proyección'!$G$14),0,'Parámetros Proyección'!$G$14)+IF((AF72/AI72&gt;'Parámetros Proyección'!$G$15),0,'Parámetros Proyección'!$G$15)))</f>
        <v/>
      </c>
      <c r="J72" s="35">
        <f>H72+I72</f>
        <v/>
      </c>
      <c r="K72" s="35">
        <f>P71</f>
        <v/>
      </c>
      <c r="L72" s="35">
        <f>K72*(1+'Parámetros Proyección'!$E$12)</f>
        <v/>
      </c>
      <c r="M72" s="35">
        <f>L72*'Parámetros Proyección'!$F$12</f>
        <v/>
      </c>
      <c r="N72" s="35">
        <f>L72+M72</f>
        <v/>
      </c>
      <c r="O72" s="35">
        <f>IF((N72/AI72&gt;'Parámetros Proyección'!$G$12),0,D72*'Parámetros Proyección'!$G$12/(IF((H72/AI72&gt;'Parámetros Proyección'!$G$11),0,'Parámetros Proyección'!$G$11)+IF((N72/AI72&gt;'Parámetros Proyección'!$G$12),0,'Parámetros Proyección'!$G$12)+IF((T72/AI72&gt;'Parámetros Proyección'!$G$13),0,'Parámetros Proyección'!$G$13)+IF((Z72/AI72&gt;'Parámetros Proyección'!$G$14),0,'Parámetros Proyección'!$G$14)+IF((AF72/AI72&gt;'Parámetros Proyección'!$G$15),0,'Parámetros Proyección'!$G$15)))</f>
        <v/>
      </c>
      <c r="P72" s="35">
        <f>N72+O72</f>
        <v/>
      </c>
      <c r="Q72" s="35">
        <f>V71</f>
        <v/>
      </c>
      <c r="R72" s="35">
        <f>Q72*(1+'Parámetros Proyección'!$E$13)</f>
        <v/>
      </c>
      <c r="S72" s="35">
        <f>R72*'Parámetros Proyección'!$F$13</f>
        <v/>
      </c>
      <c r="T72" s="35">
        <f>R72+S72</f>
        <v/>
      </c>
      <c r="U72" s="35">
        <f>IF((T72/AI72&gt;'Parámetros Proyección'!$G$13),0,D72*'Parámetros Proyección'!$G$13/(IF((H72/AI72&gt;'Parámetros Proyección'!$G$11),0,'Parámetros Proyección'!$G$11)+IF((N72/AI72&gt;'Parámetros Proyección'!$G$12),0,'Parámetros Proyección'!$G$12)+IF((T72/AI72&gt;'Parámetros Proyección'!$G$13),0,'Parámetros Proyección'!$G$13)+IF((Z72/AI72&gt;'Parámetros Proyección'!$G$14),0,'Parámetros Proyección'!$G$14)+IF((AF72/AI72&gt;'Parámetros Proyección'!$G$15),0,'Parámetros Proyección'!$G$15)))</f>
        <v/>
      </c>
      <c r="V72" s="35">
        <f>T72+U72</f>
        <v/>
      </c>
      <c r="W72" s="35">
        <f>AB71</f>
        <v/>
      </c>
      <c r="X72" s="35">
        <f>W72*(1+'Parámetros Proyección'!$E$14)</f>
        <v/>
      </c>
      <c r="Y72" s="35">
        <f>X72*'Parámetros Proyección'!$F$14</f>
        <v/>
      </c>
      <c r="Z72" s="35">
        <f>X72+Y72</f>
        <v/>
      </c>
      <c r="AA72" s="35">
        <f>IF((Z72/AI72&gt;'Parámetros Proyección'!$G$14),0,D72*'Parámetros Proyección'!$G$14/(IF((H72/AI72&gt;'Parámetros Proyección'!$G$11),0,'Parámetros Proyección'!$G$11)+IF((N72/AI72&gt;'Parámetros Proyección'!$G$12),0,'Parámetros Proyección'!$G$12)+IF((T72/AI72&gt;'Parámetros Proyección'!$G$13),0,'Parámetros Proyección'!$G$13)+IF((Z72/AI72&gt;'Parámetros Proyección'!$G$14),0,'Parámetros Proyección'!$G$14)+IF((AF72/AI72&gt;'Parámetros Proyección'!$G$15),0,'Parámetros Proyección'!$G$15)))</f>
        <v/>
      </c>
      <c r="AB72" s="35">
        <f>Z72+AA72</f>
        <v/>
      </c>
      <c r="AC72" s="35">
        <f>AH71</f>
        <v/>
      </c>
      <c r="AD72" s="35">
        <f>AC72*(1+'Parámetros Proyección'!$E$15)</f>
        <v/>
      </c>
      <c r="AE72" s="35">
        <f>AD72*'Parámetros Proyección'!$F$15</f>
        <v/>
      </c>
      <c r="AF72" s="35">
        <f>AD72+AE72</f>
        <v/>
      </c>
      <c r="AG72" s="35">
        <f>IF((AF72/AI72&gt;'Parámetros Proyección'!$G$15),0,D72*'Parámetros Proyección'!$G$15/(IF((H72/AI72&gt;'Parámetros Proyección'!$G$11),0,'Parámetros Proyección'!$G$11)+IF((N72/AI72&gt;'Parámetros Proyección'!$G$12),0,'Parámetros Proyección'!$G$12)+IF((T72/AI72&gt;'Parámetros Proyección'!$G$13),0,'Parámetros Proyección'!$G$13)+IF((Z72/AI72&gt;'Parámetros Proyección'!$G$14),0,'Parámetros Proyección'!$G$14)+IF((AF72/AI72&gt;'Parámetros Proyección'!$G$15),0,'Parámetros Proyección'!$G$15)))</f>
        <v/>
      </c>
      <c r="AH72" s="35">
        <f>AF72+AG72</f>
        <v/>
      </c>
      <c r="AI72" s="35">
        <f>H72+N72+T72+Z72+AF72</f>
        <v/>
      </c>
      <c r="AJ72" s="33">
        <f>AF72/AI72</f>
        <v/>
      </c>
      <c r="AK72">
        <f>IF(AJ72&gt;'Parámetros Proyección'!$B$5,1,0)</f>
        <v/>
      </c>
      <c r="AL72" s="35">
        <f>G72+M72+S72+Y72+AE72</f>
        <v/>
      </c>
      <c r="AM72" s="35">
        <f>AM71+D72</f>
        <v/>
      </c>
      <c r="AN72" s="35">
        <f>AN71+AL72</f>
        <v/>
      </c>
      <c r="AO72" s="35">
        <f>J72+P72+V72+AB72+AH72</f>
        <v/>
      </c>
    </row>
    <row r="73">
      <c r="A73" t="n">
        <v>70</v>
      </c>
      <c r="B73" s="34">
        <f>EDATE(B72,1)</f>
        <v/>
      </c>
      <c r="C73">
        <f>YEAR(B73)</f>
        <v/>
      </c>
      <c r="D73" s="35">
        <f>'Parámetros Proyección'!$B$3*(1+'Parámetros Proyección'!$B$4)^(C73-YEAR('Parámetros Proyección'!$B$6))</f>
        <v/>
      </c>
      <c r="E73" s="35">
        <f>J72</f>
        <v/>
      </c>
      <c r="F73" s="35">
        <f>E73*(1+'Parámetros Proyección'!$E$11)</f>
        <v/>
      </c>
      <c r="G73" s="35">
        <f>F73*'Parámetros Proyección'!$F$11</f>
        <v/>
      </c>
      <c r="H73" s="35">
        <f>F73+G73</f>
        <v/>
      </c>
      <c r="I73" s="35">
        <f>IF((H73/AI73&gt;'Parámetros Proyección'!$G$11),0,D73*'Parámetros Proyección'!$G$11/(IF((H73/AI73&gt;'Parámetros Proyección'!$G$11),0,'Parámetros Proyección'!$G$11)+IF((N73/AI73&gt;'Parámetros Proyección'!$G$12),0,'Parámetros Proyección'!$G$12)+IF((T73/AI73&gt;'Parámetros Proyección'!$G$13),0,'Parámetros Proyección'!$G$13)+IF((Z73/AI73&gt;'Parámetros Proyección'!$G$14),0,'Parámetros Proyección'!$G$14)+IF((AF73/AI73&gt;'Parámetros Proyección'!$G$15),0,'Parámetros Proyección'!$G$15)))</f>
        <v/>
      </c>
      <c r="J73" s="35">
        <f>H73+I73</f>
        <v/>
      </c>
      <c r="K73" s="35">
        <f>P72</f>
        <v/>
      </c>
      <c r="L73" s="35">
        <f>K73*(1+'Parámetros Proyección'!$E$12)</f>
        <v/>
      </c>
      <c r="M73" s="35">
        <f>L73*'Parámetros Proyección'!$F$12</f>
        <v/>
      </c>
      <c r="N73" s="35">
        <f>L73+M73</f>
        <v/>
      </c>
      <c r="O73" s="35">
        <f>IF((N73/AI73&gt;'Parámetros Proyección'!$G$12),0,D73*'Parámetros Proyección'!$G$12/(IF((H73/AI73&gt;'Parámetros Proyección'!$G$11),0,'Parámetros Proyección'!$G$11)+IF((N73/AI73&gt;'Parámetros Proyección'!$G$12),0,'Parámetros Proyección'!$G$12)+IF((T73/AI73&gt;'Parámetros Proyección'!$G$13),0,'Parámetros Proyección'!$G$13)+IF((Z73/AI73&gt;'Parámetros Proyección'!$G$14),0,'Parámetros Proyección'!$G$14)+IF((AF73/AI73&gt;'Parámetros Proyección'!$G$15),0,'Parámetros Proyección'!$G$15)))</f>
        <v/>
      </c>
      <c r="P73" s="35">
        <f>N73+O73</f>
        <v/>
      </c>
      <c r="Q73" s="35">
        <f>V72</f>
        <v/>
      </c>
      <c r="R73" s="35">
        <f>Q73*(1+'Parámetros Proyección'!$E$13)</f>
        <v/>
      </c>
      <c r="S73" s="35">
        <f>R73*'Parámetros Proyección'!$F$13</f>
        <v/>
      </c>
      <c r="T73" s="35">
        <f>R73+S73</f>
        <v/>
      </c>
      <c r="U73" s="35">
        <f>IF((T73/AI73&gt;'Parámetros Proyección'!$G$13),0,D73*'Parámetros Proyección'!$G$13/(IF((H73/AI73&gt;'Parámetros Proyección'!$G$11),0,'Parámetros Proyección'!$G$11)+IF((N73/AI73&gt;'Parámetros Proyección'!$G$12),0,'Parámetros Proyección'!$G$12)+IF((T73/AI73&gt;'Parámetros Proyección'!$G$13),0,'Parámetros Proyección'!$G$13)+IF((Z73/AI73&gt;'Parámetros Proyección'!$G$14),0,'Parámetros Proyección'!$G$14)+IF((AF73/AI73&gt;'Parámetros Proyección'!$G$15),0,'Parámetros Proyección'!$G$15)))</f>
        <v/>
      </c>
      <c r="V73" s="35">
        <f>T73+U73</f>
        <v/>
      </c>
      <c r="W73" s="35">
        <f>AB72</f>
        <v/>
      </c>
      <c r="X73" s="35">
        <f>W73*(1+'Parámetros Proyección'!$E$14)</f>
        <v/>
      </c>
      <c r="Y73" s="35">
        <f>X73*'Parámetros Proyección'!$F$14</f>
        <v/>
      </c>
      <c r="Z73" s="35">
        <f>X73+Y73</f>
        <v/>
      </c>
      <c r="AA73" s="35">
        <f>IF((Z73/AI73&gt;'Parámetros Proyección'!$G$14),0,D73*'Parámetros Proyección'!$G$14/(IF((H73/AI73&gt;'Parámetros Proyección'!$G$11),0,'Parámetros Proyección'!$G$11)+IF((N73/AI73&gt;'Parámetros Proyección'!$G$12),0,'Parámetros Proyección'!$G$12)+IF((T73/AI73&gt;'Parámetros Proyección'!$G$13),0,'Parámetros Proyección'!$G$13)+IF((Z73/AI73&gt;'Parámetros Proyección'!$G$14),0,'Parámetros Proyección'!$G$14)+IF((AF73/AI73&gt;'Parámetros Proyección'!$G$15),0,'Parámetros Proyección'!$G$15)))</f>
        <v/>
      </c>
      <c r="AB73" s="35">
        <f>Z73+AA73</f>
        <v/>
      </c>
      <c r="AC73" s="35">
        <f>AH72</f>
        <v/>
      </c>
      <c r="AD73" s="35">
        <f>AC73*(1+'Parámetros Proyección'!$E$15)</f>
        <v/>
      </c>
      <c r="AE73" s="35">
        <f>AD73*'Parámetros Proyección'!$F$15</f>
        <v/>
      </c>
      <c r="AF73" s="35">
        <f>AD73+AE73</f>
        <v/>
      </c>
      <c r="AG73" s="35">
        <f>IF((AF73/AI73&gt;'Parámetros Proyección'!$G$15),0,D73*'Parámetros Proyección'!$G$15/(IF((H73/AI73&gt;'Parámetros Proyección'!$G$11),0,'Parámetros Proyección'!$G$11)+IF((N73/AI73&gt;'Parámetros Proyección'!$G$12),0,'Parámetros Proyección'!$G$12)+IF((T73/AI73&gt;'Parámetros Proyección'!$G$13),0,'Parámetros Proyección'!$G$13)+IF((Z73/AI73&gt;'Parámetros Proyección'!$G$14),0,'Parámetros Proyección'!$G$14)+IF((AF73/AI73&gt;'Parámetros Proyección'!$G$15),0,'Parámetros Proyección'!$G$15)))</f>
        <v/>
      </c>
      <c r="AH73" s="35">
        <f>AF73+AG73</f>
        <v/>
      </c>
      <c r="AI73" s="35">
        <f>H73+N73+T73+Z73+AF73</f>
        <v/>
      </c>
      <c r="AJ73" s="33">
        <f>AF73/AI73</f>
        <v/>
      </c>
      <c r="AK73">
        <f>IF(AJ73&gt;'Parámetros Proyección'!$B$5,1,0)</f>
        <v/>
      </c>
      <c r="AL73" s="35">
        <f>G73+M73+S73+Y73+AE73</f>
        <v/>
      </c>
      <c r="AM73" s="35">
        <f>AM72+D73</f>
        <v/>
      </c>
      <c r="AN73" s="35">
        <f>AN72+AL73</f>
        <v/>
      </c>
      <c r="AO73" s="35">
        <f>J73+P73+V73+AB73+AH73</f>
        <v/>
      </c>
    </row>
    <row r="74">
      <c r="A74" t="n">
        <v>71</v>
      </c>
      <c r="B74" s="34">
        <f>EDATE(B73,1)</f>
        <v/>
      </c>
      <c r="C74">
        <f>YEAR(B74)</f>
        <v/>
      </c>
      <c r="D74" s="35">
        <f>'Parámetros Proyección'!$B$3*(1+'Parámetros Proyección'!$B$4)^(C74-YEAR('Parámetros Proyección'!$B$6))</f>
        <v/>
      </c>
      <c r="E74" s="35">
        <f>J73</f>
        <v/>
      </c>
      <c r="F74" s="35">
        <f>E74*(1+'Parámetros Proyección'!$E$11)</f>
        <v/>
      </c>
      <c r="G74" s="35">
        <f>F74*'Parámetros Proyección'!$F$11</f>
        <v/>
      </c>
      <c r="H74" s="35">
        <f>F74+G74</f>
        <v/>
      </c>
      <c r="I74" s="35">
        <f>IF((H74/AI74&gt;'Parámetros Proyección'!$G$11),0,D74*'Parámetros Proyección'!$G$11/(IF((H74/AI74&gt;'Parámetros Proyección'!$G$11),0,'Parámetros Proyección'!$G$11)+IF((N74/AI74&gt;'Parámetros Proyección'!$G$12),0,'Parámetros Proyección'!$G$12)+IF((T74/AI74&gt;'Parámetros Proyección'!$G$13),0,'Parámetros Proyección'!$G$13)+IF((Z74/AI74&gt;'Parámetros Proyección'!$G$14),0,'Parámetros Proyección'!$G$14)+IF((AF74/AI74&gt;'Parámetros Proyección'!$G$15),0,'Parámetros Proyección'!$G$15)))</f>
        <v/>
      </c>
      <c r="J74" s="35">
        <f>H74+I74</f>
        <v/>
      </c>
      <c r="K74" s="35">
        <f>P73</f>
        <v/>
      </c>
      <c r="L74" s="35">
        <f>K74*(1+'Parámetros Proyección'!$E$12)</f>
        <v/>
      </c>
      <c r="M74" s="35">
        <f>L74*'Parámetros Proyección'!$F$12</f>
        <v/>
      </c>
      <c r="N74" s="35">
        <f>L74+M74</f>
        <v/>
      </c>
      <c r="O74" s="35">
        <f>IF((N74/AI74&gt;'Parámetros Proyección'!$G$12),0,D74*'Parámetros Proyección'!$G$12/(IF((H74/AI74&gt;'Parámetros Proyección'!$G$11),0,'Parámetros Proyección'!$G$11)+IF((N74/AI74&gt;'Parámetros Proyección'!$G$12),0,'Parámetros Proyección'!$G$12)+IF((T74/AI74&gt;'Parámetros Proyección'!$G$13),0,'Parámetros Proyección'!$G$13)+IF((Z74/AI74&gt;'Parámetros Proyección'!$G$14),0,'Parámetros Proyección'!$G$14)+IF((AF74/AI74&gt;'Parámetros Proyección'!$G$15),0,'Parámetros Proyección'!$G$15)))</f>
        <v/>
      </c>
      <c r="P74" s="35">
        <f>N74+O74</f>
        <v/>
      </c>
      <c r="Q74" s="35">
        <f>V73</f>
        <v/>
      </c>
      <c r="R74" s="35">
        <f>Q74*(1+'Parámetros Proyección'!$E$13)</f>
        <v/>
      </c>
      <c r="S74" s="35">
        <f>R74*'Parámetros Proyección'!$F$13</f>
        <v/>
      </c>
      <c r="T74" s="35">
        <f>R74+S74</f>
        <v/>
      </c>
      <c r="U74" s="35">
        <f>IF((T74/AI74&gt;'Parámetros Proyección'!$G$13),0,D74*'Parámetros Proyección'!$G$13/(IF((H74/AI74&gt;'Parámetros Proyección'!$G$11),0,'Parámetros Proyección'!$G$11)+IF((N74/AI74&gt;'Parámetros Proyección'!$G$12),0,'Parámetros Proyección'!$G$12)+IF((T74/AI74&gt;'Parámetros Proyección'!$G$13),0,'Parámetros Proyección'!$G$13)+IF((Z74/AI74&gt;'Parámetros Proyección'!$G$14),0,'Parámetros Proyección'!$G$14)+IF((AF74/AI74&gt;'Parámetros Proyección'!$G$15),0,'Parámetros Proyección'!$G$15)))</f>
        <v/>
      </c>
      <c r="V74" s="35">
        <f>T74+U74</f>
        <v/>
      </c>
      <c r="W74" s="35">
        <f>AB73</f>
        <v/>
      </c>
      <c r="X74" s="35">
        <f>W74*(1+'Parámetros Proyección'!$E$14)</f>
        <v/>
      </c>
      <c r="Y74" s="35">
        <f>X74*'Parámetros Proyección'!$F$14</f>
        <v/>
      </c>
      <c r="Z74" s="35">
        <f>X74+Y74</f>
        <v/>
      </c>
      <c r="AA74" s="35">
        <f>IF((Z74/AI74&gt;'Parámetros Proyección'!$G$14),0,D74*'Parámetros Proyección'!$G$14/(IF((H74/AI74&gt;'Parámetros Proyección'!$G$11),0,'Parámetros Proyección'!$G$11)+IF((N74/AI74&gt;'Parámetros Proyección'!$G$12),0,'Parámetros Proyección'!$G$12)+IF((T74/AI74&gt;'Parámetros Proyección'!$G$13),0,'Parámetros Proyección'!$G$13)+IF((Z74/AI74&gt;'Parámetros Proyección'!$G$14),0,'Parámetros Proyección'!$G$14)+IF((AF74/AI74&gt;'Parámetros Proyección'!$G$15),0,'Parámetros Proyección'!$G$15)))</f>
        <v/>
      </c>
      <c r="AB74" s="35">
        <f>Z74+AA74</f>
        <v/>
      </c>
      <c r="AC74" s="35">
        <f>AH73</f>
        <v/>
      </c>
      <c r="AD74" s="35">
        <f>AC74*(1+'Parámetros Proyección'!$E$15)</f>
        <v/>
      </c>
      <c r="AE74" s="35">
        <f>AD74*'Parámetros Proyección'!$F$15</f>
        <v/>
      </c>
      <c r="AF74" s="35">
        <f>AD74+AE74</f>
        <v/>
      </c>
      <c r="AG74" s="35">
        <f>IF((AF74/AI74&gt;'Parámetros Proyección'!$G$15),0,D74*'Parámetros Proyección'!$G$15/(IF((H74/AI74&gt;'Parámetros Proyección'!$G$11),0,'Parámetros Proyección'!$G$11)+IF((N74/AI74&gt;'Parámetros Proyección'!$G$12),0,'Parámetros Proyección'!$G$12)+IF((T74/AI74&gt;'Parámetros Proyección'!$G$13),0,'Parámetros Proyección'!$G$13)+IF((Z74/AI74&gt;'Parámetros Proyección'!$G$14),0,'Parámetros Proyección'!$G$14)+IF((AF74/AI74&gt;'Parámetros Proyección'!$G$15),0,'Parámetros Proyección'!$G$15)))</f>
        <v/>
      </c>
      <c r="AH74" s="35">
        <f>AF74+AG74</f>
        <v/>
      </c>
      <c r="AI74" s="35">
        <f>H74+N74+T74+Z74+AF74</f>
        <v/>
      </c>
      <c r="AJ74" s="33">
        <f>AF74/AI74</f>
        <v/>
      </c>
      <c r="AK74">
        <f>IF(AJ74&gt;'Parámetros Proyección'!$B$5,1,0)</f>
        <v/>
      </c>
      <c r="AL74" s="35">
        <f>G74+M74+S74+Y74+AE74</f>
        <v/>
      </c>
      <c r="AM74" s="35">
        <f>AM73+D74</f>
        <v/>
      </c>
      <c r="AN74" s="35">
        <f>AN73+AL74</f>
        <v/>
      </c>
      <c r="AO74" s="35">
        <f>J74+P74+V74+AB74+AH74</f>
        <v/>
      </c>
    </row>
    <row r="75">
      <c r="A75" t="n">
        <v>72</v>
      </c>
      <c r="B75" s="34">
        <f>EDATE(B74,1)</f>
        <v/>
      </c>
      <c r="C75">
        <f>YEAR(B75)</f>
        <v/>
      </c>
      <c r="D75" s="35">
        <f>'Parámetros Proyección'!$B$3*(1+'Parámetros Proyección'!$B$4)^(C75-YEAR('Parámetros Proyección'!$B$6))</f>
        <v/>
      </c>
      <c r="E75" s="35">
        <f>J74</f>
        <v/>
      </c>
      <c r="F75" s="35">
        <f>E75*(1+'Parámetros Proyección'!$E$11)</f>
        <v/>
      </c>
      <c r="G75" s="35">
        <f>F75*'Parámetros Proyección'!$F$11</f>
        <v/>
      </c>
      <c r="H75" s="35">
        <f>F75+G75</f>
        <v/>
      </c>
      <c r="I75" s="35">
        <f>IF((H75/AI75&gt;'Parámetros Proyección'!$G$11),0,D75*'Parámetros Proyección'!$G$11/(IF((H75/AI75&gt;'Parámetros Proyección'!$G$11),0,'Parámetros Proyección'!$G$11)+IF((N75/AI75&gt;'Parámetros Proyección'!$G$12),0,'Parámetros Proyección'!$G$12)+IF((T75/AI75&gt;'Parámetros Proyección'!$G$13),0,'Parámetros Proyección'!$G$13)+IF((Z75/AI75&gt;'Parámetros Proyección'!$G$14),0,'Parámetros Proyección'!$G$14)+IF((AF75/AI75&gt;'Parámetros Proyección'!$G$15),0,'Parámetros Proyección'!$G$15)))</f>
        <v/>
      </c>
      <c r="J75" s="35">
        <f>H75+I75</f>
        <v/>
      </c>
      <c r="K75" s="35">
        <f>P74</f>
        <v/>
      </c>
      <c r="L75" s="35">
        <f>K75*(1+'Parámetros Proyección'!$E$12)</f>
        <v/>
      </c>
      <c r="M75" s="35">
        <f>L75*'Parámetros Proyección'!$F$12</f>
        <v/>
      </c>
      <c r="N75" s="35">
        <f>L75+M75</f>
        <v/>
      </c>
      <c r="O75" s="35">
        <f>IF((N75/AI75&gt;'Parámetros Proyección'!$G$12),0,D75*'Parámetros Proyección'!$G$12/(IF((H75/AI75&gt;'Parámetros Proyección'!$G$11),0,'Parámetros Proyección'!$G$11)+IF((N75/AI75&gt;'Parámetros Proyección'!$G$12),0,'Parámetros Proyección'!$G$12)+IF((T75/AI75&gt;'Parámetros Proyección'!$G$13),0,'Parámetros Proyección'!$G$13)+IF((Z75/AI75&gt;'Parámetros Proyección'!$G$14),0,'Parámetros Proyección'!$G$14)+IF((AF75/AI75&gt;'Parámetros Proyección'!$G$15),0,'Parámetros Proyección'!$G$15)))</f>
        <v/>
      </c>
      <c r="P75" s="35">
        <f>N75+O75</f>
        <v/>
      </c>
      <c r="Q75" s="35">
        <f>V74</f>
        <v/>
      </c>
      <c r="R75" s="35">
        <f>Q75*(1+'Parámetros Proyección'!$E$13)</f>
        <v/>
      </c>
      <c r="S75" s="35">
        <f>R75*'Parámetros Proyección'!$F$13</f>
        <v/>
      </c>
      <c r="T75" s="35">
        <f>R75+S75</f>
        <v/>
      </c>
      <c r="U75" s="35">
        <f>IF((T75/AI75&gt;'Parámetros Proyección'!$G$13),0,D75*'Parámetros Proyección'!$G$13/(IF((H75/AI75&gt;'Parámetros Proyección'!$G$11),0,'Parámetros Proyección'!$G$11)+IF((N75/AI75&gt;'Parámetros Proyección'!$G$12),0,'Parámetros Proyección'!$G$12)+IF((T75/AI75&gt;'Parámetros Proyección'!$G$13),0,'Parámetros Proyección'!$G$13)+IF((Z75/AI75&gt;'Parámetros Proyección'!$G$14),0,'Parámetros Proyección'!$G$14)+IF((AF75/AI75&gt;'Parámetros Proyección'!$G$15),0,'Parámetros Proyección'!$G$15)))</f>
        <v/>
      </c>
      <c r="V75" s="35">
        <f>T75+U75</f>
        <v/>
      </c>
      <c r="W75" s="35">
        <f>AB74</f>
        <v/>
      </c>
      <c r="X75" s="35">
        <f>W75*(1+'Parámetros Proyección'!$E$14)</f>
        <v/>
      </c>
      <c r="Y75" s="35">
        <f>X75*'Parámetros Proyección'!$F$14</f>
        <v/>
      </c>
      <c r="Z75" s="35">
        <f>X75+Y75</f>
        <v/>
      </c>
      <c r="AA75" s="35">
        <f>IF((Z75/AI75&gt;'Parámetros Proyección'!$G$14),0,D75*'Parámetros Proyección'!$G$14/(IF((H75/AI75&gt;'Parámetros Proyección'!$G$11),0,'Parámetros Proyección'!$G$11)+IF((N75/AI75&gt;'Parámetros Proyección'!$G$12),0,'Parámetros Proyección'!$G$12)+IF((T75/AI75&gt;'Parámetros Proyección'!$G$13),0,'Parámetros Proyección'!$G$13)+IF((Z75/AI75&gt;'Parámetros Proyección'!$G$14),0,'Parámetros Proyección'!$G$14)+IF((AF75/AI75&gt;'Parámetros Proyección'!$G$15),0,'Parámetros Proyección'!$G$15)))</f>
        <v/>
      </c>
      <c r="AB75" s="35">
        <f>Z75+AA75</f>
        <v/>
      </c>
      <c r="AC75" s="35">
        <f>AH74</f>
        <v/>
      </c>
      <c r="AD75" s="35">
        <f>AC75*(1+'Parámetros Proyección'!$E$15)</f>
        <v/>
      </c>
      <c r="AE75" s="35">
        <f>AD75*'Parámetros Proyección'!$F$15</f>
        <v/>
      </c>
      <c r="AF75" s="35">
        <f>AD75+AE75</f>
        <v/>
      </c>
      <c r="AG75" s="35">
        <f>IF((AF75/AI75&gt;'Parámetros Proyección'!$G$15),0,D75*'Parámetros Proyección'!$G$15/(IF((H75/AI75&gt;'Parámetros Proyección'!$G$11),0,'Parámetros Proyección'!$G$11)+IF((N75/AI75&gt;'Parámetros Proyección'!$G$12),0,'Parámetros Proyección'!$G$12)+IF((T75/AI75&gt;'Parámetros Proyección'!$G$13),0,'Parámetros Proyección'!$G$13)+IF((Z75/AI75&gt;'Parámetros Proyección'!$G$14),0,'Parámetros Proyección'!$G$14)+IF((AF75/AI75&gt;'Parámetros Proyección'!$G$15),0,'Parámetros Proyección'!$G$15)))</f>
        <v/>
      </c>
      <c r="AH75" s="35">
        <f>AF75+AG75</f>
        <v/>
      </c>
      <c r="AI75" s="35">
        <f>H75+N75+T75+Z75+AF75</f>
        <v/>
      </c>
      <c r="AJ75" s="33">
        <f>AF75/AI75</f>
        <v/>
      </c>
      <c r="AK75">
        <f>IF(AJ75&gt;'Parámetros Proyección'!$B$5,1,0)</f>
        <v/>
      </c>
      <c r="AL75" s="35">
        <f>G75+M75+S75+Y75+AE75</f>
        <v/>
      </c>
      <c r="AM75" s="35">
        <f>AM74+D75</f>
        <v/>
      </c>
      <c r="AN75" s="35">
        <f>AN74+AL75</f>
        <v/>
      </c>
      <c r="AO75" s="35">
        <f>J75+P75+V75+AB75+AH75</f>
        <v/>
      </c>
    </row>
    <row r="76">
      <c r="A76" t="n">
        <v>73</v>
      </c>
      <c r="B76" s="34">
        <f>EDATE(B75,1)</f>
        <v/>
      </c>
      <c r="C76">
        <f>YEAR(B76)</f>
        <v/>
      </c>
      <c r="D76" s="35">
        <f>'Parámetros Proyección'!$B$3*(1+'Parámetros Proyección'!$B$4)^(C76-YEAR('Parámetros Proyección'!$B$6))</f>
        <v/>
      </c>
      <c r="E76" s="35">
        <f>J75</f>
        <v/>
      </c>
      <c r="F76" s="35">
        <f>E76*(1+'Parámetros Proyección'!$E$11)</f>
        <v/>
      </c>
      <c r="G76" s="35">
        <f>F76*'Parámetros Proyección'!$F$11</f>
        <v/>
      </c>
      <c r="H76" s="35">
        <f>F76+G76</f>
        <v/>
      </c>
      <c r="I76" s="35">
        <f>IF((H76/AI76&gt;'Parámetros Proyección'!$G$11),0,D76*'Parámetros Proyección'!$G$11/(IF((H76/AI76&gt;'Parámetros Proyección'!$G$11),0,'Parámetros Proyección'!$G$11)+IF((N76/AI76&gt;'Parámetros Proyección'!$G$12),0,'Parámetros Proyección'!$G$12)+IF((T76/AI76&gt;'Parámetros Proyección'!$G$13),0,'Parámetros Proyección'!$G$13)+IF((Z76/AI76&gt;'Parámetros Proyección'!$G$14),0,'Parámetros Proyección'!$G$14)+IF((AF76/AI76&gt;'Parámetros Proyección'!$G$15),0,'Parámetros Proyección'!$G$15)))</f>
        <v/>
      </c>
      <c r="J76" s="35">
        <f>H76+I76</f>
        <v/>
      </c>
      <c r="K76" s="35">
        <f>P75</f>
        <v/>
      </c>
      <c r="L76" s="35">
        <f>K76*(1+'Parámetros Proyección'!$E$12)</f>
        <v/>
      </c>
      <c r="M76" s="35">
        <f>L76*'Parámetros Proyección'!$F$12</f>
        <v/>
      </c>
      <c r="N76" s="35">
        <f>L76+M76</f>
        <v/>
      </c>
      <c r="O76" s="35">
        <f>IF((N76/AI76&gt;'Parámetros Proyección'!$G$12),0,D76*'Parámetros Proyección'!$G$12/(IF((H76/AI76&gt;'Parámetros Proyección'!$G$11),0,'Parámetros Proyección'!$G$11)+IF((N76/AI76&gt;'Parámetros Proyección'!$G$12),0,'Parámetros Proyección'!$G$12)+IF((T76/AI76&gt;'Parámetros Proyección'!$G$13),0,'Parámetros Proyección'!$G$13)+IF((Z76/AI76&gt;'Parámetros Proyección'!$G$14),0,'Parámetros Proyección'!$G$14)+IF((AF76/AI76&gt;'Parámetros Proyección'!$G$15),0,'Parámetros Proyección'!$G$15)))</f>
        <v/>
      </c>
      <c r="P76" s="35">
        <f>N76+O76</f>
        <v/>
      </c>
      <c r="Q76" s="35">
        <f>V75</f>
        <v/>
      </c>
      <c r="R76" s="35">
        <f>Q76*(1+'Parámetros Proyección'!$E$13)</f>
        <v/>
      </c>
      <c r="S76" s="35">
        <f>R76*'Parámetros Proyección'!$F$13</f>
        <v/>
      </c>
      <c r="T76" s="35">
        <f>R76+S76</f>
        <v/>
      </c>
      <c r="U76" s="35">
        <f>IF((T76/AI76&gt;'Parámetros Proyección'!$G$13),0,D76*'Parámetros Proyección'!$G$13/(IF((H76/AI76&gt;'Parámetros Proyección'!$G$11),0,'Parámetros Proyección'!$G$11)+IF((N76/AI76&gt;'Parámetros Proyección'!$G$12),0,'Parámetros Proyección'!$G$12)+IF((T76/AI76&gt;'Parámetros Proyección'!$G$13),0,'Parámetros Proyección'!$G$13)+IF((Z76/AI76&gt;'Parámetros Proyección'!$G$14),0,'Parámetros Proyección'!$G$14)+IF((AF76/AI76&gt;'Parámetros Proyección'!$G$15),0,'Parámetros Proyección'!$G$15)))</f>
        <v/>
      </c>
      <c r="V76" s="35">
        <f>T76+U76</f>
        <v/>
      </c>
      <c r="W76" s="35">
        <f>AB75</f>
        <v/>
      </c>
      <c r="X76" s="35">
        <f>W76*(1+'Parámetros Proyección'!$E$14)</f>
        <v/>
      </c>
      <c r="Y76" s="35">
        <f>X76*'Parámetros Proyección'!$F$14</f>
        <v/>
      </c>
      <c r="Z76" s="35">
        <f>X76+Y76</f>
        <v/>
      </c>
      <c r="AA76" s="35">
        <f>IF((Z76/AI76&gt;'Parámetros Proyección'!$G$14),0,D76*'Parámetros Proyección'!$G$14/(IF((H76/AI76&gt;'Parámetros Proyección'!$G$11),0,'Parámetros Proyección'!$G$11)+IF((N76/AI76&gt;'Parámetros Proyección'!$G$12),0,'Parámetros Proyección'!$G$12)+IF((T76/AI76&gt;'Parámetros Proyección'!$G$13),0,'Parámetros Proyección'!$G$13)+IF((Z76/AI76&gt;'Parámetros Proyección'!$G$14),0,'Parámetros Proyección'!$G$14)+IF((AF76/AI76&gt;'Parámetros Proyección'!$G$15),0,'Parámetros Proyección'!$G$15)))</f>
        <v/>
      </c>
      <c r="AB76" s="35">
        <f>Z76+AA76</f>
        <v/>
      </c>
      <c r="AC76" s="35">
        <f>AH75</f>
        <v/>
      </c>
      <c r="AD76" s="35">
        <f>AC76*(1+'Parámetros Proyección'!$E$15)</f>
        <v/>
      </c>
      <c r="AE76" s="35">
        <f>AD76*'Parámetros Proyección'!$F$15</f>
        <v/>
      </c>
      <c r="AF76" s="35">
        <f>AD76+AE76</f>
        <v/>
      </c>
      <c r="AG76" s="35">
        <f>IF((AF76/AI76&gt;'Parámetros Proyección'!$G$15),0,D76*'Parámetros Proyección'!$G$15/(IF((H76/AI76&gt;'Parámetros Proyección'!$G$11),0,'Parámetros Proyección'!$G$11)+IF((N76/AI76&gt;'Parámetros Proyección'!$G$12),0,'Parámetros Proyección'!$G$12)+IF((T76/AI76&gt;'Parámetros Proyección'!$G$13),0,'Parámetros Proyección'!$G$13)+IF((Z76/AI76&gt;'Parámetros Proyección'!$G$14),0,'Parámetros Proyección'!$G$14)+IF((AF76/AI76&gt;'Parámetros Proyección'!$G$15),0,'Parámetros Proyección'!$G$15)))</f>
        <v/>
      </c>
      <c r="AH76" s="35">
        <f>AF76+AG76</f>
        <v/>
      </c>
      <c r="AI76" s="35">
        <f>H76+N76+T76+Z76+AF76</f>
        <v/>
      </c>
      <c r="AJ76" s="33">
        <f>AF76/AI76</f>
        <v/>
      </c>
      <c r="AK76">
        <f>IF(AJ76&gt;'Parámetros Proyección'!$B$5,1,0)</f>
        <v/>
      </c>
      <c r="AL76" s="35">
        <f>G76+M76+S76+Y76+AE76</f>
        <v/>
      </c>
      <c r="AM76" s="35">
        <f>AM75+D76</f>
        <v/>
      </c>
      <c r="AN76" s="35">
        <f>AN75+AL76</f>
        <v/>
      </c>
      <c r="AO76" s="35">
        <f>J76+P76+V76+AB76+AH76</f>
        <v/>
      </c>
    </row>
    <row r="77">
      <c r="A77" t="n">
        <v>74</v>
      </c>
      <c r="B77" s="34">
        <f>EDATE(B76,1)</f>
        <v/>
      </c>
      <c r="C77">
        <f>YEAR(B77)</f>
        <v/>
      </c>
      <c r="D77" s="35">
        <f>'Parámetros Proyección'!$B$3*(1+'Parámetros Proyección'!$B$4)^(C77-YEAR('Parámetros Proyección'!$B$6))</f>
        <v/>
      </c>
      <c r="E77" s="35">
        <f>J76</f>
        <v/>
      </c>
      <c r="F77" s="35">
        <f>E77*(1+'Parámetros Proyección'!$E$11)</f>
        <v/>
      </c>
      <c r="G77" s="35">
        <f>F77*'Parámetros Proyección'!$F$11</f>
        <v/>
      </c>
      <c r="H77" s="35">
        <f>F77+G77</f>
        <v/>
      </c>
      <c r="I77" s="35">
        <f>IF((H77/AI77&gt;'Parámetros Proyección'!$G$11),0,D77*'Parámetros Proyección'!$G$11/(IF((H77/AI77&gt;'Parámetros Proyección'!$G$11),0,'Parámetros Proyección'!$G$11)+IF((N77/AI77&gt;'Parámetros Proyección'!$G$12),0,'Parámetros Proyección'!$G$12)+IF((T77/AI77&gt;'Parámetros Proyección'!$G$13),0,'Parámetros Proyección'!$G$13)+IF((Z77/AI77&gt;'Parámetros Proyección'!$G$14),0,'Parámetros Proyección'!$G$14)+IF((AF77/AI77&gt;'Parámetros Proyección'!$G$15),0,'Parámetros Proyección'!$G$15)))</f>
        <v/>
      </c>
      <c r="J77" s="35">
        <f>H77+I77</f>
        <v/>
      </c>
      <c r="K77" s="35">
        <f>P76</f>
        <v/>
      </c>
      <c r="L77" s="35">
        <f>K77*(1+'Parámetros Proyección'!$E$12)</f>
        <v/>
      </c>
      <c r="M77" s="35">
        <f>L77*'Parámetros Proyección'!$F$12</f>
        <v/>
      </c>
      <c r="N77" s="35">
        <f>L77+M77</f>
        <v/>
      </c>
      <c r="O77" s="35">
        <f>IF((N77/AI77&gt;'Parámetros Proyección'!$G$12),0,D77*'Parámetros Proyección'!$G$12/(IF((H77/AI77&gt;'Parámetros Proyección'!$G$11),0,'Parámetros Proyección'!$G$11)+IF((N77/AI77&gt;'Parámetros Proyección'!$G$12),0,'Parámetros Proyección'!$G$12)+IF((T77/AI77&gt;'Parámetros Proyección'!$G$13),0,'Parámetros Proyección'!$G$13)+IF((Z77/AI77&gt;'Parámetros Proyección'!$G$14),0,'Parámetros Proyección'!$G$14)+IF((AF77/AI77&gt;'Parámetros Proyección'!$G$15),0,'Parámetros Proyección'!$G$15)))</f>
        <v/>
      </c>
      <c r="P77" s="35">
        <f>N77+O77</f>
        <v/>
      </c>
      <c r="Q77" s="35">
        <f>V76</f>
        <v/>
      </c>
      <c r="R77" s="35">
        <f>Q77*(1+'Parámetros Proyección'!$E$13)</f>
        <v/>
      </c>
      <c r="S77" s="35">
        <f>R77*'Parámetros Proyección'!$F$13</f>
        <v/>
      </c>
      <c r="T77" s="35">
        <f>R77+S77</f>
        <v/>
      </c>
      <c r="U77" s="35">
        <f>IF((T77/AI77&gt;'Parámetros Proyección'!$G$13),0,D77*'Parámetros Proyección'!$G$13/(IF((H77/AI77&gt;'Parámetros Proyección'!$G$11),0,'Parámetros Proyección'!$G$11)+IF((N77/AI77&gt;'Parámetros Proyección'!$G$12),0,'Parámetros Proyección'!$G$12)+IF((T77/AI77&gt;'Parámetros Proyección'!$G$13),0,'Parámetros Proyección'!$G$13)+IF((Z77/AI77&gt;'Parámetros Proyección'!$G$14),0,'Parámetros Proyección'!$G$14)+IF((AF77/AI77&gt;'Parámetros Proyección'!$G$15),0,'Parámetros Proyección'!$G$15)))</f>
        <v/>
      </c>
      <c r="V77" s="35">
        <f>T77+U77</f>
        <v/>
      </c>
      <c r="W77" s="35">
        <f>AB76</f>
        <v/>
      </c>
      <c r="X77" s="35">
        <f>W77*(1+'Parámetros Proyección'!$E$14)</f>
        <v/>
      </c>
      <c r="Y77" s="35">
        <f>X77*'Parámetros Proyección'!$F$14</f>
        <v/>
      </c>
      <c r="Z77" s="35">
        <f>X77+Y77</f>
        <v/>
      </c>
      <c r="AA77" s="35">
        <f>IF((Z77/AI77&gt;'Parámetros Proyección'!$G$14),0,D77*'Parámetros Proyección'!$G$14/(IF((H77/AI77&gt;'Parámetros Proyección'!$G$11),0,'Parámetros Proyección'!$G$11)+IF((N77/AI77&gt;'Parámetros Proyección'!$G$12),0,'Parámetros Proyección'!$G$12)+IF((T77/AI77&gt;'Parámetros Proyección'!$G$13),0,'Parámetros Proyección'!$G$13)+IF((Z77/AI77&gt;'Parámetros Proyección'!$G$14),0,'Parámetros Proyección'!$G$14)+IF((AF77/AI77&gt;'Parámetros Proyección'!$G$15),0,'Parámetros Proyección'!$G$15)))</f>
        <v/>
      </c>
      <c r="AB77" s="35">
        <f>Z77+AA77</f>
        <v/>
      </c>
      <c r="AC77" s="35">
        <f>AH76</f>
        <v/>
      </c>
      <c r="AD77" s="35">
        <f>AC77*(1+'Parámetros Proyección'!$E$15)</f>
        <v/>
      </c>
      <c r="AE77" s="35">
        <f>AD77*'Parámetros Proyección'!$F$15</f>
        <v/>
      </c>
      <c r="AF77" s="35">
        <f>AD77+AE77</f>
        <v/>
      </c>
      <c r="AG77" s="35">
        <f>IF((AF77/AI77&gt;'Parámetros Proyección'!$G$15),0,D77*'Parámetros Proyección'!$G$15/(IF((H77/AI77&gt;'Parámetros Proyección'!$G$11),0,'Parámetros Proyección'!$G$11)+IF((N77/AI77&gt;'Parámetros Proyección'!$G$12),0,'Parámetros Proyección'!$G$12)+IF((T77/AI77&gt;'Parámetros Proyección'!$G$13),0,'Parámetros Proyección'!$G$13)+IF((Z77/AI77&gt;'Parámetros Proyección'!$G$14),0,'Parámetros Proyección'!$G$14)+IF((AF77/AI77&gt;'Parámetros Proyección'!$G$15),0,'Parámetros Proyección'!$G$15)))</f>
        <v/>
      </c>
      <c r="AH77" s="35">
        <f>AF77+AG77</f>
        <v/>
      </c>
      <c r="AI77" s="35">
        <f>H77+N77+T77+Z77+AF77</f>
        <v/>
      </c>
      <c r="AJ77" s="33">
        <f>AF77/AI77</f>
        <v/>
      </c>
      <c r="AK77">
        <f>IF(AJ77&gt;'Parámetros Proyección'!$B$5,1,0)</f>
        <v/>
      </c>
      <c r="AL77" s="35">
        <f>G77+M77+S77+Y77+AE77</f>
        <v/>
      </c>
      <c r="AM77" s="35">
        <f>AM76+D77</f>
        <v/>
      </c>
      <c r="AN77" s="35">
        <f>AN76+AL77</f>
        <v/>
      </c>
      <c r="AO77" s="35">
        <f>J77+P77+V77+AB77+AH77</f>
        <v/>
      </c>
    </row>
    <row r="78">
      <c r="A78" t="n">
        <v>75</v>
      </c>
      <c r="B78" s="34">
        <f>EDATE(B77,1)</f>
        <v/>
      </c>
      <c r="C78">
        <f>YEAR(B78)</f>
        <v/>
      </c>
      <c r="D78" s="35">
        <f>'Parámetros Proyección'!$B$3*(1+'Parámetros Proyección'!$B$4)^(C78-YEAR('Parámetros Proyección'!$B$6))</f>
        <v/>
      </c>
      <c r="E78" s="35">
        <f>J77</f>
        <v/>
      </c>
      <c r="F78" s="35">
        <f>E78*(1+'Parámetros Proyección'!$E$11)</f>
        <v/>
      </c>
      <c r="G78" s="35">
        <f>F78*'Parámetros Proyección'!$F$11</f>
        <v/>
      </c>
      <c r="H78" s="35">
        <f>F78+G78</f>
        <v/>
      </c>
      <c r="I78" s="35">
        <f>IF((H78/AI78&gt;'Parámetros Proyección'!$G$11),0,D78*'Parámetros Proyección'!$G$11/(IF((H78/AI78&gt;'Parámetros Proyección'!$G$11),0,'Parámetros Proyección'!$G$11)+IF((N78/AI78&gt;'Parámetros Proyección'!$G$12),0,'Parámetros Proyección'!$G$12)+IF((T78/AI78&gt;'Parámetros Proyección'!$G$13),0,'Parámetros Proyección'!$G$13)+IF((Z78/AI78&gt;'Parámetros Proyección'!$G$14),0,'Parámetros Proyección'!$G$14)+IF((AF78/AI78&gt;'Parámetros Proyección'!$G$15),0,'Parámetros Proyección'!$G$15)))</f>
        <v/>
      </c>
      <c r="J78" s="35">
        <f>H78+I78</f>
        <v/>
      </c>
      <c r="K78" s="35">
        <f>P77</f>
        <v/>
      </c>
      <c r="L78" s="35">
        <f>K78*(1+'Parámetros Proyección'!$E$12)</f>
        <v/>
      </c>
      <c r="M78" s="35">
        <f>L78*'Parámetros Proyección'!$F$12</f>
        <v/>
      </c>
      <c r="N78" s="35">
        <f>L78+M78</f>
        <v/>
      </c>
      <c r="O78" s="35">
        <f>IF((N78/AI78&gt;'Parámetros Proyección'!$G$12),0,D78*'Parámetros Proyección'!$G$12/(IF((H78/AI78&gt;'Parámetros Proyección'!$G$11),0,'Parámetros Proyección'!$G$11)+IF((N78/AI78&gt;'Parámetros Proyección'!$G$12),0,'Parámetros Proyección'!$G$12)+IF((T78/AI78&gt;'Parámetros Proyección'!$G$13),0,'Parámetros Proyección'!$G$13)+IF((Z78/AI78&gt;'Parámetros Proyección'!$G$14),0,'Parámetros Proyección'!$G$14)+IF((AF78/AI78&gt;'Parámetros Proyección'!$G$15),0,'Parámetros Proyección'!$G$15)))</f>
        <v/>
      </c>
      <c r="P78" s="35">
        <f>N78+O78</f>
        <v/>
      </c>
      <c r="Q78" s="35">
        <f>V77</f>
        <v/>
      </c>
      <c r="R78" s="35">
        <f>Q78*(1+'Parámetros Proyección'!$E$13)</f>
        <v/>
      </c>
      <c r="S78" s="35">
        <f>R78*'Parámetros Proyección'!$F$13</f>
        <v/>
      </c>
      <c r="T78" s="35">
        <f>R78+S78</f>
        <v/>
      </c>
      <c r="U78" s="35">
        <f>IF((T78/AI78&gt;'Parámetros Proyección'!$G$13),0,D78*'Parámetros Proyección'!$G$13/(IF((H78/AI78&gt;'Parámetros Proyección'!$G$11),0,'Parámetros Proyección'!$G$11)+IF((N78/AI78&gt;'Parámetros Proyección'!$G$12),0,'Parámetros Proyección'!$G$12)+IF((T78/AI78&gt;'Parámetros Proyección'!$G$13),0,'Parámetros Proyección'!$G$13)+IF((Z78/AI78&gt;'Parámetros Proyección'!$G$14),0,'Parámetros Proyección'!$G$14)+IF((AF78/AI78&gt;'Parámetros Proyección'!$G$15),0,'Parámetros Proyección'!$G$15)))</f>
        <v/>
      </c>
      <c r="V78" s="35">
        <f>T78+U78</f>
        <v/>
      </c>
      <c r="W78" s="35">
        <f>AB77</f>
        <v/>
      </c>
      <c r="X78" s="35">
        <f>W78*(1+'Parámetros Proyección'!$E$14)</f>
        <v/>
      </c>
      <c r="Y78" s="35">
        <f>X78*'Parámetros Proyección'!$F$14</f>
        <v/>
      </c>
      <c r="Z78" s="35">
        <f>X78+Y78</f>
        <v/>
      </c>
      <c r="AA78" s="35">
        <f>IF((Z78/AI78&gt;'Parámetros Proyección'!$G$14),0,D78*'Parámetros Proyección'!$G$14/(IF((H78/AI78&gt;'Parámetros Proyección'!$G$11),0,'Parámetros Proyección'!$G$11)+IF((N78/AI78&gt;'Parámetros Proyección'!$G$12),0,'Parámetros Proyección'!$G$12)+IF((T78/AI78&gt;'Parámetros Proyección'!$G$13),0,'Parámetros Proyección'!$G$13)+IF((Z78/AI78&gt;'Parámetros Proyección'!$G$14),0,'Parámetros Proyección'!$G$14)+IF((AF78/AI78&gt;'Parámetros Proyección'!$G$15),0,'Parámetros Proyección'!$G$15)))</f>
        <v/>
      </c>
      <c r="AB78" s="35">
        <f>Z78+AA78</f>
        <v/>
      </c>
      <c r="AC78" s="35">
        <f>AH77</f>
        <v/>
      </c>
      <c r="AD78" s="35">
        <f>AC78*(1+'Parámetros Proyección'!$E$15)</f>
        <v/>
      </c>
      <c r="AE78" s="35">
        <f>AD78*'Parámetros Proyección'!$F$15</f>
        <v/>
      </c>
      <c r="AF78" s="35">
        <f>AD78+AE78</f>
        <v/>
      </c>
      <c r="AG78" s="35">
        <f>IF((AF78/AI78&gt;'Parámetros Proyección'!$G$15),0,D78*'Parámetros Proyección'!$G$15/(IF((H78/AI78&gt;'Parámetros Proyección'!$G$11),0,'Parámetros Proyección'!$G$11)+IF((N78/AI78&gt;'Parámetros Proyección'!$G$12),0,'Parámetros Proyección'!$G$12)+IF((T78/AI78&gt;'Parámetros Proyección'!$G$13),0,'Parámetros Proyección'!$G$13)+IF((Z78/AI78&gt;'Parámetros Proyección'!$G$14),0,'Parámetros Proyección'!$G$14)+IF((AF78/AI78&gt;'Parámetros Proyección'!$G$15),0,'Parámetros Proyección'!$G$15)))</f>
        <v/>
      </c>
      <c r="AH78" s="35">
        <f>AF78+AG78</f>
        <v/>
      </c>
      <c r="AI78" s="35">
        <f>H78+N78+T78+Z78+AF78</f>
        <v/>
      </c>
      <c r="AJ78" s="33">
        <f>AF78/AI78</f>
        <v/>
      </c>
      <c r="AK78">
        <f>IF(AJ78&gt;'Parámetros Proyección'!$B$5,1,0)</f>
        <v/>
      </c>
      <c r="AL78" s="35">
        <f>G78+M78+S78+Y78+AE78</f>
        <v/>
      </c>
      <c r="AM78" s="35">
        <f>AM77+D78</f>
        <v/>
      </c>
      <c r="AN78" s="35">
        <f>AN77+AL78</f>
        <v/>
      </c>
      <c r="AO78" s="35">
        <f>J78+P78+V78+AB78+AH78</f>
        <v/>
      </c>
    </row>
    <row r="79">
      <c r="A79" t="n">
        <v>76</v>
      </c>
      <c r="B79" s="34">
        <f>EDATE(B78,1)</f>
        <v/>
      </c>
      <c r="C79">
        <f>YEAR(B79)</f>
        <v/>
      </c>
      <c r="D79" s="35">
        <f>'Parámetros Proyección'!$B$3*(1+'Parámetros Proyección'!$B$4)^(C79-YEAR('Parámetros Proyección'!$B$6))</f>
        <v/>
      </c>
      <c r="E79" s="35">
        <f>J78</f>
        <v/>
      </c>
      <c r="F79" s="35">
        <f>E79*(1+'Parámetros Proyección'!$E$11)</f>
        <v/>
      </c>
      <c r="G79" s="35">
        <f>F79*'Parámetros Proyección'!$F$11</f>
        <v/>
      </c>
      <c r="H79" s="35">
        <f>F79+G79</f>
        <v/>
      </c>
      <c r="I79" s="35">
        <f>IF((H79/AI79&gt;'Parámetros Proyección'!$G$11),0,D79*'Parámetros Proyección'!$G$11/(IF((H79/AI79&gt;'Parámetros Proyección'!$G$11),0,'Parámetros Proyección'!$G$11)+IF((N79/AI79&gt;'Parámetros Proyección'!$G$12),0,'Parámetros Proyección'!$G$12)+IF((T79/AI79&gt;'Parámetros Proyección'!$G$13),0,'Parámetros Proyección'!$G$13)+IF((Z79/AI79&gt;'Parámetros Proyección'!$G$14),0,'Parámetros Proyección'!$G$14)+IF((AF79/AI79&gt;'Parámetros Proyección'!$G$15),0,'Parámetros Proyección'!$G$15)))</f>
        <v/>
      </c>
      <c r="J79" s="35">
        <f>H79+I79</f>
        <v/>
      </c>
      <c r="K79" s="35">
        <f>P78</f>
        <v/>
      </c>
      <c r="L79" s="35">
        <f>K79*(1+'Parámetros Proyección'!$E$12)</f>
        <v/>
      </c>
      <c r="M79" s="35">
        <f>L79*'Parámetros Proyección'!$F$12</f>
        <v/>
      </c>
      <c r="N79" s="35">
        <f>L79+M79</f>
        <v/>
      </c>
      <c r="O79" s="35">
        <f>IF((N79/AI79&gt;'Parámetros Proyección'!$G$12),0,D79*'Parámetros Proyección'!$G$12/(IF((H79/AI79&gt;'Parámetros Proyección'!$G$11),0,'Parámetros Proyección'!$G$11)+IF((N79/AI79&gt;'Parámetros Proyección'!$G$12),0,'Parámetros Proyección'!$G$12)+IF((T79/AI79&gt;'Parámetros Proyección'!$G$13),0,'Parámetros Proyección'!$G$13)+IF((Z79/AI79&gt;'Parámetros Proyección'!$G$14),0,'Parámetros Proyección'!$G$14)+IF((AF79/AI79&gt;'Parámetros Proyección'!$G$15),0,'Parámetros Proyección'!$G$15)))</f>
        <v/>
      </c>
      <c r="P79" s="35">
        <f>N79+O79</f>
        <v/>
      </c>
      <c r="Q79" s="35">
        <f>V78</f>
        <v/>
      </c>
      <c r="R79" s="35">
        <f>Q79*(1+'Parámetros Proyección'!$E$13)</f>
        <v/>
      </c>
      <c r="S79" s="35">
        <f>R79*'Parámetros Proyección'!$F$13</f>
        <v/>
      </c>
      <c r="T79" s="35">
        <f>R79+S79</f>
        <v/>
      </c>
      <c r="U79" s="35">
        <f>IF((T79/AI79&gt;'Parámetros Proyección'!$G$13),0,D79*'Parámetros Proyección'!$G$13/(IF((H79/AI79&gt;'Parámetros Proyección'!$G$11),0,'Parámetros Proyección'!$G$11)+IF((N79/AI79&gt;'Parámetros Proyección'!$G$12),0,'Parámetros Proyección'!$G$12)+IF((T79/AI79&gt;'Parámetros Proyección'!$G$13),0,'Parámetros Proyección'!$G$13)+IF((Z79/AI79&gt;'Parámetros Proyección'!$G$14),0,'Parámetros Proyección'!$G$14)+IF((AF79/AI79&gt;'Parámetros Proyección'!$G$15),0,'Parámetros Proyección'!$G$15)))</f>
        <v/>
      </c>
      <c r="V79" s="35">
        <f>T79+U79</f>
        <v/>
      </c>
      <c r="W79" s="35">
        <f>AB78</f>
        <v/>
      </c>
      <c r="X79" s="35">
        <f>W79*(1+'Parámetros Proyección'!$E$14)</f>
        <v/>
      </c>
      <c r="Y79" s="35">
        <f>X79*'Parámetros Proyección'!$F$14</f>
        <v/>
      </c>
      <c r="Z79" s="35">
        <f>X79+Y79</f>
        <v/>
      </c>
      <c r="AA79" s="35">
        <f>IF((Z79/AI79&gt;'Parámetros Proyección'!$G$14),0,D79*'Parámetros Proyección'!$G$14/(IF((H79/AI79&gt;'Parámetros Proyección'!$G$11),0,'Parámetros Proyección'!$G$11)+IF((N79/AI79&gt;'Parámetros Proyección'!$G$12),0,'Parámetros Proyección'!$G$12)+IF((T79/AI79&gt;'Parámetros Proyección'!$G$13),0,'Parámetros Proyección'!$G$13)+IF((Z79/AI79&gt;'Parámetros Proyección'!$G$14),0,'Parámetros Proyección'!$G$14)+IF((AF79/AI79&gt;'Parámetros Proyección'!$G$15),0,'Parámetros Proyección'!$G$15)))</f>
        <v/>
      </c>
      <c r="AB79" s="35">
        <f>Z79+AA79</f>
        <v/>
      </c>
      <c r="AC79" s="35">
        <f>AH78</f>
        <v/>
      </c>
      <c r="AD79" s="35">
        <f>AC79*(1+'Parámetros Proyección'!$E$15)</f>
        <v/>
      </c>
      <c r="AE79" s="35">
        <f>AD79*'Parámetros Proyección'!$F$15</f>
        <v/>
      </c>
      <c r="AF79" s="35">
        <f>AD79+AE79</f>
        <v/>
      </c>
      <c r="AG79" s="35">
        <f>IF((AF79/AI79&gt;'Parámetros Proyección'!$G$15),0,D79*'Parámetros Proyección'!$G$15/(IF((H79/AI79&gt;'Parámetros Proyección'!$G$11),0,'Parámetros Proyección'!$G$11)+IF((N79/AI79&gt;'Parámetros Proyección'!$G$12),0,'Parámetros Proyección'!$G$12)+IF((T79/AI79&gt;'Parámetros Proyección'!$G$13),0,'Parámetros Proyección'!$G$13)+IF((Z79/AI79&gt;'Parámetros Proyección'!$G$14),0,'Parámetros Proyección'!$G$14)+IF((AF79/AI79&gt;'Parámetros Proyección'!$G$15),0,'Parámetros Proyección'!$G$15)))</f>
        <v/>
      </c>
      <c r="AH79" s="35">
        <f>AF79+AG79</f>
        <v/>
      </c>
      <c r="AI79" s="35">
        <f>H79+N79+T79+Z79+AF79</f>
        <v/>
      </c>
      <c r="AJ79" s="33">
        <f>AF79/AI79</f>
        <v/>
      </c>
      <c r="AK79">
        <f>IF(AJ79&gt;'Parámetros Proyección'!$B$5,1,0)</f>
        <v/>
      </c>
      <c r="AL79" s="35">
        <f>G79+M79+S79+Y79+AE79</f>
        <v/>
      </c>
      <c r="AM79" s="35">
        <f>AM78+D79</f>
        <v/>
      </c>
      <c r="AN79" s="35">
        <f>AN78+AL79</f>
        <v/>
      </c>
      <c r="AO79" s="35">
        <f>J79+P79+V79+AB79+AH79</f>
        <v/>
      </c>
    </row>
    <row r="80">
      <c r="A80" t="n">
        <v>77</v>
      </c>
      <c r="B80" s="34">
        <f>EDATE(B79,1)</f>
        <v/>
      </c>
      <c r="C80">
        <f>YEAR(B80)</f>
        <v/>
      </c>
      <c r="D80" s="35">
        <f>'Parámetros Proyección'!$B$3*(1+'Parámetros Proyección'!$B$4)^(C80-YEAR('Parámetros Proyección'!$B$6))</f>
        <v/>
      </c>
      <c r="E80" s="35">
        <f>J79</f>
        <v/>
      </c>
      <c r="F80" s="35">
        <f>E80*(1+'Parámetros Proyección'!$E$11)</f>
        <v/>
      </c>
      <c r="G80" s="35">
        <f>F80*'Parámetros Proyección'!$F$11</f>
        <v/>
      </c>
      <c r="H80" s="35">
        <f>F80+G80</f>
        <v/>
      </c>
      <c r="I80" s="35">
        <f>IF((H80/AI80&gt;'Parámetros Proyección'!$G$11),0,D80*'Parámetros Proyección'!$G$11/(IF((H80/AI80&gt;'Parámetros Proyección'!$G$11),0,'Parámetros Proyección'!$G$11)+IF((N80/AI80&gt;'Parámetros Proyección'!$G$12),0,'Parámetros Proyección'!$G$12)+IF((T80/AI80&gt;'Parámetros Proyección'!$G$13),0,'Parámetros Proyección'!$G$13)+IF((Z80/AI80&gt;'Parámetros Proyección'!$G$14),0,'Parámetros Proyección'!$G$14)+IF((AF80/AI80&gt;'Parámetros Proyección'!$G$15),0,'Parámetros Proyección'!$G$15)))</f>
        <v/>
      </c>
      <c r="J80" s="35">
        <f>H80+I80</f>
        <v/>
      </c>
      <c r="K80" s="35">
        <f>P79</f>
        <v/>
      </c>
      <c r="L80" s="35">
        <f>K80*(1+'Parámetros Proyección'!$E$12)</f>
        <v/>
      </c>
      <c r="M80" s="35">
        <f>L80*'Parámetros Proyección'!$F$12</f>
        <v/>
      </c>
      <c r="N80" s="35">
        <f>L80+M80</f>
        <v/>
      </c>
      <c r="O80" s="35">
        <f>IF((N80/AI80&gt;'Parámetros Proyección'!$G$12),0,D80*'Parámetros Proyección'!$G$12/(IF((H80/AI80&gt;'Parámetros Proyección'!$G$11),0,'Parámetros Proyección'!$G$11)+IF((N80/AI80&gt;'Parámetros Proyección'!$G$12),0,'Parámetros Proyección'!$G$12)+IF((T80/AI80&gt;'Parámetros Proyección'!$G$13),0,'Parámetros Proyección'!$G$13)+IF((Z80/AI80&gt;'Parámetros Proyección'!$G$14),0,'Parámetros Proyección'!$G$14)+IF((AF80/AI80&gt;'Parámetros Proyección'!$G$15),0,'Parámetros Proyección'!$G$15)))</f>
        <v/>
      </c>
      <c r="P80" s="35">
        <f>N80+O80</f>
        <v/>
      </c>
      <c r="Q80" s="35">
        <f>V79</f>
        <v/>
      </c>
      <c r="R80" s="35">
        <f>Q80*(1+'Parámetros Proyección'!$E$13)</f>
        <v/>
      </c>
      <c r="S80" s="35">
        <f>R80*'Parámetros Proyección'!$F$13</f>
        <v/>
      </c>
      <c r="T80" s="35">
        <f>R80+S80</f>
        <v/>
      </c>
      <c r="U80" s="35">
        <f>IF((T80/AI80&gt;'Parámetros Proyección'!$G$13),0,D80*'Parámetros Proyección'!$G$13/(IF((H80/AI80&gt;'Parámetros Proyección'!$G$11),0,'Parámetros Proyección'!$G$11)+IF((N80/AI80&gt;'Parámetros Proyección'!$G$12),0,'Parámetros Proyección'!$G$12)+IF((T80/AI80&gt;'Parámetros Proyección'!$G$13),0,'Parámetros Proyección'!$G$13)+IF((Z80/AI80&gt;'Parámetros Proyección'!$G$14),0,'Parámetros Proyección'!$G$14)+IF((AF80/AI80&gt;'Parámetros Proyección'!$G$15),0,'Parámetros Proyección'!$G$15)))</f>
        <v/>
      </c>
      <c r="V80" s="35">
        <f>T80+U80</f>
        <v/>
      </c>
      <c r="W80" s="35">
        <f>AB79</f>
        <v/>
      </c>
      <c r="X80" s="35">
        <f>W80*(1+'Parámetros Proyección'!$E$14)</f>
        <v/>
      </c>
      <c r="Y80" s="35">
        <f>X80*'Parámetros Proyección'!$F$14</f>
        <v/>
      </c>
      <c r="Z80" s="35">
        <f>X80+Y80</f>
        <v/>
      </c>
      <c r="AA80" s="35">
        <f>IF((Z80/AI80&gt;'Parámetros Proyección'!$G$14),0,D80*'Parámetros Proyección'!$G$14/(IF((H80/AI80&gt;'Parámetros Proyección'!$G$11),0,'Parámetros Proyección'!$G$11)+IF((N80/AI80&gt;'Parámetros Proyección'!$G$12),0,'Parámetros Proyección'!$G$12)+IF((T80/AI80&gt;'Parámetros Proyección'!$G$13),0,'Parámetros Proyección'!$G$13)+IF((Z80/AI80&gt;'Parámetros Proyección'!$G$14),0,'Parámetros Proyección'!$G$14)+IF((AF80/AI80&gt;'Parámetros Proyección'!$G$15),0,'Parámetros Proyección'!$G$15)))</f>
        <v/>
      </c>
      <c r="AB80" s="35">
        <f>Z80+AA80</f>
        <v/>
      </c>
      <c r="AC80" s="35">
        <f>AH79</f>
        <v/>
      </c>
      <c r="AD80" s="35">
        <f>AC80*(1+'Parámetros Proyección'!$E$15)</f>
        <v/>
      </c>
      <c r="AE80" s="35">
        <f>AD80*'Parámetros Proyección'!$F$15</f>
        <v/>
      </c>
      <c r="AF80" s="35">
        <f>AD80+AE80</f>
        <v/>
      </c>
      <c r="AG80" s="35">
        <f>IF((AF80/AI80&gt;'Parámetros Proyección'!$G$15),0,D80*'Parámetros Proyección'!$G$15/(IF((H80/AI80&gt;'Parámetros Proyección'!$G$11),0,'Parámetros Proyección'!$G$11)+IF((N80/AI80&gt;'Parámetros Proyección'!$G$12),0,'Parámetros Proyección'!$G$12)+IF((T80/AI80&gt;'Parámetros Proyección'!$G$13),0,'Parámetros Proyección'!$G$13)+IF((Z80/AI80&gt;'Parámetros Proyección'!$G$14),0,'Parámetros Proyección'!$G$14)+IF((AF80/AI80&gt;'Parámetros Proyección'!$G$15),0,'Parámetros Proyección'!$G$15)))</f>
        <v/>
      </c>
      <c r="AH80" s="35">
        <f>AF80+AG80</f>
        <v/>
      </c>
      <c r="AI80" s="35">
        <f>H80+N80+T80+Z80+AF80</f>
        <v/>
      </c>
      <c r="AJ80" s="33">
        <f>AF80/AI80</f>
        <v/>
      </c>
      <c r="AK80">
        <f>IF(AJ80&gt;'Parámetros Proyección'!$B$5,1,0)</f>
        <v/>
      </c>
      <c r="AL80" s="35">
        <f>G80+M80+S80+Y80+AE80</f>
        <v/>
      </c>
      <c r="AM80" s="35">
        <f>AM79+D80</f>
        <v/>
      </c>
      <c r="AN80" s="35">
        <f>AN79+AL80</f>
        <v/>
      </c>
      <c r="AO80" s="35">
        <f>J80+P80+V80+AB80+AH80</f>
        <v/>
      </c>
    </row>
    <row r="81">
      <c r="A81" t="n">
        <v>78</v>
      </c>
      <c r="B81" s="34">
        <f>EDATE(B80,1)</f>
        <v/>
      </c>
      <c r="C81">
        <f>YEAR(B81)</f>
        <v/>
      </c>
      <c r="D81" s="35">
        <f>'Parámetros Proyección'!$B$3*(1+'Parámetros Proyección'!$B$4)^(C81-YEAR('Parámetros Proyección'!$B$6))</f>
        <v/>
      </c>
      <c r="E81" s="35">
        <f>J80</f>
        <v/>
      </c>
      <c r="F81" s="35">
        <f>E81*(1+'Parámetros Proyección'!$E$11)</f>
        <v/>
      </c>
      <c r="G81" s="35">
        <f>F81*'Parámetros Proyección'!$F$11</f>
        <v/>
      </c>
      <c r="H81" s="35">
        <f>F81+G81</f>
        <v/>
      </c>
      <c r="I81" s="35">
        <f>IF((H81/AI81&gt;'Parámetros Proyección'!$G$11),0,D81*'Parámetros Proyección'!$G$11/(IF((H81/AI81&gt;'Parámetros Proyección'!$G$11),0,'Parámetros Proyección'!$G$11)+IF((N81/AI81&gt;'Parámetros Proyección'!$G$12),0,'Parámetros Proyección'!$G$12)+IF((T81/AI81&gt;'Parámetros Proyección'!$G$13),0,'Parámetros Proyección'!$G$13)+IF((Z81/AI81&gt;'Parámetros Proyección'!$G$14),0,'Parámetros Proyección'!$G$14)+IF((AF81/AI81&gt;'Parámetros Proyección'!$G$15),0,'Parámetros Proyección'!$G$15)))</f>
        <v/>
      </c>
      <c r="J81" s="35">
        <f>H81+I81</f>
        <v/>
      </c>
      <c r="K81" s="35">
        <f>P80</f>
        <v/>
      </c>
      <c r="L81" s="35">
        <f>K81*(1+'Parámetros Proyección'!$E$12)</f>
        <v/>
      </c>
      <c r="M81" s="35">
        <f>L81*'Parámetros Proyección'!$F$12</f>
        <v/>
      </c>
      <c r="N81" s="35">
        <f>L81+M81</f>
        <v/>
      </c>
      <c r="O81" s="35">
        <f>IF((N81/AI81&gt;'Parámetros Proyección'!$G$12),0,D81*'Parámetros Proyección'!$G$12/(IF((H81/AI81&gt;'Parámetros Proyección'!$G$11),0,'Parámetros Proyección'!$G$11)+IF((N81/AI81&gt;'Parámetros Proyección'!$G$12),0,'Parámetros Proyección'!$G$12)+IF((T81/AI81&gt;'Parámetros Proyección'!$G$13),0,'Parámetros Proyección'!$G$13)+IF((Z81/AI81&gt;'Parámetros Proyección'!$G$14),0,'Parámetros Proyección'!$G$14)+IF((AF81/AI81&gt;'Parámetros Proyección'!$G$15),0,'Parámetros Proyección'!$G$15)))</f>
        <v/>
      </c>
      <c r="P81" s="35">
        <f>N81+O81</f>
        <v/>
      </c>
      <c r="Q81" s="35">
        <f>V80</f>
        <v/>
      </c>
      <c r="R81" s="35">
        <f>Q81*(1+'Parámetros Proyección'!$E$13)</f>
        <v/>
      </c>
      <c r="S81" s="35">
        <f>R81*'Parámetros Proyección'!$F$13</f>
        <v/>
      </c>
      <c r="T81" s="35">
        <f>R81+S81</f>
        <v/>
      </c>
      <c r="U81" s="35">
        <f>IF((T81/AI81&gt;'Parámetros Proyección'!$G$13),0,D81*'Parámetros Proyección'!$G$13/(IF((H81/AI81&gt;'Parámetros Proyección'!$G$11),0,'Parámetros Proyección'!$G$11)+IF((N81/AI81&gt;'Parámetros Proyección'!$G$12),0,'Parámetros Proyección'!$G$12)+IF((T81/AI81&gt;'Parámetros Proyección'!$G$13),0,'Parámetros Proyección'!$G$13)+IF((Z81/AI81&gt;'Parámetros Proyección'!$G$14),0,'Parámetros Proyección'!$G$14)+IF((AF81/AI81&gt;'Parámetros Proyección'!$G$15),0,'Parámetros Proyección'!$G$15)))</f>
        <v/>
      </c>
      <c r="V81" s="35">
        <f>T81+U81</f>
        <v/>
      </c>
      <c r="W81" s="35">
        <f>AB80</f>
        <v/>
      </c>
      <c r="X81" s="35">
        <f>W81*(1+'Parámetros Proyección'!$E$14)</f>
        <v/>
      </c>
      <c r="Y81" s="35">
        <f>X81*'Parámetros Proyección'!$F$14</f>
        <v/>
      </c>
      <c r="Z81" s="35">
        <f>X81+Y81</f>
        <v/>
      </c>
      <c r="AA81" s="35">
        <f>IF((Z81/AI81&gt;'Parámetros Proyección'!$G$14),0,D81*'Parámetros Proyección'!$G$14/(IF((H81/AI81&gt;'Parámetros Proyección'!$G$11),0,'Parámetros Proyección'!$G$11)+IF((N81/AI81&gt;'Parámetros Proyección'!$G$12),0,'Parámetros Proyección'!$G$12)+IF((T81/AI81&gt;'Parámetros Proyección'!$G$13),0,'Parámetros Proyección'!$G$13)+IF((Z81/AI81&gt;'Parámetros Proyección'!$G$14),0,'Parámetros Proyección'!$G$14)+IF((AF81/AI81&gt;'Parámetros Proyección'!$G$15),0,'Parámetros Proyección'!$G$15)))</f>
        <v/>
      </c>
      <c r="AB81" s="35">
        <f>Z81+AA81</f>
        <v/>
      </c>
      <c r="AC81" s="35">
        <f>AH80</f>
        <v/>
      </c>
      <c r="AD81" s="35">
        <f>AC81*(1+'Parámetros Proyección'!$E$15)</f>
        <v/>
      </c>
      <c r="AE81" s="35">
        <f>AD81*'Parámetros Proyección'!$F$15</f>
        <v/>
      </c>
      <c r="AF81" s="35">
        <f>AD81+AE81</f>
        <v/>
      </c>
      <c r="AG81" s="35">
        <f>IF((AF81/AI81&gt;'Parámetros Proyección'!$G$15),0,D81*'Parámetros Proyección'!$G$15/(IF((H81/AI81&gt;'Parámetros Proyección'!$G$11),0,'Parámetros Proyección'!$G$11)+IF((N81/AI81&gt;'Parámetros Proyección'!$G$12),0,'Parámetros Proyección'!$G$12)+IF((T81/AI81&gt;'Parámetros Proyección'!$G$13),0,'Parámetros Proyección'!$G$13)+IF((Z81/AI81&gt;'Parámetros Proyección'!$G$14),0,'Parámetros Proyección'!$G$14)+IF((AF81/AI81&gt;'Parámetros Proyección'!$G$15),0,'Parámetros Proyección'!$G$15)))</f>
        <v/>
      </c>
      <c r="AH81" s="35">
        <f>AF81+AG81</f>
        <v/>
      </c>
      <c r="AI81" s="35">
        <f>H81+N81+T81+Z81+AF81</f>
        <v/>
      </c>
      <c r="AJ81" s="33">
        <f>AF81/AI81</f>
        <v/>
      </c>
      <c r="AK81">
        <f>IF(AJ81&gt;'Parámetros Proyección'!$B$5,1,0)</f>
        <v/>
      </c>
      <c r="AL81" s="35">
        <f>G81+M81+S81+Y81+AE81</f>
        <v/>
      </c>
      <c r="AM81" s="35">
        <f>AM80+D81</f>
        <v/>
      </c>
      <c r="AN81" s="35">
        <f>AN80+AL81</f>
        <v/>
      </c>
      <c r="AO81" s="35">
        <f>J81+P81+V81+AB81+AH81</f>
        <v/>
      </c>
    </row>
    <row r="82">
      <c r="A82" t="n">
        <v>79</v>
      </c>
      <c r="B82" s="34">
        <f>EDATE(B81,1)</f>
        <v/>
      </c>
      <c r="C82">
        <f>YEAR(B82)</f>
        <v/>
      </c>
      <c r="D82" s="35">
        <f>'Parámetros Proyección'!$B$3*(1+'Parámetros Proyección'!$B$4)^(C82-YEAR('Parámetros Proyección'!$B$6))</f>
        <v/>
      </c>
      <c r="E82" s="35">
        <f>J81</f>
        <v/>
      </c>
      <c r="F82" s="35">
        <f>E82*(1+'Parámetros Proyección'!$E$11)</f>
        <v/>
      </c>
      <c r="G82" s="35">
        <f>F82*'Parámetros Proyección'!$F$11</f>
        <v/>
      </c>
      <c r="H82" s="35">
        <f>F82+G82</f>
        <v/>
      </c>
      <c r="I82" s="35">
        <f>IF((H82/AI82&gt;'Parámetros Proyección'!$G$11),0,D82*'Parámetros Proyección'!$G$11/(IF((H82/AI82&gt;'Parámetros Proyección'!$G$11),0,'Parámetros Proyección'!$G$11)+IF((N82/AI82&gt;'Parámetros Proyección'!$G$12),0,'Parámetros Proyección'!$G$12)+IF((T82/AI82&gt;'Parámetros Proyección'!$G$13),0,'Parámetros Proyección'!$G$13)+IF((Z82/AI82&gt;'Parámetros Proyección'!$G$14),0,'Parámetros Proyección'!$G$14)+IF((AF82/AI82&gt;'Parámetros Proyección'!$G$15),0,'Parámetros Proyección'!$G$15)))</f>
        <v/>
      </c>
      <c r="J82" s="35">
        <f>H82+I82</f>
        <v/>
      </c>
      <c r="K82" s="35">
        <f>P81</f>
        <v/>
      </c>
      <c r="L82" s="35">
        <f>K82*(1+'Parámetros Proyección'!$E$12)</f>
        <v/>
      </c>
      <c r="M82" s="35">
        <f>L82*'Parámetros Proyección'!$F$12</f>
        <v/>
      </c>
      <c r="N82" s="35">
        <f>L82+M82</f>
        <v/>
      </c>
      <c r="O82" s="35">
        <f>IF((N82/AI82&gt;'Parámetros Proyección'!$G$12),0,D82*'Parámetros Proyección'!$G$12/(IF((H82/AI82&gt;'Parámetros Proyección'!$G$11),0,'Parámetros Proyección'!$G$11)+IF((N82/AI82&gt;'Parámetros Proyección'!$G$12),0,'Parámetros Proyección'!$G$12)+IF((T82/AI82&gt;'Parámetros Proyección'!$G$13),0,'Parámetros Proyección'!$G$13)+IF((Z82/AI82&gt;'Parámetros Proyección'!$G$14),0,'Parámetros Proyección'!$G$14)+IF((AF82/AI82&gt;'Parámetros Proyección'!$G$15),0,'Parámetros Proyección'!$G$15)))</f>
        <v/>
      </c>
      <c r="P82" s="35">
        <f>N82+O82</f>
        <v/>
      </c>
      <c r="Q82" s="35">
        <f>V81</f>
        <v/>
      </c>
      <c r="R82" s="35">
        <f>Q82*(1+'Parámetros Proyección'!$E$13)</f>
        <v/>
      </c>
      <c r="S82" s="35">
        <f>R82*'Parámetros Proyección'!$F$13</f>
        <v/>
      </c>
      <c r="T82" s="35">
        <f>R82+S82</f>
        <v/>
      </c>
      <c r="U82" s="35">
        <f>IF((T82/AI82&gt;'Parámetros Proyección'!$G$13),0,D82*'Parámetros Proyección'!$G$13/(IF((H82/AI82&gt;'Parámetros Proyección'!$G$11),0,'Parámetros Proyección'!$G$11)+IF((N82/AI82&gt;'Parámetros Proyección'!$G$12),0,'Parámetros Proyección'!$G$12)+IF((T82/AI82&gt;'Parámetros Proyección'!$G$13),0,'Parámetros Proyección'!$G$13)+IF((Z82/AI82&gt;'Parámetros Proyección'!$G$14),0,'Parámetros Proyección'!$G$14)+IF((AF82/AI82&gt;'Parámetros Proyección'!$G$15),0,'Parámetros Proyección'!$G$15)))</f>
        <v/>
      </c>
      <c r="V82" s="35">
        <f>T82+U82</f>
        <v/>
      </c>
      <c r="W82" s="35">
        <f>AB81</f>
        <v/>
      </c>
      <c r="X82" s="35">
        <f>W82*(1+'Parámetros Proyección'!$E$14)</f>
        <v/>
      </c>
      <c r="Y82" s="35">
        <f>X82*'Parámetros Proyección'!$F$14</f>
        <v/>
      </c>
      <c r="Z82" s="35">
        <f>X82+Y82</f>
        <v/>
      </c>
      <c r="AA82" s="35">
        <f>IF((Z82/AI82&gt;'Parámetros Proyección'!$G$14),0,D82*'Parámetros Proyección'!$G$14/(IF((H82/AI82&gt;'Parámetros Proyección'!$G$11),0,'Parámetros Proyección'!$G$11)+IF((N82/AI82&gt;'Parámetros Proyección'!$G$12),0,'Parámetros Proyección'!$G$12)+IF((T82/AI82&gt;'Parámetros Proyección'!$G$13),0,'Parámetros Proyección'!$G$13)+IF((Z82/AI82&gt;'Parámetros Proyección'!$G$14),0,'Parámetros Proyección'!$G$14)+IF((AF82/AI82&gt;'Parámetros Proyección'!$G$15),0,'Parámetros Proyección'!$G$15)))</f>
        <v/>
      </c>
      <c r="AB82" s="35">
        <f>Z82+AA82</f>
        <v/>
      </c>
      <c r="AC82" s="35">
        <f>AH81</f>
        <v/>
      </c>
      <c r="AD82" s="35">
        <f>AC82*(1+'Parámetros Proyección'!$E$15)</f>
        <v/>
      </c>
      <c r="AE82" s="35">
        <f>AD82*'Parámetros Proyección'!$F$15</f>
        <v/>
      </c>
      <c r="AF82" s="35">
        <f>AD82+AE82</f>
        <v/>
      </c>
      <c r="AG82" s="35">
        <f>IF((AF82/AI82&gt;'Parámetros Proyección'!$G$15),0,D82*'Parámetros Proyección'!$G$15/(IF((H82/AI82&gt;'Parámetros Proyección'!$G$11),0,'Parámetros Proyección'!$G$11)+IF((N82/AI82&gt;'Parámetros Proyección'!$G$12),0,'Parámetros Proyección'!$G$12)+IF((T82/AI82&gt;'Parámetros Proyección'!$G$13),0,'Parámetros Proyección'!$G$13)+IF((Z82/AI82&gt;'Parámetros Proyección'!$G$14),0,'Parámetros Proyección'!$G$14)+IF((AF82/AI82&gt;'Parámetros Proyección'!$G$15),0,'Parámetros Proyección'!$G$15)))</f>
        <v/>
      </c>
      <c r="AH82" s="35">
        <f>AF82+AG82</f>
        <v/>
      </c>
      <c r="AI82" s="35">
        <f>H82+N82+T82+Z82+AF82</f>
        <v/>
      </c>
      <c r="AJ82" s="33">
        <f>AF82/AI82</f>
        <v/>
      </c>
      <c r="AK82">
        <f>IF(AJ82&gt;'Parámetros Proyección'!$B$5,1,0)</f>
        <v/>
      </c>
      <c r="AL82" s="35">
        <f>G82+M82+S82+Y82+AE82</f>
        <v/>
      </c>
      <c r="AM82" s="35">
        <f>AM81+D82</f>
        <v/>
      </c>
      <c r="AN82" s="35">
        <f>AN81+AL82</f>
        <v/>
      </c>
      <c r="AO82" s="35">
        <f>J82+P82+V82+AB82+AH82</f>
        <v/>
      </c>
    </row>
    <row r="83">
      <c r="A83" t="n">
        <v>80</v>
      </c>
      <c r="B83" s="34">
        <f>EDATE(B82,1)</f>
        <v/>
      </c>
      <c r="C83">
        <f>YEAR(B83)</f>
        <v/>
      </c>
      <c r="D83" s="35">
        <f>'Parámetros Proyección'!$B$3*(1+'Parámetros Proyección'!$B$4)^(C83-YEAR('Parámetros Proyección'!$B$6))</f>
        <v/>
      </c>
      <c r="E83" s="35">
        <f>J82</f>
        <v/>
      </c>
      <c r="F83" s="35">
        <f>E83*(1+'Parámetros Proyección'!$E$11)</f>
        <v/>
      </c>
      <c r="G83" s="35">
        <f>F83*'Parámetros Proyección'!$F$11</f>
        <v/>
      </c>
      <c r="H83" s="35">
        <f>F83+G83</f>
        <v/>
      </c>
      <c r="I83" s="35">
        <f>IF((H83/AI83&gt;'Parámetros Proyección'!$G$11),0,D83*'Parámetros Proyección'!$G$11/(IF((H83/AI83&gt;'Parámetros Proyección'!$G$11),0,'Parámetros Proyección'!$G$11)+IF((N83/AI83&gt;'Parámetros Proyección'!$G$12),0,'Parámetros Proyección'!$G$12)+IF((T83/AI83&gt;'Parámetros Proyección'!$G$13),0,'Parámetros Proyección'!$G$13)+IF((Z83/AI83&gt;'Parámetros Proyección'!$G$14),0,'Parámetros Proyección'!$G$14)+IF((AF83/AI83&gt;'Parámetros Proyección'!$G$15),0,'Parámetros Proyección'!$G$15)))</f>
        <v/>
      </c>
      <c r="J83" s="35">
        <f>H83+I83</f>
        <v/>
      </c>
      <c r="K83" s="35">
        <f>P82</f>
        <v/>
      </c>
      <c r="L83" s="35">
        <f>K83*(1+'Parámetros Proyección'!$E$12)</f>
        <v/>
      </c>
      <c r="M83" s="35">
        <f>L83*'Parámetros Proyección'!$F$12</f>
        <v/>
      </c>
      <c r="N83" s="35">
        <f>L83+M83</f>
        <v/>
      </c>
      <c r="O83" s="35">
        <f>IF((N83/AI83&gt;'Parámetros Proyección'!$G$12),0,D83*'Parámetros Proyección'!$G$12/(IF((H83/AI83&gt;'Parámetros Proyección'!$G$11),0,'Parámetros Proyección'!$G$11)+IF((N83/AI83&gt;'Parámetros Proyección'!$G$12),0,'Parámetros Proyección'!$G$12)+IF((T83/AI83&gt;'Parámetros Proyección'!$G$13),0,'Parámetros Proyección'!$G$13)+IF((Z83/AI83&gt;'Parámetros Proyección'!$G$14),0,'Parámetros Proyección'!$G$14)+IF((AF83/AI83&gt;'Parámetros Proyección'!$G$15),0,'Parámetros Proyección'!$G$15)))</f>
        <v/>
      </c>
      <c r="P83" s="35">
        <f>N83+O83</f>
        <v/>
      </c>
      <c r="Q83" s="35">
        <f>V82</f>
        <v/>
      </c>
      <c r="R83" s="35">
        <f>Q83*(1+'Parámetros Proyección'!$E$13)</f>
        <v/>
      </c>
      <c r="S83" s="35">
        <f>R83*'Parámetros Proyección'!$F$13</f>
        <v/>
      </c>
      <c r="T83" s="35">
        <f>R83+S83</f>
        <v/>
      </c>
      <c r="U83" s="35">
        <f>IF((T83/AI83&gt;'Parámetros Proyección'!$G$13),0,D83*'Parámetros Proyección'!$G$13/(IF((H83/AI83&gt;'Parámetros Proyección'!$G$11),0,'Parámetros Proyección'!$G$11)+IF((N83/AI83&gt;'Parámetros Proyección'!$G$12),0,'Parámetros Proyección'!$G$12)+IF((T83/AI83&gt;'Parámetros Proyección'!$G$13),0,'Parámetros Proyección'!$G$13)+IF((Z83/AI83&gt;'Parámetros Proyección'!$G$14),0,'Parámetros Proyección'!$G$14)+IF((AF83/AI83&gt;'Parámetros Proyección'!$G$15),0,'Parámetros Proyección'!$G$15)))</f>
        <v/>
      </c>
      <c r="V83" s="35">
        <f>T83+U83</f>
        <v/>
      </c>
      <c r="W83" s="35">
        <f>AB82</f>
        <v/>
      </c>
      <c r="X83" s="35">
        <f>W83*(1+'Parámetros Proyección'!$E$14)</f>
        <v/>
      </c>
      <c r="Y83" s="35">
        <f>X83*'Parámetros Proyección'!$F$14</f>
        <v/>
      </c>
      <c r="Z83" s="35">
        <f>X83+Y83</f>
        <v/>
      </c>
      <c r="AA83" s="35">
        <f>IF((Z83/AI83&gt;'Parámetros Proyección'!$G$14),0,D83*'Parámetros Proyección'!$G$14/(IF((H83/AI83&gt;'Parámetros Proyección'!$G$11),0,'Parámetros Proyección'!$G$11)+IF((N83/AI83&gt;'Parámetros Proyección'!$G$12),0,'Parámetros Proyección'!$G$12)+IF((T83/AI83&gt;'Parámetros Proyección'!$G$13),0,'Parámetros Proyección'!$G$13)+IF((Z83/AI83&gt;'Parámetros Proyección'!$G$14),0,'Parámetros Proyección'!$G$14)+IF((AF83/AI83&gt;'Parámetros Proyección'!$G$15),0,'Parámetros Proyección'!$G$15)))</f>
        <v/>
      </c>
      <c r="AB83" s="35">
        <f>Z83+AA83</f>
        <v/>
      </c>
      <c r="AC83" s="35">
        <f>AH82</f>
        <v/>
      </c>
      <c r="AD83" s="35">
        <f>AC83*(1+'Parámetros Proyección'!$E$15)</f>
        <v/>
      </c>
      <c r="AE83" s="35">
        <f>AD83*'Parámetros Proyección'!$F$15</f>
        <v/>
      </c>
      <c r="AF83" s="35">
        <f>AD83+AE83</f>
        <v/>
      </c>
      <c r="AG83" s="35">
        <f>IF((AF83/AI83&gt;'Parámetros Proyección'!$G$15),0,D83*'Parámetros Proyección'!$G$15/(IF((H83/AI83&gt;'Parámetros Proyección'!$G$11),0,'Parámetros Proyección'!$G$11)+IF((N83/AI83&gt;'Parámetros Proyección'!$G$12),0,'Parámetros Proyección'!$G$12)+IF((T83/AI83&gt;'Parámetros Proyección'!$G$13),0,'Parámetros Proyección'!$G$13)+IF((Z83/AI83&gt;'Parámetros Proyección'!$G$14),0,'Parámetros Proyección'!$G$14)+IF((AF83/AI83&gt;'Parámetros Proyección'!$G$15),0,'Parámetros Proyección'!$G$15)))</f>
        <v/>
      </c>
      <c r="AH83" s="35">
        <f>AF83+AG83</f>
        <v/>
      </c>
      <c r="AI83" s="35">
        <f>H83+N83+T83+Z83+AF83</f>
        <v/>
      </c>
      <c r="AJ83" s="33">
        <f>AF83/AI83</f>
        <v/>
      </c>
      <c r="AK83">
        <f>IF(AJ83&gt;'Parámetros Proyección'!$B$5,1,0)</f>
        <v/>
      </c>
      <c r="AL83" s="35">
        <f>G83+M83+S83+Y83+AE83</f>
        <v/>
      </c>
      <c r="AM83" s="35">
        <f>AM82+D83</f>
        <v/>
      </c>
      <c r="AN83" s="35">
        <f>AN82+AL83</f>
        <v/>
      </c>
      <c r="AO83" s="35">
        <f>J83+P83+V83+AB83+AH83</f>
        <v/>
      </c>
    </row>
    <row r="84">
      <c r="A84" t="n">
        <v>81</v>
      </c>
      <c r="B84" s="34">
        <f>EDATE(B83,1)</f>
        <v/>
      </c>
      <c r="C84">
        <f>YEAR(B84)</f>
        <v/>
      </c>
      <c r="D84" s="35">
        <f>'Parámetros Proyección'!$B$3*(1+'Parámetros Proyección'!$B$4)^(C84-YEAR('Parámetros Proyección'!$B$6))</f>
        <v/>
      </c>
      <c r="E84" s="35">
        <f>J83</f>
        <v/>
      </c>
      <c r="F84" s="35">
        <f>E84*(1+'Parámetros Proyección'!$E$11)</f>
        <v/>
      </c>
      <c r="G84" s="35">
        <f>F84*'Parámetros Proyección'!$F$11</f>
        <v/>
      </c>
      <c r="H84" s="35">
        <f>F84+G84</f>
        <v/>
      </c>
      <c r="I84" s="35">
        <f>IF((H84/AI84&gt;'Parámetros Proyección'!$G$11),0,D84*'Parámetros Proyección'!$G$11/(IF((H84/AI84&gt;'Parámetros Proyección'!$G$11),0,'Parámetros Proyección'!$G$11)+IF((N84/AI84&gt;'Parámetros Proyección'!$G$12),0,'Parámetros Proyección'!$G$12)+IF((T84/AI84&gt;'Parámetros Proyección'!$G$13),0,'Parámetros Proyección'!$G$13)+IF((Z84/AI84&gt;'Parámetros Proyección'!$G$14),0,'Parámetros Proyección'!$G$14)+IF((AF84/AI84&gt;'Parámetros Proyección'!$G$15),0,'Parámetros Proyección'!$G$15)))</f>
        <v/>
      </c>
      <c r="J84" s="35">
        <f>H84+I84</f>
        <v/>
      </c>
      <c r="K84" s="35">
        <f>P83</f>
        <v/>
      </c>
      <c r="L84" s="35">
        <f>K84*(1+'Parámetros Proyección'!$E$12)</f>
        <v/>
      </c>
      <c r="M84" s="35">
        <f>L84*'Parámetros Proyección'!$F$12</f>
        <v/>
      </c>
      <c r="N84" s="35">
        <f>L84+M84</f>
        <v/>
      </c>
      <c r="O84" s="35">
        <f>IF((N84/AI84&gt;'Parámetros Proyección'!$G$12),0,D84*'Parámetros Proyección'!$G$12/(IF((H84/AI84&gt;'Parámetros Proyección'!$G$11),0,'Parámetros Proyección'!$G$11)+IF((N84/AI84&gt;'Parámetros Proyección'!$G$12),0,'Parámetros Proyección'!$G$12)+IF((T84/AI84&gt;'Parámetros Proyección'!$G$13),0,'Parámetros Proyección'!$G$13)+IF((Z84/AI84&gt;'Parámetros Proyección'!$G$14),0,'Parámetros Proyección'!$G$14)+IF((AF84/AI84&gt;'Parámetros Proyección'!$G$15),0,'Parámetros Proyección'!$G$15)))</f>
        <v/>
      </c>
      <c r="P84" s="35">
        <f>N84+O84</f>
        <v/>
      </c>
      <c r="Q84" s="35">
        <f>V83</f>
        <v/>
      </c>
      <c r="R84" s="35">
        <f>Q84*(1+'Parámetros Proyección'!$E$13)</f>
        <v/>
      </c>
      <c r="S84" s="35">
        <f>R84*'Parámetros Proyección'!$F$13</f>
        <v/>
      </c>
      <c r="T84" s="35">
        <f>R84+S84</f>
        <v/>
      </c>
      <c r="U84" s="35">
        <f>IF((T84/AI84&gt;'Parámetros Proyección'!$G$13),0,D84*'Parámetros Proyección'!$G$13/(IF((H84/AI84&gt;'Parámetros Proyección'!$G$11),0,'Parámetros Proyección'!$G$11)+IF((N84/AI84&gt;'Parámetros Proyección'!$G$12),0,'Parámetros Proyección'!$G$12)+IF((T84/AI84&gt;'Parámetros Proyección'!$G$13),0,'Parámetros Proyección'!$G$13)+IF((Z84/AI84&gt;'Parámetros Proyección'!$G$14),0,'Parámetros Proyección'!$G$14)+IF((AF84/AI84&gt;'Parámetros Proyección'!$G$15),0,'Parámetros Proyección'!$G$15)))</f>
        <v/>
      </c>
      <c r="V84" s="35">
        <f>T84+U84</f>
        <v/>
      </c>
      <c r="W84" s="35">
        <f>AB83</f>
        <v/>
      </c>
      <c r="X84" s="35">
        <f>W84*(1+'Parámetros Proyección'!$E$14)</f>
        <v/>
      </c>
      <c r="Y84" s="35">
        <f>X84*'Parámetros Proyección'!$F$14</f>
        <v/>
      </c>
      <c r="Z84" s="35">
        <f>X84+Y84</f>
        <v/>
      </c>
      <c r="AA84" s="35">
        <f>IF((Z84/AI84&gt;'Parámetros Proyección'!$G$14),0,D84*'Parámetros Proyección'!$G$14/(IF((H84/AI84&gt;'Parámetros Proyección'!$G$11),0,'Parámetros Proyección'!$G$11)+IF((N84/AI84&gt;'Parámetros Proyección'!$G$12),0,'Parámetros Proyección'!$G$12)+IF((T84/AI84&gt;'Parámetros Proyección'!$G$13),0,'Parámetros Proyección'!$G$13)+IF((Z84/AI84&gt;'Parámetros Proyección'!$G$14),0,'Parámetros Proyección'!$G$14)+IF((AF84/AI84&gt;'Parámetros Proyección'!$G$15),0,'Parámetros Proyección'!$G$15)))</f>
        <v/>
      </c>
      <c r="AB84" s="35">
        <f>Z84+AA84</f>
        <v/>
      </c>
      <c r="AC84" s="35">
        <f>AH83</f>
        <v/>
      </c>
      <c r="AD84" s="35">
        <f>AC84*(1+'Parámetros Proyección'!$E$15)</f>
        <v/>
      </c>
      <c r="AE84" s="35">
        <f>AD84*'Parámetros Proyección'!$F$15</f>
        <v/>
      </c>
      <c r="AF84" s="35">
        <f>AD84+AE84</f>
        <v/>
      </c>
      <c r="AG84" s="35">
        <f>IF((AF84/AI84&gt;'Parámetros Proyección'!$G$15),0,D84*'Parámetros Proyección'!$G$15/(IF((H84/AI84&gt;'Parámetros Proyección'!$G$11),0,'Parámetros Proyección'!$G$11)+IF((N84/AI84&gt;'Parámetros Proyección'!$G$12),0,'Parámetros Proyección'!$G$12)+IF((T84/AI84&gt;'Parámetros Proyección'!$G$13),0,'Parámetros Proyección'!$G$13)+IF((Z84/AI84&gt;'Parámetros Proyección'!$G$14),0,'Parámetros Proyección'!$G$14)+IF((AF84/AI84&gt;'Parámetros Proyección'!$G$15),0,'Parámetros Proyección'!$G$15)))</f>
        <v/>
      </c>
      <c r="AH84" s="35">
        <f>AF84+AG84</f>
        <v/>
      </c>
      <c r="AI84" s="35">
        <f>H84+N84+T84+Z84+AF84</f>
        <v/>
      </c>
      <c r="AJ84" s="33">
        <f>AF84/AI84</f>
        <v/>
      </c>
      <c r="AK84">
        <f>IF(AJ84&gt;'Parámetros Proyección'!$B$5,1,0)</f>
        <v/>
      </c>
      <c r="AL84" s="35">
        <f>G84+M84+S84+Y84+AE84</f>
        <v/>
      </c>
      <c r="AM84" s="35">
        <f>AM83+D84</f>
        <v/>
      </c>
      <c r="AN84" s="35">
        <f>AN83+AL84</f>
        <v/>
      </c>
      <c r="AO84" s="35">
        <f>J84+P84+V84+AB84+AH84</f>
        <v/>
      </c>
    </row>
    <row r="85">
      <c r="A85" t="n">
        <v>82</v>
      </c>
      <c r="B85" s="34">
        <f>EDATE(B84,1)</f>
        <v/>
      </c>
      <c r="C85">
        <f>YEAR(B85)</f>
        <v/>
      </c>
      <c r="D85" s="35">
        <f>'Parámetros Proyección'!$B$3*(1+'Parámetros Proyección'!$B$4)^(C85-YEAR('Parámetros Proyección'!$B$6))</f>
        <v/>
      </c>
      <c r="E85" s="35">
        <f>J84</f>
        <v/>
      </c>
      <c r="F85" s="35">
        <f>E85*(1+'Parámetros Proyección'!$E$11)</f>
        <v/>
      </c>
      <c r="G85" s="35">
        <f>F85*'Parámetros Proyección'!$F$11</f>
        <v/>
      </c>
      <c r="H85" s="35">
        <f>F85+G85</f>
        <v/>
      </c>
      <c r="I85" s="35">
        <f>IF((H85/AI85&gt;'Parámetros Proyección'!$G$11),0,D85*'Parámetros Proyección'!$G$11/(IF((H85/AI85&gt;'Parámetros Proyección'!$G$11),0,'Parámetros Proyección'!$G$11)+IF((N85/AI85&gt;'Parámetros Proyección'!$G$12),0,'Parámetros Proyección'!$G$12)+IF((T85/AI85&gt;'Parámetros Proyección'!$G$13),0,'Parámetros Proyección'!$G$13)+IF((Z85/AI85&gt;'Parámetros Proyección'!$G$14),0,'Parámetros Proyección'!$G$14)+IF((AF85/AI85&gt;'Parámetros Proyección'!$G$15),0,'Parámetros Proyección'!$G$15)))</f>
        <v/>
      </c>
      <c r="J85" s="35">
        <f>H85+I85</f>
        <v/>
      </c>
      <c r="K85" s="35">
        <f>P84</f>
        <v/>
      </c>
      <c r="L85" s="35">
        <f>K85*(1+'Parámetros Proyección'!$E$12)</f>
        <v/>
      </c>
      <c r="M85" s="35">
        <f>L85*'Parámetros Proyección'!$F$12</f>
        <v/>
      </c>
      <c r="N85" s="35">
        <f>L85+M85</f>
        <v/>
      </c>
      <c r="O85" s="35">
        <f>IF((N85/AI85&gt;'Parámetros Proyección'!$G$12),0,D85*'Parámetros Proyección'!$G$12/(IF((H85/AI85&gt;'Parámetros Proyección'!$G$11),0,'Parámetros Proyección'!$G$11)+IF((N85/AI85&gt;'Parámetros Proyección'!$G$12),0,'Parámetros Proyección'!$G$12)+IF((T85/AI85&gt;'Parámetros Proyección'!$G$13),0,'Parámetros Proyección'!$G$13)+IF((Z85/AI85&gt;'Parámetros Proyección'!$G$14),0,'Parámetros Proyección'!$G$14)+IF((AF85/AI85&gt;'Parámetros Proyección'!$G$15),0,'Parámetros Proyección'!$G$15)))</f>
        <v/>
      </c>
      <c r="P85" s="35">
        <f>N85+O85</f>
        <v/>
      </c>
      <c r="Q85" s="35">
        <f>V84</f>
        <v/>
      </c>
      <c r="R85" s="35">
        <f>Q85*(1+'Parámetros Proyección'!$E$13)</f>
        <v/>
      </c>
      <c r="S85" s="35">
        <f>R85*'Parámetros Proyección'!$F$13</f>
        <v/>
      </c>
      <c r="T85" s="35">
        <f>R85+S85</f>
        <v/>
      </c>
      <c r="U85" s="35">
        <f>IF((T85/AI85&gt;'Parámetros Proyección'!$G$13),0,D85*'Parámetros Proyección'!$G$13/(IF((H85/AI85&gt;'Parámetros Proyección'!$G$11),0,'Parámetros Proyección'!$G$11)+IF((N85/AI85&gt;'Parámetros Proyección'!$G$12),0,'Parámetros Proyección'!$G$12)+IF((T85/AI85&gt;'Parámetros Proyección'!$G$13),0,'Parámetros Proyección'!$G$13)+IF((Z85/AI85&gt;'Parámetros Proyección'!$G$14),0,'Parámetros Proyección'!$G$14)+IF((AF85/AI85&gt;'Parámetros Proyección'!$G$15),0,'Parámetros Proyección'!$G$15)))</f>
        <v/>
      </c>
      <c r="V85" s="35">
        <f>T85+U85</f>
        <v/>
      </c>
      <c r="W85" s="35">
        <f>AB84</f>
        <v/>
      </c>
      <c r="X85" s="35">
        <f>W85*(1+'Parámetros Proyección'!$E$14)</f>
        <v/>
      </c>
      <c r="Y85" s="35">
        <f>X85*'Parámetros Proyección'!$F$14</f>
        <v/>
      </c>
      <c r="Z85" s="35">
        <f>X85+Y85</f>
        <v/>
      </c>
      <c r="AA85" s="35">
        <f>IF((Z85/AI85&gt;'Parámetros Proyección'!$G$14),0,D85*'Parámetros Proyección'!$G$14/(IF((H85/AI85&gt;'Parámetros Proyección'!$G$11),0,'Parámetros Proyección'!$G$11)+IF((N85/AI85&gt;'Parámetros Proyección'!$G$12),0,'Parámetros Proyección'!$G$12)+IF((T85/AI85&gt;'Parámetros Proyección'!$G$13),0,'Parámetros Proyección'!$G$13)+IF((Z85/AI85&gt;'Parámetros Proyección'!$G$14),0,'Parámetros Proyección'!$G$14)+IF((AF85/AI85&gt;'Parámetros Proyección'!$G$15),0,'Parámetros Proyección'!$G$15)))</f>
        <v/>
      </c>
      <c r="AB85" s="35">
        <f>Z85+AA85</f>
        <v/>
      </c>
      <c r="AC85" s="35">
        <f>AH84</f>
        <v/>
      </c>
      <c r="AD85" s="35">
        <f>AC85*(1+'Parámetros Proyección'!$E$15)</f>
        <v/>
      </c>
      <c r="AE85" s="35">
        <f>AD85*'Parámetros Proyección'!$F$15</f>
        <v/>
      </c>
      <c r="AF85" s="35">
        <f>AD85+AE85</f>
        <v/>
      </c>
      <c r="AG85" s="35">
        <f>IF((AF85/AI85&gt;'Parámetros Proyección'!$G$15),0,D85*'Parámetros Proyección'!$G$15/(IF((H85/AI85&gt;'Parámetros Proyección'!$G$11),0,'Parámetros Proyección'!$G$11)+IF((N85/AI85&gt;'Parámetros Proyección'!$G$12),0,'Parámetros Proyección'!$G$12)+IF((T85/AI85&gt;'Parámetros Proyección'!$G$13),0,'Parámetros Proyección'!$G$13)+IF((Z85/AI85&gt;'Parámetros Proyección'!$G$14),0,'Parámetros Proyección'!$G$14)+IF((AF85/AI85&gt;'Parámetros Proyección'!$G$15),0,'Parámetros Proyección'!$G$15)))</f>
        <v/>
      </c>
      <c r="AH85" s="35">
        <f>AF85+AG85</f>
        <v/>
      </c>
      <c r="AI85" s="35">
        <f>H85+N85+T85+Z85+AF85</f>
        <v/>
      </c>
      <c r="AJ85" s="33">
        <f>AF85/AI85</f>
        <v/>
      </c>
      <c r="AK85">
        <f>IF(AJ85&gt;'Parámetros Proyección'!$B$5,1,0)</f>
        <v/>
      </c>
      <c r="AL85" s="35">
        <f>G85+M85+S85+Y85+AE85</f>
        <v/>
      </c>
      <c r="AM85" s="35">
        <f>AM84+D85</f>
        <v/>
      </c>
      <c r="AN85" s="35">
        <f>AN84+AL85</f>
        <v/>
      </c>
      <c r="AO85" s="35">
        <f>J85+P85+V85+AB85+AH85</f>
        <v/>
      </c>
    </row>
    <row r="86">
      <c r="A86" t="n">
        <v>83</v>
      </c>
      <c r="B86" s="34">
        <f>EDATE(B85,1)</f>
        <v/>
      </c>
      <c r="C86">
        <f>YEAR(B86)</f>
        <v/>
      </c>
      <c r="D86" s="35">
        <f>'Parámetros Proyección'!$B$3*(1+'Parámetros Proyección'!$B$4)^(C86-YEAR('Parámetros Proyección'!$B$6))</f>
        <v/>
      </c>
      <c r="E86" s="35">
        <f>J85</f>
        <v/>
      </c>
      <c r="F86" s="35">
        <f>E86*(1+'Parámetros Proyección'!$E$11)</f>
        <v/>
      </c>
      <c r="G86" s="35">
        <f>F86*'Parámetros Proyección'!$F$11</f>
        <v/>
      </c>
      <c r="H86" s="35">
        <f>F86+G86</f>
        <v/>
      </c>
      <c r="I86" s="35">
        <f>IF((H86/AI86&gt;'Parámetros Proyección'!$G$11),0,D86*'Parámetros Proyección'!$G$11/(IF((H86/AI86&gt;'Parámetros Proyección'!$G$11),0,'Parámetros Proyección'!$G$11)+IF((N86/AI86&gt;'Parámetros Proyección'!$G$12),0,'Parámetros Proyección'!$G$12)+IF((T86/AI86&gt;'Parámetros Proyección'!$G$13),0,'Parámetros Proyección'!$G$13)+IF((Z86/AI86&gt;'Parámetros Proyección'!$G$14),0,'Parámetros Proyección'!$G$14)+IF((AF86/AI86&gt;'Parámetros Proyección'!$G$15),0,'Parámetros Proyección'!$G$15)))</f>
        <v/>
      </c>
      <c r="J86" s="35">
        <f>H86+I86</f>
        <v/>
      </c>
      <c r="K86" s="35">
        <f>P85</f>
        <v/>
      </c>
      <c r="L86" s="35">
        <f>K86*(1+'Parámetros Proyección'!$E$12)</f>
        <v/>
      </c>
      <c r="M86" s="35">
        <f>L86*'Parámetros Proyección'!$F$12</f>
        <v/>
      </c>
      <c r="N86" s="35">
        <f>L86+M86</f>
        <v/>
      </c>
      <c r="O86" s="35">
        <f>IF((N86/AI86&gt;'Parámetros Proyección'!$G$12),0,D86*'Parámetros Proyección'!$G$12/(IF((H86/AI86&gt;'Parámetros Proyección'!$G$11),0,'Parámetros Proyección'!$G$11)+IF((N86/AI86&gt;'Parámetros Proyección'!$G$12),0,'Parámetros Proyección'!$G$12)+IF((T86/AI86&gt;'Parámetros Proyección'!$G$13),0,'Parámetros Proyección'!$G$13)+IF((Z86/AI86&gt;'Parámetros Proyección'!$G$14),0,'Parámetros Proyección'!$G$14)+IF((AF86/AI86&gt;'Parámetros Proyección'!$G$15),0,'Parámetros Proyección'!$G$15)))</f>
        <v/>
      </c>
      <c r="P86" s="35">
        <f>N86+O86</f>
        <v/>
      </c>
      <c r="Q86" s="35">
        <f>V85</f>
        <v/>
      </c>
      <c r="R86" s="35">
        <f>Q86*(1+'Parámetros Proyección'!$E$13)</f>
        <v/>
      </c>
      <c r="S86" s="35">
        <f>R86*'Parámetros Proyección'!$F$13</f>
        <v/>
      </c>
      <c r="T86" s="35">
        <f>R86+S86</f>
        <v/>
      </c>
      <c r="U86" s="35">
        <f>IF((T86/AI86&gt;'Parámetros Proyección'!$G$13),0,D86*'Parámetros Proyección'!$G$13/(IF((H86/AI86&gt;'Parámetros Proyección'!$G$11),0,'Parámetros Proyección'!$G$11)+IF((N86/AI86&gt;'Parámetros Proyección'!$G$12),0,'Parámetros Proyección'!$G$12)+IF((T86/AI86&gt;'Parámetros Proyección'!$G$13),0,'Parámetros Proyección'!$G$13)+IF((Z86/AI86&gt;'Parámetros Proyección'!$G$14),0,'Parámetros Proyección'!$G$14)+IF((AF86/AI86&gt;'Parámetros Proyección'!$G$15),0,'Parámetros Proyección'!$G$15)))</f>
        <v/>
      </c>
      <c r="V86" s="35">
        <f>T86+U86</f>
        <v/>
      </c>
      <c r="W86" s="35">
        <f>AB85</f>
        <v/>
      </c>
      <c r="X86" s="35">
        <f>W86*(1+'Parámetros Proyección'!$E$14)</f>
        <v/>
      </c>
      <c r="Y86" s="35">
        <f>X86*'Parámetros Proyección'!$F$14</f>
        <v/>
      </c>
      <c r="Z86" s="35">
        <f>X86+Y86</f>
        <v/>
      </c>
      <c r="AA86" s="35">
        <f>IF((Z86/AI86&gt;'Parámetros Proyección'!$G$14),0,D86*'Parámetros Proyección'!$G$14/(IF((H86/AI86&gt;'Parámetros Proyección'!$G$11),0,'Parámetros Proyección'!$G$11)+IF((N86/AI86&gt;'Parámetros Proyección'!$G$12),0,'Parámetros Proyección'!$G$12)+IF((T86/AI86&gt;'Parámetros Proyección'!$G$13),0,'Parámetros Proyección'!$G$13)+IF((Z86/AI86&gt;'Parámetros Proyección'!$G$14),0,'Parámetros Proyección'!$G$14)+IF((AF86/AI86&gt;'Parámetros Proyección'!$G$15),0,'Parámetros Proyección'!$G$15)))</f>
        <v/>
      </c>
      <c r="AB86" s="35">
        <f>Z86+AA86</f>
        <v/>
      </c>
      <c r="AC86" s="35">
        <f>AH85</f>
        <v/>
      </c>
      <c r="AD86" s="35">
        <f>AC86*(1+'Parámetros Proyección'!$E$15)</f>
        <v/>
      </c>
      <c r="AE86" s="35">
        <f>AD86*'Parámetros Proyección'!$F$15</f>
        <v/>
      </c>
      <c r="AF86" s="35">
        <f>AD86+AE86</f>
        <v/>
      </c>
      <c r="AG86" s="35">
        <f>IF((AF86/AI86&gt;'Parámetros Proyección'!$G$15),0,D86*'Parámetros Proyección'!$G$15/(IF((H86/AI86&gt;'Parámetros Proyección'!$G$11),0,'Parámetros Proyección'!$G$11)+IF((N86/AI86&gt;'Parámetros Proyección'!$G$12),0,'Parámetros Proyección'!$G$12)+IF((T86/AI86&gt;'Parámetros Proyección'!$G$13),0,'Parámetros Proyección'!$G$13)+IF((Z86/AI86&gt;'Parámetros Proyección'!$G$14),0,'Parámetros Proyección'!$G$14)+IF((AF86/AI86&gt;'Parámetros Proyección'!$G$15),0,'Parámetros Proyección'!$G$15)))</f>
        <v/>
      </c>
      <c r="AH86" s="35">
        <f>AF86+AG86</f>
        <v/>
      </c>
      <c r="AI86" s="35">
        <f>H86+N86+T86+Z86+AF86</f>
        <v/>
      </c>
      <c r="AJ86" s="33">
        <f>AF86/AI86</f>
        <v/>
      </c>
      <c r="AK86">
        <f>IF(AJ86&gt;'Parámetros Proyección'!$B$5,1,0)</f>
        <v/>
      </c>
      <c r="AL86" s="35">
        <f>G86+M86+S86+Y86+AE86</f>
        <v/>
      </c>
      <c r="AM86" s="35">
        <f>AM85+D86</f>
        <v/>
      </c>
      <c r="AN86" s="35">
        <f>AN85+AL86</f>
        <v/>
      </c>
      <c r="AO86" s="35">
        <f>J86+P86+V86+AB86+AH86</f>
        <v/>
      </c>
    </row>
    <row r="87">
      <c r="A87" t="n">
        <v>84</v>
      </c>
      <c r="B87" s="34">
        <f>EDATE(B86,1)</f>
        <v/>
      </c>
      <c r="C87">
        <f>YEAR(B87)</f>
        <v/>
      </c>
      <c r="D87" s="35">
        <f>'Parámetros Proyección'!$B$3*(1+'Parámetros Proyección'!$B$4)^(C87-YEAR('Parámetros Proyección'!$B$6))</f>
        <v/>
      </c>
      <c r="E87" s="35">
        <f>J86</f>
        <v/>
      </c>
      <c r="F87" s="35">
        <f>E87*(1+'Parámetros Proyección'!$E$11)</f>
        <v/>
      </c>
      <c r="G87" s="35">
        <f>F87*'Parámetros Proyección'!$F$11</f>
        <v/>
      </c>
      <c r="H87" s="35">
        <f>F87+G87</f>
        <v/>
      </c>
      <c r="I87" s="35">
        <f>IF((H87/AI87&gt;'Parámetros Proyección'!$G$11),0,D87*'Parámetros Proyección'!$G$11/(IF((H87/AI87&gt;'Parámetros Proyección'!$G$11),0,'Parámetros Proyección'!$G$11)+IF((N87/AI87&gt;'Parámetros Proyección'!$G$12),0,'Parámetros Proyección'!$G$12)+IF((T87/AI87&gt;'Parámetros Proyección'!$G$13),0,'Parámetros Proyección'!$G$13)+IF((Z87/AI87&gt;'Parámetros Proyección'!$G$14),0,'Parámetros Proyección'!$G$14)+IF((AF87/AI87&gt;'Parámetros Proyección'!$G$15),0,'Parámetros Proyección'!$G$15)))</f>
        <v/>
      </c>
      <c r="J87" s="35">
        <f>H87+I87</f>
        <v/>
      </c>
      <c r="K87" s="35">
        <f>P86</f>
        <v/>
      </c>
      <c r="L87" s="35">
        <f>K87*(1+'Parámetros Proyección'!$E$12)</f>
        <v/>
      </c>
      <c r="M87" s="35">
        <f>L87*'Parámetros Proyección'!$F$12</f>
        <v/>
      </c>
      <c r="N87" s="35">
        <f>L87+M87</f>
        <v/>
      </c>
      <c r="O87" s="35">
        <f>IF((N87/AI87&gt;'Parámetros Proyección'!$G$12),0,D87*'Parámetros Proyección'!$G$12/(IF((H87/AI87&gt;'Parámetros Proyección'!$G$11),0,'Parámetros Proyección'!$G$11)+IF((N87/AI87&gt;'Parámetros Proyección'!$G$12),0,'Parámetros Proyección'!$G$12)+IF((T87/AI87&gt;'Parámetros Proyección'!$G$13),0,'Parámetros Proyección'!$G$13)+IF((Z87/AI87&gt;'Parámetros Proyección'!$G$14),0,'Parámetros Proyección'!$G$14)+IF((AF87/AI87&gt;'Parámetros Proyección'!$G$15),0,'Parámetros Proyección'!$G$15)))</f>
        <v/>
      </c>
      <c r="P87" s="35">
        <f>N87+O87</f>
        <v/>
      </c>
      <c r="Q87" s="35">
        <f>V86</f>
        <v/>
      </c>
      <c r="R87" s="35">
        <f>Q87*(1+'Parámetros Proyección'!$E$13)</f>
        <v/>
      </c>
      <c r="S87" s="35">
        <f>R87*'Parámetros Proyección'!$F$13</f>
        <v/>
      </c>
      <c r="T87" s="35">
        <f>R87+S87</f>
        <v/>
      </c>
      <c r="U87" s="35">
        <f>IF((T87/AI87&gt;'Parámetros Proyección'!$G$13),0,D87*'Parámetros Proyección'!$G$13/(IF((H87/AI87&gt;'Parámetros Proyección'!$G$11),0,'Parámetros Proyección'!$G$11)+IF((N87/AI87&gt;'Parámetros Proyección'!$G$12),0,'Parámetros Proyección'!$G$12)+IF((T87/AI87&gt;'Parámetros Proyección'!$G$13),0,'Parámetros Proyección'!$G$13)+IF((Z87/AI87&gt;'Parámetros Proyección'!$G$14),0,'Parámetros Proyección'!$G$14)+IF((AF87/AI87&gt;'Parámetros Proyección'!$G$15),0,'Parámetros Proyección'!$G$15)))</f>
        <v/>
      </c>
      <c r="V87" s="35">
        <f>T87+U87</f>
        <v/>
      </c>
      <c r="W87" s="35">
        <f>AB86</f>
        <v/>
      </c>
      <c r="X87" s="35">
        <f>W87*(1+'Parámetros Proyección'!$E$14)</f>
        <v/>
      </c>
      <c r="Y87" s="35">
        <f>X87*'Parámetros Proyección'!$F$14</f>
        <v/>
      </c>
      <c r="Z87" s="35">
        <f>X87+Y87</f>
        <v/>
      </c>
      <c r="AA87" s="35">
        <f>IF((Z87/AI87&gt;'Parámetros Proyección'!$G$14),0,D87*'Parámetros Proyección'!$G$14/(IF((H87/AI87&gt;'Parámetros Proyección'!$G$11),0,'Parámetros Proyección'!$G$11)+IF((N87/AI87&gt;'Parámetros Proyección'!$G$12),0,'Parámetros Proyección'!$G$12)+IF((T87/AI87&gt;'Parámetros Proyección'!$G$13),0,'Parámetros Proyección'!$G$13)+IF((Z87/AI87&gt;'Parámetros Proyección'!$G$14),0,'Parámetros Proyección'!$G$14)+IF((AF87/AI87&gt;'Parámetros Proyección'!$G$15),0,'Parámetros Proyección'!$G$15)))</f>
        <v/>
      </c>
      <c r="AB87" s="35">
        <f>Z87+AA87</f>
        <v/>
      </c>
      <c r="AC87" s="35">
        <f>AH86</f>
        <v/>
      </c>
      <c r="AD87" s="35">
        <f>AC87*(1+'Parámetros Proyección'!$E$15)</f>
        <v/>
      </c>
      <c r="AE87" s="35">
        <f>AD87*'Parámetros Proyección'!$F$15</f>
        <v/>
      </c>
      <c r="AF87" s="35">
        <f>AD87+AE87</f>
        <v/>
      </c>
      <c r="AG87" s="35">
        <f>IF((AF87/AI87&gt;'Parámetros Proyección'!$G$15),0,D87*'Parámetros Proyección'!$G$15/(IF((H87/AI87&gt;'Parámetros Proyección'!$G$11),0,'Parámetros Proyección'!$G$11)+IF((N87/AI87&gt;'Parámetros Proyección'!$G$12),0,'Parámetros Proyección'!$G$12)+IF((T87/AI87&gt;'Parámetros Proyección'!$G$13),0,'Parámetros Proyección'!$G$13)+IF((Z87/AI87&gt;'Parámetros Proyección'!$G$14),0,'Parámetros Proyección'!$G$14)+IF((AF87/AI87&gt;'Parámetros Proyección'!$G$15),0,'Parámetros Proyección'!$G$15)))</f>
        <v/>
      </c>
      <c r="AH87" s="35">
        <f>AF87+AG87</f>
        <v/>
      </c>
      <c r="AI87" s="35">
        <f>H87+N87+T87+Z87+AF87</f>
        <v/>
      </c>
      <c r="AJ87" s="33">
        <f>AF87/AI87</f>
        <v/>
      </c>
      <c r="AK87">
        <f>IF(AJ87&gt;'Parámetros Proyección'!$B$5,1,0)</f>
        <v/>
      </c>
      <c r="AL87" s="35">
        <f>G87+M87+S87+Y87+AE87</f>
        <v/>
      </c>
      <c r="AM87" s="35">
        <f>AM86+D87</f>
        <v/>
      </c>
      <c r="AN87" s="35">
        <f>AN86+AL87</f>
        <v/>
      </c>
      <c r="AO87" s="35">
        <f>J87+P87+V87+AB87+AH87</f>
        <v/>
      </c>
    </row>
    <row r="88">
      <c r="A88" t="n">
        <v>85</v>
      </c>
      <c r="B88" s="34">
        <f>EDATE(B87,1)</f>
        <v/>
      </c>
      <c r="C88">
        <f>YEAR(B88)</f>
        <v/>
      </c>
      <c r="D88" s="35">
        <f>'Parámetros Proyección'!$B$3*(1+'Parámetros Proyección'!$B$4)^(C88-YEAR('Parámetros Proyección'!$B$6))</f>
        <v/>
      </c>
      <c r="E88" s="35">
        <f>J87</f>
        <v/>
      </c>
      <c r="F88" s="35">
        <f>E88*(1+'Parámetros Proyección'!$E$11)</f>
        <v/>
      </c>
      <c r="G88" s="35">
        <f>F88*'Parámetros Proyección'!$F$11</f>
        <v/>
      </c>
      <c r="H88" s="35">
        <f>F88+G88</f>
        <v/>
      </c>
      <c r="I88" s="35">
        <f>IF((H88/AI88&gt;'Parámetros Proyección'!$G$11),0,D88*'Parámetros Proyección'!$G$11/(IF((H88/AI88&gt;'Parámetros Proyección'!$G$11),0,'Parámetros Proyección'!$G$11)+IF((N88/AI88&gt;'Parámetros Proyección'!$G$12),0,'Parámetros Proyección'!$G$12)+IF((T88/AI88&gt;'Parámetros Proyección'!$G$13),0,'Parámetros Proyección'!$G$13)+IF((Z88/AI88&gt;'Parámetros Proyección'!$G$14),0,'Parámetros Proyección'!$G$14)+IF((AF88/AI88&gt;'Parámetros Proyección'!$G$15),0,'Parámetros Proyección'!$G$15)))</f>
        <v/>
      </c>
      <c r="J88" s="35">
        <f>H88+I88</f>
        <v/>
      </c>
      <c r="K88" s="35">
        <f>P87</f>
        <v/>
      </c>
      <c r="L88" s="35">
        <f>K88*(1+'Parámetros Proyección'!$E$12)</f>
        <v/>
      </c>
      <c r="M88" s="35">
        <f>L88*'Parámetros Proyección'!$F$12</f>
        <v/>
      </c>
      <c r="N88" s="35">
        <f>L88+M88</f>
        <v/>
      </c>
      <c r="O88" s="35">
        <f>IF((N88/AI88&gt;'Parámetros Proyección'!$G$12),0,D88*'Parámetros Proyección'!$G$12/(IF((H88/AI88&gt;'Parámetros Proyección'!$G$11),0,'Parámetros Proyección'!$G$11)+IF((N88/AI88&gt;'Parámetros Proyección'!$G$12),0,'Parámetros Proyección'!$G$12)+IF((T88/AI88&gt;'Parámetros Proyección'!$G$13),0,'Parámetros Proyección'!$G$13)+IF((Z88/AI88&gt;'Parámetros Proyección'!$G$14),0,'Parámetros Proyección'!$G$14)+IF((AF88/AI88&gt;'Parámetros Proyección'!$G$15),0,'Parámetros Proyección'!$G$15)))</f>
        <v/>
      </c>
      <c r="P88" s="35">
        <f>N88+O88</f>
        <v/>
      </c>
      <c r="Q88" s="35">
        <f>V87</f>
        <v/>
      </c>
      <c r="R88" s="35">
        <f>Q88*(1+'Parámetros Proyección'!$E$13)</f>
        <v/>
      </c>
      <c r="S88" s="35">
        <f>R88*'Parámetros Proyección'!$F$13</f>
        <v/>
      </c>
      <c r="T88" s="35">
        <f>R88+S88</f>
        <v/>
      </c>
      <c r="U88" s="35">
        <f>IF((T88/AI88&gt;'Parámetros Proyección'!$G$13),0,D88*'Parámetros Proyección'!$G$13/(IF((H88/AI88&gt;'Parámetros Proyección'!$G$11),0,'Parámetros Proyección'!$G$11)+IF((N88/AI88&gt;'Parámetros Proyección'!$G$12),0,'Parámetros Proyección'!$G$12)+IF((T88/AI88&gt;'Parámetros Proyección'!$G$13),0,'Parámetros Proyección'!$G$13)+IF((Z88/AI88&gt;'Parámetros Proyección'!$G$14),0,'Parámetros Proyección'!$G$14)+IF((AF88/AI88&gt;'Parámetros Proyección'!$G$15),0,'Parámetros Proyección'!$G$15)))</f>
        <v/>
      </c>
      <c r="V88" s="35">
        <f>T88+U88</f>
        <v/>
      </c>
      <c r="W88" s="35">
        <f>AB87</f>
        <v/>
      </c>
      <c r="X88" s="35">
        <f>W88*(1+'Parámetros Proyección'!$E$14)</f>
        <v/>
      </c>
      <c r="Y88" s="35">
        <f>X88*'Parámetros Proyección'!$F$14</f>
        <v/>
      </c>
      <c r="Z88" s="35">
        <f>X88+Y88</f>
        <v/>
      </c>
      <c r="AA88" s="35">
        <f>IF((Z88/AI88&gt;'Parámetros Proyección'!$G$14),0,D88*'Parámetros Proyección'!$G$14/(IF((H88/AI88&gt;'Parámetros Proyección'!$G$11),0,'Parámetros Proyección'!$G$11)+IF((N88/AI88&gt;'Parámetros Proyección'!$G$12),0,'Parámetros Proyección'!$G$12)+IF((T88/AI88&gt;'Parámetros Proyección'!$G$13),0,'Parámetros Proyección'!$G$13)+IF((Z88/AI88&gt;'Parámetros Proyección'!$G$14),0,'Parámetros Proyección'!$G$14)+IF((AF88/AI88&gt;'Parámetros Proyección'!$G$15),0,'Parámetros Proyección'!$G$15)))</f>
        <v/>
      </c>
      <c r="AB88" s="35">
        <f>Z88+AA88</f>
        <v/>
      </c>
      <c r="AC88" s="35">
        <f>AH87</f>
        <v/>
      </c>
      <c r="AD88" s="35">
        <f>AC88*(1+'Parámetros Proyección'!$E$15)</f>
        <v/>
      </c>
      <c r="AE88" s="35">
        <f>AD88*'Parámetros Proyección'!$F$15</f>
        <v/>
      </c>
      <c r="AF88" s="35">
        <f>AD88+AE88</f>
        <v/>
      </c>
      <c r="AG88" s="35">
        <f>IF((AF88/AI88&gt;'Parámetros Proyección'!$G$15),0,D88*'Parámetros Proyección'!$G$15/(IF((H88/AI88&gt;'Parámetros Proyección'!$G$11),0,'Parámetros Proyección'!$G$11)+IF((N88/AI88&gt;'Parámetros Proyección'!$G$12),0,'Parámetros Proyección'!$G$12)+IF((T88/AI88&gt;'Parámetros Proyección'!$G$13),0,'Parámetros Proyección'!$G$13)+IF((Z88/AI88&gt;'Parámetros Proyección'!$G$14),0,'Parámetros Proyección'!$G$14)+IF((AF88/AI88&gt;'Parámetros Proyección'!$G$15),0,'Parámetros Proyección'!$G$15)))</f>
        <v/>
      </c>
      <c r="AH88" s="35">
        <f>AF88+AG88</f>
        <v/>
      </c>
      <c r="AI88" s="35">
        <f>H88+N88+T88+Z88+AF88</f>
        <v/>
      </c>
      <c r="AJ88" s="33">
        <f>AF88/AI88</f>
        <v/>
      </c>
      <c r="AK88">
        <f>IF(AJ88&gt;'Parámetros Proyección'!$B$5,1,0)</f>
        <v/>
      </c>
      <c r="AL88" s="35">
        <f>G88+M88+S88+Y88+AE88</f>
        <v/>
      </c>
      <c r="AM88" s="35">
        <f>AM87+D88</f>
        <v/>
      </c>
      <c r="AN88" s="35">
        <f>AN87+AL88</f>
        <v/>
      </c>
      <c r="AO88" s="35">
        <f>J88+P88+V88+AB88+AH88</f>
        <v/>
      </c>
    </row>
    <row r="89">
      <c r="A89" t="n">
        <v>86</v>
      </c>
      <c r="B89" s="34">
        <f>EDATE(B88,1)</f>
        <v/>
      </c>
      <c r="C89">
        <f>YEAR(B89)</f>
        <v/>
      </c>
      <c r="D89" s="35">
        <f>'Parámetros Proyección'!$B$3*(1+'Parámetros Proyección'!$B$4)^(C89-YEAR('Parámetros Proyección'!$B$6))</f>
        <v/>
      </c>
      <c r="E89" s="35">
        <f>J88</f>
        <v/>
      </c>
      <c r="F89" s="35">
        <f>E89*(1+'Parámetros Proyección'!$E$11)</f>
        <v/>
      </c>
      <c r="G89" s="35">
        <f>F89*'Parámetros Proyección'!$F$11</f>
        <v/>
      </c>
      <c r="H89" s="35">
        <f>F89+G89</f>
        <v/>
      </c>
      <c r="I89" s="35">
        <f>IF((H89/AI89&gt;'Parámetros Proyección'!$G$11),0,D89*'Parámetros Proyección'!$G$11/(IF((H89/AI89&gt;'Parámetros Proyección'!$G$11),0,'Parámetros Proyección'!$G$11)+IF((N89/AI89&gt;'Parámetros Proyección'!$G$12),0,'Parámetros Proyección'!$G$12)+IF((T89/AI89&gt;'Parámetros Proyección'!$G$13),0,'Parámetros Proyección'!$G$13)+IF((Z89/AI89&gt;'Parámetros Proyección'!$G$14),0,'Parámetros Proyección'!$G$14)+IF((AF89/AI89&gt;'Parámetros Proyección'!$G$15),0,'Parámetros Proyección'!$G$15)))</f>
        <v/>
      </c>
      <c r="J89" s="35">
        <f>H89+I89</f>
        <v/>
      </c>
      <c r="K89" s="35">
        <f>P88</f>
        <v/>
      </c>
      <c r="L89" s="35">
        <f>K89*(1+'Parámetros Proyección'!$E$12)</f>
        <v/>
      </c>
      <c r="M89" s="35">
        <f>L89*'Parámetros Proyección'!$F$12</f>
        <v/>
      </c>
      <c r="N89" s="35">
        <f>L89+M89</f>
        <v/>
      </c>
      <c r="O89" s="35">
        <f>IF((N89/AI89&gt;'Parámetros Proyección'!$G$12),0,D89*'Parámetros Proyección'!$G$12/(IF((H89/AI89&gt;'Parámetros Proyección'!$G$11),0,'Parámetros Proyección'!$G$11)+IF((N89/AI89&gt;'Parámetros Proyección'!$G$12),0,'Parámetros Proyección'!$G$12)+IF((T89/AI89&gt;'Parámetros Proyección'!$G$13),0,'Parámetros Proyección'!$G$13)+IF((Z89/AI89&gt;'Parámetros Proyección'!$G$14),0,'Parámetros Proyección'!$G$14)+IF((AF89/AI89&gt;'Parámetros Proyección'!$G$15),0,'Parámetros Proyección'!$G$15)))</f>
        <v/>
      </c>
      <c r="P89" s="35">
        <f>N89+O89</f>
        <v/>
      </c>
      <c r="Q89" s="35">
        <f>V88</f>
        <v/>
      </c>
      <c r="R89" s="35">
        <f>Q89*(1+'Parámetros Proyección'!$E$13)</f>
        <v/>
      </c>
      <c r="S89" s="35">
        <f>R89*'Parámetros Proyección'!$F$13</f>
        <v/>
      </c>
      <c r="T89" s="35">
        <f>R89+S89</f>
        <v/>
      </c>
      <c r="U89" s="35">
        <f>IF((T89/AI89&gt;'Parámetros Proyección'!$G$13),0,D89*'Parámetros Proyección'!$G$13/(IF((H89/AI89&gt;'Parámetros Proyección'!$G$11),0,'Parámetros Proyección'!$G$11)+IF((N89/AI89&gt;'Parámetros Proyección'!$G$12),0,'Parámetros Proyección'!$G$12)+IF((T89/AI89&gt;'Parámetros Proyección'!$G$13),0,'Parámetros Proyección'!$G$13)+IF((Z89/AI89&gt;'Parámetros Proyección'!$G$14),0,'Parámetros Proyección'!$G$14)+IF((AF89/AI89&gt;'Parámetros Proyección'!$G$15),0,'Parámetros Proyección'!$G$15)))</f>
        <v/>
      </c>
      <c r="V89" s="35">
        <f>T89+U89</f>
        <v/>
      </c>
      <c r="W89" s="35">
        <f>AB88</f>
        <v/>
      </c>
      <c r="X89" s="35">
        <f>W89*(1+'Parámetros Proyección'!$E$14)</f>
        <v/>
      </c>
      <c r="Y89" s="35">
        <f>X89*'Parámetros Proyección'!$F$14</f>
        <v/>
      </c>
      <c r="Z89" s="35">
        <f>X89+Y89</f>
        <v/>
      </c>
      <c r="AA89" s="35">
        <f>IF((Z89/AI89&gt;'Parámetros Proyección'!$G$14),0,D89*'Parámetros Proyección'!$G$14/(IF((H89/AI89&gt;'Parámetros Proyección'!$G$11),0,'Parámetros Proyección'!$G$11)+IF((N89/AI89&gt;'Parámetros Proyección'!$G$12),0,'Parámetros Proyección'!$G$12)+IF((T89/AI89&gt;'Parámetros Proyección'!$G$13),0,'Parámetros Proyección'!$G$13)+IF((Z89/AI89&gt;'Parámetros Proyección'!$G$14),0,'Parámetros Proyección'!$G$14)+IF((AF89/AI89&gt;'Parámetros Proyección'!$G$15),0,'Parámetros Proyección'!$G$15)))</f>
        <v/>
      </c>
      <c r="AB89" s="35">
        <f>Z89+AA89</f>
        <v/>
      </c>
      <c r="AC89" s="35">
        <f>AH88</f>
        <v/>
      </c>
      <c r="AD89" s="35">
        <f>AC89*(1+'Parámetros Proyección'!$E$15)</f>
        <v/>
      </c>
      <c r="AE89" s="35">
        <f>AD89*'Parámetros Proyección'!$F$15</f>
        <v/>
      </c>
      <c r="AF89" s="35">
        <f>AD89+AE89</f>
        <v/>
      </c>
      <c r="AG89" s="35">
        <f>IF((AF89/AI89&gt;'Parámetros Proyección'!$G$15),0,D89*'Parámetros Proyección'!$G$15/(IF((H89/AI89&gt;'Parámetros Proyección'!$G$11),0,'Parámetros Proyección'!$G$11)+IF((N89/AI89&gt;'Parámetros Proyección'!$G$12),0,'Parámetros Proyección'!$G$12)+IF((T89/AI89&gt;'Parámetros Proyección'!$G$13),0,'Parámetros Proyección'!$G$13)+IF((Z89/AI89&gt;'Parámetros Proyección'!$G$14),0,'Parámetros Proyección'!$G$14)+IF((AF89/AI89&gt;'Parámetros Proyección'!$G$15),0,'Parámetros Proyección'!$G$15)))</f>
        <v/>
      </c>
      <c r="AH89" s="35">
        <f>AF89+AG89</f>
        <v/>
      </c>
      <c r="AI89" s="35">
        <f>H89+N89+T89+Z89+AF89</f>
        <v/>
      </c>
      <c r="AJ89" s="33">
        <f>AF89/AI89</f>
        <v/>
      </c>
      <c r="AK89">
        <f>IF(AJ89&gt;'Parámetros Proyección'!$B$5,1,0)</f>
        <v/>
      </c>
      <c r="AL89" s="35">
        <f>G89+M89+S89+Y89+AE89</f>
        <v/>
      </c>
      <c r="AM89" s="35">
        <f>AM88+D89</f>
        <v/>
      </c>
      <c r="AN89" s="35">
        <f>AN88+AL89</f>
        <v/>
      </c>
      <c r="AO89" s="35">
        <f>J89+P89+V89+AB89+AH89</f>
        <v/>
      </c>
    </row>
    <row r="90">
      <c r="A90" t="n">
        <v>87</v>
      </c>
      <c r="B90" s="34">
        <f>EDATE(B89,1)</f>
        <v/>
      </c>
      <c r="C90">
        <f>YEAR(B90)</f>
        <v/>
      </c>
      <c r="D90" s="35">
        <f>'Parámetros Proyección'!$B$3*(1+'Parámetros Proyección'!$B$4)^(C90-YEAR('Parámetros Proyección'!$B$6))</f>
        <v/>
      </c>
      <c r="E90" s="35">
        <f>J89</f>
        <v/>
      </c>
      <c r="F90" s="35">
        <f>E90*(1+'Parámetros Proyección'!$E$11)</f>
        <v/>
      </c>
      <c r="G90" s="35">
        <f>F90*'Parámetros Proyección'!$F$11</f>
        <v/>
      </c>
      <c r="H90" s="35">
        <f>F90+G90</f>
        <v/>
      </c>
      <c r="I90" s="35">
        <f>IF((H90/AI90&gt;'Parámetros Proyección'!$G$11),0,D90*'Parámetros Proyección'!$G$11/(IF((H90/AI90&gt;'Parámetros Proyección'!$G$11),0,'Parámetros Proyección'!$G$11)+IF((N90/AI90&gt;'Parámetros Proyección'!$G$12),0,'Parámetros Proyección'!$G$12)+IF((T90/AI90&gt;'Parámetros Proyección'!$G$13),0,'Parámetros Proyección'!$G$13)+IF((Z90/AI90&gt;'Parámetros Proyección'!$G$14),0,'Parámetros Proyección'!$G$14)+IF((AF90/AI90&gt;'Parámetros Proyección'!$G$15),0,'Parámetros Proyección'!$G$15)))</f>
        <v/>
      </c>
      <c r="J90" s="35">
        <f>H90+I90</f>
        <v/>
      </c>
      <c r="K90" s="35">
        <f>P89</f>
        <v/>
      </c>
      <c r="L90" s="35">
        <f>K90*(1+'Parámetros Proyección'!$E$12)</f>
        <v/>
      </c>
      <c r="M90" s="35">
        <f>L90*'Parámetros Proyección'!$F$12</f>
        <v/>
      </c>
      <c r="N90" s="35">
        <f>L90+M90</f>
        <v/>
      </c>
      <c r="O90" s="35">
        <f>IF((N90/AI90&gt;'Parámetros Proyección'!$G$12),0,D90*'Parámetros Proyección'!$G$12/(IF((H90/AI90&gt;'Parámetros Proyección'!$G$11),0,'Parámetros Proyección'!$G$11)+IF((N90/AI90&gt;'Parámetros Proyección'!$G$12),0,'Parámetros Proyección'!$G$12)+IF((T90/AI90&gt;'Parámetros Proyección'!$G$13),0,'Parámetros Proyección'!$G$13)+IF((Z90/AI90&gt;'Parámetros Proyección'!$G$14),0,'Parámetros Proyección'!$G$14)+IF((AF90/AI90&gt;'Parámetros Proyección'!$G$15),0,'Parámetros Proyección'!$G$15)))</f>
        <v/>
      </c>
      <c r="P90" s="35">
        <f>N90+O90</f>
        <v/>
      </c>
      <c r="Q90" s="35">
        <f>V89</f>
        <v/>
      </c>
      <c r="R90" s="35">
        <f>Q90*(1+'Parámetros Proyección'!$E$13)</f>
        <v/>
      </c>
      <c r="S90" s="35">
        <f>R90*'Parámetros Proyección'!$F$13</f>
        <v/>
      </c>
      <c r="T90" s="35">
        <f>R90+S90</f>
        <v/>
      </c>
      <c r="U90" s="35">
        <f>IF((T90/AI90&gt;'Parámetros Proyección'!$G$13),0,D90*'Parámetros Proyección'!$G$13/(IF((H90/AI90&gt;'Parámetros Proyección'!$G$11),0,'Parámetros Proyección'!$G$11)+IF((N90/AI90&gt;'Parámetros Proyección'!$G$12),0,'Parámetros Proyección'!$G$12)+IF((T90/AI90&gt;'Parámetros Proyección'!$G$13),0,'Parámetros Proyección'!$G$13)+IF((Z90/AI90&gt;'Parámetros Proyección'!$G$14),0,'Parámetros Proyección'!$G$14)+IF((AF90/AI90&gt;'Parámetros Proyección'!$G$15),0,'Parámetros Proyección'!$G$15)))</f>
        <v/>
      </c>
      <c r="V90" s="35">
        <f>T90+U90</f>
        <v/>
      </c>
      <c r="W90" s="35">
        <f>AB89</f>
        <v/>
      </c>
      <c r="X90" s="35">
        <f>W90*(1+'Parámetros Proyección'!$E$14)</f>
        <v/>
      </c>
      <c r="Y90" s="35">
        <f>X90*'Parámetros Proyección'!$F$14</f>
        <v/>
      </c>
      <c r="Z90" s="35">
        <f>X90+Y90</f>
        <v/>
      </c>
      <c r="AA90" s="35">
        <f>IF((Z90/AI90&gt;'Parámetros Proyección'!$G$14),0,D90*'Parámetros Proyección'!$G$14/(IF((H90/AI90&gt;'Parámetros Proyección'!$G$11),0,'Parámetros Proyección'!$G$11)+IF((N90/AI90&gt;'Parámetros Proyección'!$G$12),0,'Parámetros Proyección'!$G$12)+IF((T90/AI90&gt;'Parámetros Proyección'!$G$13),0,'Parámetros Proyección'!$G$13)+IF((Z90/AI90&gt;'Parámetros Proyección'!$G$14),0,'Parámetros Proyección'!$G$14)+IF((AF90/AI90&gt;'Parámetros Proyección'!$G$15),0,'Parámetros Proyección'!$G$15)))</f>
        <v/>
      </c>
      <c r="AB90" s="35">
        <f>Z90+AA90</f>
        <v/>
      </c>
      <c r="AC90" s="35">
        <f>AH89</f>
        <v/>
      </c>
      <c r="AD90" s="35">
        <f>AC90*(1+'Parámetros Proyección'!$E$15)</f>
        <v/>
      </c>
      <c r="AE90" s="35">
        <f>AD90*'Parámetros Proyección'!$F$15</f>
        <v/>
      </c>
      <c r="AF90" s="35">
        <f>AD90+AE90</f>
        <v/>
      </c>
      <c r="AG90" s="35">
        <f>IF((AF90/AI90&gt;'Parámetros Proyección'!$G$15),0,D90*'Parámetros Proyección'!$G$15/(IF((H90/AI90&gt;'Parámetros Proyección'!$G$11),0,'Parámetros Proyección'!$G$11)+IF((N90/AI90&gt;'Parámetros Proyección'!$G$12),0,'Parámetros Proyección'!$G$12)+IF((T90/AI90&gt;'Parámetros Proyección'!$G$13),0,'Parámetros Proyección'!$G$13)+IF((Z90/AI90&gt;'Parámetros Proyección'!$G$14),0,'Parámetros Proyección'!$G$14)+IF((AF90/AI90&gt;'Parámetros Proyección'!$G$15),0,'Parámetros Proyección'!$G$15)))</f>
        <v/>
      </c>
      <c r="AH90" s="35">
        <f>AF90+AG90</f>
        <v/>
      </c>
      <c r="AI90" s="35">
        <f>H90+N90+T90+Z90+AF90</f>
        <v/>
      </c>
      <c r="AJ90" s="33">
        <f>AF90/AI90</f>
        <v/>
      </c>
      <c r="AK90">
        <f>IF(AJ90&gt;'Parámetros Proyección'!$B$5,1,0)</f>
        <v/>
      </c>
      <c r="AL90" s="35">
        <f>G90+M90+S90+Y90+AE90</f>
        <v/>
      </c>
      <c r="AM90" s="35">
        <f>AM89+D90</f>
        <v/>
      </c>
      <c r="AN90" s="35">
        <f>AN89+AL90</f>
        <v/>
      </c>
      <c r="AO90" s="35">
        <f>J90+P90+V90+AB90+AH90</f>
        <v/>
      </c>
    </row>
    <row r="91">
      <c r="A91" t="n">
        <v>88</v>
      </c>
      <c r="B91" s="34">
        <f>EDATE(B90,1)</f>
        <v/>
      </c>
      <c r="C91">
        <f>YEAR(B91)</f>
        <v/>
      </c>
      <c r="D91" s="35">
        <f>'Parámetros Proyección'!$B$3*(1+'Parámetros Proyección'!$B$4)^(C91-YEAR('Parámetros Proyección'!$B$6))</f>
        <v/>
      </c>
      <c r="E91" s="35">
        <f>J90</f>
        <v/>
      </c>
      <c r="F91" s="35">
        <f>E91*(1+'Parámetros Proyección'!$E$11)</f>
        <v/>
      </c>
      <c r="G91" s="35">
        <f>F91*'Parámetros Proyección'!$F$11</f>
        <v/>
      </c>
      <c r="H91" s="35">
        <f>F91+G91</f>
        <v/>
      </c>
      <c r="I91" s="35">
        <f>IF((H91/AI91&gt;'Parámetros Proyección'!$G$11),0,D91*'Parámetros Proyección'!$G$11/(IF((H91/AI91&gt;'Parámetros Proyección'!$G$11),0,'Parámetros Proyección'!$G$11)+IF((N91/AI91&gt;'Parámetros Proyección'!$G$12),0,'Parámetros Proyección'!$G$12)+IF((T91/AI91&gt;'Parámetros Proyección'!$G$13),0,'Parámetros Proyección'!$G$13)+IF((Z91/AI91&gt;'Parámetros Proyección'!$G$14),0,'Parámetros Proyección'!$G$14)+IF((AF91/AI91&gt;'Parámetros Proyección'!$G$15),0,'Parámetros Proyección'!$G$15)))</f>
        <v/>
      </c>
      <c r="J91" s="35">
        <f>H91+I91</f>
        <v/>
      </c>
      <c r="K91" s="35">
        <f>P90</f>
        <v/>
      </c>
      <c r="L91" s="35">
        <f>K91*(1+'Parámetros Proyección'!$E$12)</f>
        <v/>
      </c>
      <c r="M91" s="35">
        <f>L91*'Parámetros Proyección'!$F$12</f>
        <v/>
      </c>
      <c r="N91" s="35">
        <f>L91+M91</f>
        <v/>
      </c>
      <c r="O91" s="35">
        <f>IF((N91/AI91&gt;'Parámetros Proyección'!$G$12),0,D91*'Parámetros Proyección'!$G$12/(IF((H91/AI91&gt;'Parámetros Proyección'!$G$11),0,'Parámetros Proyección'!$G$11)+IF((N91/AI91&gt;'Parámetros Proyección'!$G$12),0,'Parámetros Proyección'!$G$12)+IF((T91/AI91&gt;'Parámetros Proyección'!$G$13),0,'Parámetros Proyección'!$G$13)+IF((Z91/AI91&gt;'Parámetros Proyección'!$G$14),0,'Parámetros Proyección'!$G$14)+IF((AF91/AI91&gt;'Parámetros Proyección'!$G$15),0,'Parámetros Proyección'!$G$15)))</f>
        <v/>
      </c>
      <c r="P91" s="35">
        <f>N91+O91</f>
        <v/>
      </c>
      <c r="Q91" s="35">
        <f>V90</f>
        <v/>
      </c>
      <c r="R91" s="35">
        <f>Q91*(1+'Parámetros Proyección'!$E$13)</f>
        <v/>
      </c>
      <c r="S91" s="35">
        <f>R91*'Parámetros Proyección'!$F$13</f>
        <v/>
      </c>
      <c r="T91" s="35">
        <f>R91+S91</f>
        <v/>
      </c>
      <c r="U91" s="35">
        <f>IF((T91/AI91&gt;'Parámetros Proyección'!$G$13),0,D91*'Parámetros Proyección'!$G$13/(IF((H91/AI91&gt;'Parámetros Proyección'!$G$11),0,'Parámetros Proyección'!$G$11)+IF((N91/AI91&gt;'Parámetros Proyección'!$G$12),0,'Parámetros Proyección'!$G$12)+IF((T91/AI91&gt;'Parámetros Proyección'!$G$13),0,'Parámetros Proyección'!$G$13)+IF((Z91/AI91&gt;'Parámetros Proyección'!$G$14),0,'Parámetros Proyección'!$G$14)+IF((AF91/AI91&gt;'Parámetros Proyección'!$G$15),0,'Parámetros Proyección'!$G$15)))</f>
        <v/>
      </c>
      <c r="V91" s="35">
        <f>T91+U91</f>
        <v/>
      </c>
      <c r="W91" s="35">
        <f>AB90</f>
        <v/>
      </c>
      <c r="X91" s="35">
        <f>W91*(1+'Parámetros Proyección'!$E$14)</f>
        <v/>
      </c>
      <c r="Y91" s="35">
        <f>X91*'Parámetros Proyección'!$F$14</f>
        <v/>
      </c>
      <c r="Z91" s="35">
        <f>X91+Y91</f>
        <v/>
      </c>
      <c r="AA91" s="35">
        <f>IF((Z91/AI91&gt;'Parámetros Proyección'!$G$14),0,D91*'Parámetros Proyección'!$G$14/(IF((H91/AI91&gt;'Parámetros Proyección'!$G$11),0,'Parámetros Proyección'!$G$11)+IF((N91/AI91&gt;'Parámetros Proyección'!$G$12),0,'Parámetros Proyección'!$G$12)+IF((T91/AI91&gt;'Parámetros Proyección'!$G$13),0,'Parámetros Proyección'!$G$13)+IF((Z91/AI91&gt;'Parámetros Proyección'!$G$14),0,'Parámetros Proyección'!$G$14)+IF((AF91/AI91&gt;'Parámetros Proyección'!$G$15),0,'Parámetros Proyección'!$G$15)))</f>
        <v/>
      </c>
      <c r="AB91" s="35">
        <f>Z91+AA91</f>
        <v/>
      </c>
      <c r="AC91" s="35">
        <f>AH90</f>
        <v/>
      </c>
      <c r="AD91" s="35">
        <f>AC91*(1+'Parámetros Proyección'!$E$15)</f>
        <v/>
      </c>
      <c r="AE91" s="35">
        <f>AD91*'Parámetros Proyección'!$F$15</f>
        <v/>
      </c>
      <c r="AF91" s="35">
        <f>AD91+AE91</f>
        <v/>
      </c>
      <c r="AG91" s="35">
        <f>IF((AF91/AI91&gt;'Parámetros Proyección'!$G$15),0,D91*'Parámetros Proyección'!$G$15/(IF((H91/AI91&gt;'Parámetros Proyección'!$G$11),0,'Parámetros Proyección'!$G$11)+IF((N91/AI91&gt;'Parámetros Proyección'!$G$12),0,'Parámetros Proyección'!$G$12)+IF((T91/AI91&gt;'Parámetros Proyección'!$G$13),0,'Parámetros Proyección'!$G$13)+IF((Z91/AI91&gt;'Parámetros Proyección'!$G$14),0,'Parámetros Proyección'!$G$14)+IF((AF91/AI91&gt;'Parámetros Proyección'!$G$15),0,'Parámetros Proyección'!$G$15)))</f>
        <v/>
      </c>
      <c r="AH91" s="35">
        <f>AF91+AG91</f>
        <v/>
      </c>
      <c r="AI91" s="35">
        <f>H91+N91+T91+Z91+AF91</f>
        <v/>
      </c>
      <c r="AJ91" s="33">
        <f>AF91/AI91</f>
        <v/>
      </c>
      <c r="AK91">
        <f>IF(AJ91&gt;'Parámetros Proyección'!$B$5,1,0)</f>
        <v/>
      </c>
      <c r="AL91" s="35">
        <f>G91+M91+S91+Y91+AE91</f>
        <v/>
      </c>
      <c r="AM91" s="35">
        <f>AM90+D91</f>
        <v/>
      </c>
      <c r="AN91" s="35">
        <f>AN90+AL91</f>
        <v/>
      </c>
      <c r="AO91" s="35">
        <f>J91+P91+V91+AB91+AH91</f>
        <v/>
      </c>
    </row>
    <row r="92">
      <c r="A92" t="n">
        <v>89</v>
      </c>
      <c r="B92" s="34">
        <f>EDATE(B91,1)</f>
        <v/>
      </c>
      <c r="C92">
        <f>YEAR(B92)</f>
        <v/>
      </c>
      <c r="D92" s="35">
        <f>'Parámetros Proyección'!$B$3*(1+'Parámetros Proyección'!$B$4)^(C92-YEAR('Parámetros Proyección'!$B$6))</f>
        <v/>
      </c>
      <c r="E92" s="35">
        <f>J91</f>
        <v/>
      </c>
      <c r="F92" s="35">
        <f>E92*(1+'Parámetros Proyección'!$E$11)</f>
        <v/>
      </c>
      <c r="G92" s="35">
        <f>F92*'Parámetros Proyección'!$F$11</f>
        <v/>
      </c>
      <c r="H92" s="35">
        <f>F92+G92</f>
        <v/>
      </c>
      <c r="I92" s="35">
        <f>IF((H92/AI92&gt;'Parámetros Proyección'!$G$11),0,D92*'Parámetros Proyección'!$G$11/(IF((H92/AI92&gt;'Parámetros Proyección'!$G$11),0,'Parámetros Proyección'!$G$11)+IF((N92/AI92&gt;'Parámetros Proyección'!$G$12),0,'Parámetros Proyección'!$G$12)+IF((T92/AI92&gt;'Parámetros Proyección'!$G$13),0,'Parámetros Proyección'!$G$13)+IF((Z92/AI92&gt;'Parámetros Proyección'!$G$14),0,'Parámetros Proyección'!$G$14)+IF((AF92/AI92&gt;'Parámetros Proyección'!$G$15),0,'Parámetros Proyección'!$G$15)))</f>
        <v/>
      </c>
      <c r="J92" s="35">
        <f>H92+I92</f>
        <v/>
      </c>
      <c r="K92" s="35">
        <f>P91</f>
        <v/>
      </c>
      <c r="L92" s="35">
        <f>K92*(1+'Parámetros Proyección'!$E$12)</f>
        <v/>
      </c>
      <c r="M92" s="35">
        <f>L92*'Parámetros Proyección'!$F$12</f>
        <v/>
      </c>
      <c r="N92" s="35">
        <f>L92+M92</f>
        <v/>
      </c>
      <c r="O92" s="35">
        <f>IF((N92/AI92&gt;'Parámetros Proyección'!$G$12),0,D92*'Parámetros Proyección'!$G$12/(IF((H92/AI92&gt;'Parámetros Proyección'!$G$11),0,'Parámetros Proyección'!$G$11)+IF((N92/AI92&gt;'Parámetros Proyección'!$G$12),0,'Parámetros Proyección'!$G$12)+IF((T92/AI92&gt;'Parámetros Proyección'!$G$13),0,'Parámetros Proyección'!$G$13)+IF((Z92/AI92&gt;'Parámetros Proyección'!$G$14),0,'Parámetros Proyección'!$G$14)+IF((AF92/AI92&gt;'Parámetros Proyección'!$G$15),0,'Parámetros Proyección'!$G$15)))</f>
        <v/>
      </c>
      <c r="P92" s="35">
        <f>N92+O92</f>
        <v/>
      </c>
      <c r="Q92" s="35">
        <f>V91</f>
        <v/>
      </c>
      <c r="R92" s="35">
        <f>Q92*(1+'Parámetros Proyección'!$E$13)</f>
        <v/>
      </c>
      <c r="S92" s="35">
        <f>R92*'Parámetros Proyección'!$F$13</f>
        <v/>
      </c>
      <c r="T92" s="35">
        <f>R92+S92</f>
        <v/>
      </c>
      <c r="U92" s="35">
        <f>IF((T92/AI92&gt;'Parámetros Proyección'!$G$13),0,D92*'Parámetros Proyección'!$G$13/(IF((H92/AI92&gt;'Parámetros Proyección'!$G$11),0,'Parámetros Proyección'!$G$11)+IF((N92/AI92&gt;'Parámetros Proyección'!$G$12),0,'Parámetros Proyección'!$G$12)+IF((T92/AI92&gt;'Parámetros Proyección'!$G$13),0,'Parámetros Proyección'!$G$13)+IF((Z92/AI92&gt;'Parámetros Proyección'!$G$14),0,'Parámetros Proyección'!$G$14)+IF((AF92/AI92&gt;'Parámetros Proyección'!$G$15),0,'Parámetros Proyección'!$G$15)))</f>
        <v/>
      </c>
      <c r="V92" s="35">
        <f>T92+U92</f>
        <v/>
      </c>
      <c r="W92" s="35">
        <f>AB91</f>
        <v/>
      </c>
      <c r="X92" s="35">
        <f>W92*(1+'Parámetros Proyección'!$E$14)</f>
        <v/>
      </c>
      <c r="Y92" s="35">
        <f>X92*'Parámetros Proyección'!$F$14</f>
        <v/>
      </c>
      <c r="Z92" s="35">
        <f>X92+Y92</f>
        <v/>
      </c>
      <c r="AA92" s="35">
        <f>IF((Z92/AI92&gt;'Parámetros Proyección'!$G$14),0,D92*'Parámetros Proyección'!$G$14/(IF((H92/AI92&gt;'Parámetros Proyección'!$G$11),0,'Parámetros Proyección'!$G$11)+IF((N92/AI92&gt;'Parámetros Proyección'!$G$12),0,'Parámetros Proyección'!$G$12)+IF((T92/AI92&gt;'Parámetros Proyección'!$G$13),0,'Parámetros Proyección'!$G$13)+IF((Z92/AI92&gt;'Parámetros Proyección'!$G$14),0,'Parámetros Proyección'!$G$14)+IF((AF92/AI92&gt;'Parámetros Proyección'!$G$15),0,'Parámetros Proyección'!$G$15)))</f>
        <v/>
      </c>
      <c r="AB92" s="35">
        <f>Z92+AA92</f>
        <v/>
      </c>
      <c r="AC92" s="35">
        <f>AH91</f>
        <v/>
      </c>
      <c r="AD92" s="35">
        <f>AC92*(1+'Parámetros Proyección'!$E$15)</f>
        <v/>
      </c>
      <c r="AE92" s="35">
        <f>AD92*'Parámetros Proyección'!$F$15</f>
        <v/>
      </c>
      <c r="AF92" s="35">
        <f>AD92+AE92</f>
        <v/>
      </c>
      <c r="AG92" s="35">
        <f>IF((AF92/AI92&gt;'Parámetros Proyección'!$G$15),0,D92*'Parámetros Proyección'!$G$15/(IF((H92/AI92&gt;'Parámetros Proyección'!$G$11),0,'Parámetros Proyección'!$G$11)+IF((N92/AI92&gt;'Parámetros Proyección'!$G$12),0,'Parámetros Proyección'!$G$12)+IF((T92/AI92&gt;'Parámetros Proyección'!$G$13),0,'Parámetros Proyección'!$G$13)+IF((Z92/AI92&gt;'Parámetros Proyección'!$G$14),0,'Parámetros Proyección'!$G$14)+IF((AF92/AI92&gt;'Parámetros Proyección'!$G$15),0,'Parámetros Proyección'!$G$15)))</f>
        <v/>
      </c>
      <c r="AH92" s="35">
        <f>AF92+AG92</f>
        <v/>
      </c>
      <c r="AI92" s="35">
        <f>H92+N92+T92+Z92+AF92</f>
        <v/>
      </c>
      <c r="AJ92" s="33">
        <f>AF92/AI92</f>
        <v/>
      </c>
      <c r="AK92">
        <f>IF(AJ92&gt;'Parámetros Proyección'!$B$5,1,0)</f>
        <v/>
      </c>
      <c r="AL92" s="35">
        <f>G92+M92+S92+Y92+AE92</f>
        <v/>
      </c>
      <c r="AM92" s="35">
        <f>AM91+D92</f>
        <v/>
      </c>
      <c r="AN92" s="35">
        <f>AN91+AL92</f>
        <v/>
      </c>
      <c r="AO92" s="35">
        <f>J92+P92+V92+AB92+AH92</f>
        <v/>
      </c>
    </row>
    <row r="93">
      <c r="A93" t="n">
        <v>90</v>
      </c>
      <c r="B93" s="34">
        <f>EDATE(B92,1)</f>
        <v/>
      </c>
      <c r="C93">
        <f>YEAR(B93)</f>
        <v/>
      </c>
      <c r="D93" s="35">
        <f>'Parámetros Proyección'!$B$3*(1+'Parámetros Proyección'!$B$4)^(C93-YEAR('Parámetros Proyección'!$B$6))</f>
        <v/>
      </c>
      <c r="E93" s="35">
        <f>J92</f>
        <v/>
      </c>
      <c r="F93" s="35">
        <f>E93*(1+'Parámetros Proyección'!$E$11)</f>
        <v/>
      </c>
      <c r="G93" s="35">
        <f>F93*'Parámetros Proyección'!$F$11</f>
        <v/>
      </c>
      <c r="H93" s="35">
        <f>F93+G93</f>
        <v/>
      </c>
      <c r="I93" s="35">
        <f>IF((H93/AI93&gt;'Parámetros Proyección'!$G$11),0,D93*'Parámetros Proyección'!$G$11/(IF((H93/AI93&gt;'Parámetros Proyección'!$G$11),0,'Parámetros Proyección'!$G$11)+IF((N93/AI93&gt;'Parámetros Proyección'!$G$12),0,'Parámetros Proyección'!$G$12)+IF((T93/AI93&gt;'Parámetros Proyección'!$G$13),0,'Parámetros Proyección'!$G$13)+IF((Z93/AI93&gt;'Parámetros Proyección'!$G$14),0,'Parámetros Proyección'!$G$14)+IF((AF93/AI93&gt;'Parámetros Proyección'!$G$15),0,'Parámetros Proyección'!$G$15)))</f>
        <v/>
      </c>
      <c r="J93" s="35">
        <f>H93+I93</f>
        <v/>
      </c>
      <c r="K93" s="35">
        <f>P92</f>
        <v/>
      </c>
      <c r="L93" s="35">
        <f>K93*(1+'Parámetros Proyección'!$E$12)</f>
        <v/>
      </c>
      <c r="M93" s="35">
        <f>L93*'Parámetros Proyección'!$F$12</f>
        <v/>
      </c>
      <c r="N93" s="35">
        <f>L93+M93</f>
        <v/>
      </c>
      <c r="O93" s="35">
        <f>IF((N93/AI93&gt;'Parámetros Proyección'!$G$12),0,D93*'Parámetros Proyección'!$G$12/(IF((H93/AI93&gt;'Parámetros Proyección'!$G$11),0,'Parámetros Proyección'!$G$11)+IF((N93/AI93&gt;'Parámetros Proyección'!$G$12),0,'Parámetros Proyección'!$G$12)+IF((T93/AI93&gt;'Parámetros Proyección'!$G$13),0,'Parámetros Proyección'!$G$13)+IF((Z93/AI93&gt;'Parámetros Proyección'!$G$14),0,'Parámetros Proyección'!$G$14)+IF((AF93/AI93&gt;'Parámetros Proyección'!$G$15),0,'Parámetros Proyección'!$G$15)))</f>
        <v/>
      </c>
      <c r="P93" s="35">
        <f>N93+O93</f>
        <v/>
      </c>
      <c r="Q93" s="35">
        <f>V92</f>
        <v/>
      </c>
      <c r="R93" s="35">
        <f>Q93*(1+'Parámetros Proyección'!$E$13)</f>
        <v/>
      </c>
      <c r="S93" s="35">
        <f>R93*'Parámetros Proyección'!$F$13</f>
        <v/>
      </c>
      <c r="T93" s="35">
        <f>R93+S93</f>
        <v/>
      </c>
      <c r="U93" s="35">
        <f>IF((T93/AI93&gt;'Parámetros Proyección'!$G$13),0,D93*'Parámetros Proyección'!$G$13/(IF((H93/AI93&gt;'Parámetros Proyección'!$G$11),0,'Parámetros Proyección'!$G$11)+IF((N93/AI93&gt;'Parámetros Proyección'!$G$12),0,'Parámetros Proyección'!$G$12)+IF((T93/AI93&gt;'Parámetros Proyección'!$G$13),0,'Parámetros Proyección'!$G$13)+IF((Z93/AI93&gt;'Parámetros Proyección'!$G$14),0,'Parámetros Proyección'!$G$14)+IF((AF93/AI93&gt;'Parámetros Proyección'!$G$15),0,'Parámetros Proyección'!$G$15)))</f>
        <v/>
      </c>
      <c r="V93" s="35">
        <f>T93+U93</f>
        <v/>
      </c>
      <c r="W93" s="35">
        <f>AB92</f>
        <v/>
      </c>
      <c r="X93" s="35">
        <f>W93*(1+'Parámetros Proyección'!$E$14)</f>
        <v/>
      </c>
      <c r="Y93" s="35">
        <f>X93*'Parámetros Proyección'!$F$14</f>
        <v/>
      </c>
      <c r="Z93" s="35">
        <f>X93+Y93</f>
        <v/>
      </c>
      <c r="AA93" s="35">
        <f>IF((Z93/AI93&gt;'Parámetros Proyección'!$G$14),0,D93*'Parámetros Proyección'!$G$14/(IF((H93/AI93&gt;'Parámetros Proyección'!$G$11),0,'Parámetros Proyección'!$G$11)+IF((N93/AI93&gt;'Parámetros Proyección'!$G$12),0,'Parámetros Proyección'!$G$12)+IF((T93/AI93&gt;'Parámetros Proyección'!$G$13),0,'Parámetros Proyección'!$G$13)+IF((Z93/AI93&gt;'Parámetros Proyección'!$G$14),0,'Parámetros Proyección'!$G$14)+IF((AF93/AI93&gt;'Parámetros Proyección'!$G$15),0,'Parámetros Proyección'!$G$15)))</f>
        <v/>
      </c>
      <c r="AB93" s="35">
        <f>Z93+AA93</f>
        <v/>
      </c>
      <c r="AC93" s="35">
        <f>AH92</f>
        <v/>
      </c>
      <c r="AD93" s="35">
        <f>AC93*(1+'Parámetros Proyección'!$E$15)</f>
        <v/>
      </c>
      <c r="AE93" s="35">
        <f>AD93*'Parámetros Proyección'!$F$15</f>
        <v/>
      </c>
      <c r="AF93" s="35">
        <f>AD93+AE93</f>
        <v/>
      </c>
      <c r="AG93" s="35">
        <f>IF((AF93/AI93&gt;'Parámetros Proyección'!$G$15),0,D93*'Parámetros Proyección'!$G$15/(IF((H93/AI93&gt;'Parámetros Proyección'!$G$11),0,'Parámetros Proyección'!$G$11)+IF((N93/AI93&gt;'Parámetros Proyección'!$G$12),0,'Parámetros Proyección'!$G$12)+IF((T93/AI93&gt;'Parámetros Proyección'!$G$13),0,'Parámetros Proyección'!$G$13)+IF((Z93/AI93&gt;'Parámetros Proyección'!$G$14),0,'Parámetros Proyección'!$G$14)+IF((AF93/AI93&gt;'Parámetros Proyección'!$G$15),0,'Parámetros Proyección'!$G$15)))</f>
        <v/>
      </c>
      <c r="AH93" s="35">
        <f>AF93+AG93</f>
        <v/>
      </c>
      <c r="AI93" s="35">
        <f>H93+N93+T93+Z93+AF93</f>
        <v/>
      </c>
      <c r="AJ93" s="33">
        <f>AF93/AI93</f>
        <v/>
      </c>
      <c r="AK93">
        <f>IF(AJ93&gt;'Parámetros Proyección'!$B$5,1,0)</f>
        <v/>
      </c>
      <c r="AL93" s="35">
        <f>G93+M93+S93+Y93+AE93</f>
        <v/>
      </c>
      <c r="AM93" s="35">
        <f>AM92+D93</f>
        <v/>
      </c>
      <c r="AN93" s="35">
        <f>AN92+AL93</f>
        <v/>
      </c>
      <c r="AO93" s="35">
        <f>J93+P93+V93+AB93+AH93</f>
        <v/>
      </c>
    </row>
    <row r="94">
      <c r="A94" t="n">
        <v>91</v>
      </c>
      <c r="B94" s="34">
        <f>EDATE(B93,1)</f>
        <v/>
      </c>
      <c r="C94">
        <f>YEAR(B94)</f>
        <v/>
      </c>
      <c r="D94" s="35">
        <f>'Parámetros Proyección'!$B$3*(1+'Parámetros Proyección'!$B$4)^(C94-YEAR('Parámetros Proyección'!$B$6))</f>
        <v/>
      </c>
      <c r="E94" s="35">
        <f>J93</f>
        <v/>
      </c>
      <c r="F94" s="35">
        <f>E94*(1+'Parámetros Proyección'!$E$11)</f>
        <v/>
      </c>
      <c r="G94" s="35">
        <f>F94*'Parámetros Proyección'!$F$11</f>
        <v/>
      </c>
      <c r="H94" s="35">
        <f>F94+G94</f>
        <v/>
      </c>
      <c r="I94" s="35">
        <f>IF((H94/AI94&gt;'Parámetros Proyección'!$G$11),0,D94*'Parámetros Proyección'!$G$11/(IF((H94/AI94&gt;'Parámetros Proyección'!$G$11),0,'Parámetros Proyección'!$G$11)+IF((N94/AI94&gt;'Parámetros Proyección'!$G$12),0,'Parámetros Proyección'!$G$12)+IF((T94/AI94&gt;'Parámetros Proyección'!$G$13),0,'Parámetros Proyección'!$G$13)+IF((Z94/AI94&gt;'Parámetros Proyección'!$G$14),0,'Parámetros Proyección'!$G$14)+IF((AF94/AI94&gt;'Parámetros Proyección'!$G$15),0,'Parámetros Proyección'!$G$15)))</f>
        <v/>
      </c>
      <c r="J94" s="35">
        <f>H94+I94</f>
        <v/>
      </c>
      <c r="K94" s="35">
        <f>P93</f>
        <v/>
      </c>
      <c r="L94" s="35">
        <f>K94*(1+'Parámetros Proyección'!$E$12)</f>
        <v/>
      </c>
      <c r="M94" s="35">
        <f>L94*'Parámetros Proyección'!$F$12</f>
        <v/>
      </c>
      <c r="N94" s="35">
        <f>L94+M94</f>
        <v/>
      </c>
      <c r="O94" s="35">
        <f>IF((N94/AI94&gt;'Parámetros Proyección'!$G$12),0,D94*'Parámetros Proyección'!$G$12/(IF((H94/AI94&gt;'Parámetros Proyección'!$G$11),0,'Parámetros Proyección'!$G$11)+IF((N94/AI94&gt;'Parámetros Proyección'!$G$12),0,'Parámetros Proyección'!$G$12)+IF((T94/AI94&gt;'Parámetros Proyección'!$G$13),0,'Parámetros Proyección'!$G$13)+IF((Z94/AI94&gt;'Parámetros Proyección'!$G$14),0,'Parámetros Proyección'!$G$14)+IF((AF94/AI94&gt;'Parámetros Proyección'!$G$15),0,'Parámetros Proyección'!$G$15)))</f>
        <v/>
      </c>
      <c r="P94" s="35">
        <f>N94+O94</f>
        <v/>
      </c>
      <c r="Q94" s="35">
        <f>V93</f>
        <v/>
      </c>
      <c r="R94" s="35">
        <f>Q94*(1+'Parámetros Proyección'!$E$13)</f>
        <v/>
      </c>
      <c r="S94" s="35">
        <f>R94*'Parámetros Proyección'!$F$13</f>
        <v/>
      </c>
      <c r="T94" s="35">
        <f>R94+S94</f>
        <v/>
      </c>
      <c r="U94" s="35">
        <f>IF((T94/AI94&gt;'Parámetros Proyección'!$G$13),0,D94*'Parámetros Proyección'!$G$13/(IF((H94/AI94&gt;'Parámetros Proyección'!$G$11),0,'Parámetros Proyección'!$G$11)+IF((N94/AI94&gt;'Parámetros Proyección'!$G$12),0,'Parámetros Proyección'!$G$12)+IF((T94/AI94&gt;'Parámetros Proyección'!$G$13),0,'Parámetros Proyección'!$G$13)+IF((Z94/AI94&gt;'Parámetros Proyección'!$G$14),0,'Parámetros Proyección'!$G$14)+IF((AF94/AI94&gt;'Parámetros Proyección'!$G$15),0,'Parámetros Proyección'!$G$15)))</f>
        <v/>
      </c>
      <c r="V94" s="35">
        <f>T94+U94</f>
        <v/>
      </c>
      <c r="W94" s="35">
        <f>AB93</f>
        <v/>
      </c>
      <c r="X94" s="35">
        <f>W94*(1+'Parámetros Proyección'!$E$14)</f>
        <v/>
      </c>
      <c r="Y94" s="35">
        <f>X94*'Parámetros Proyección'!$F$14</f>
        <v/>
      </c>
      <c r="Z94" s="35">
        <f>X94+Y94</f>
        <v/>
      </c>
      <c r="AA94" s="35">
        <f>IF((Z94/AI94&gt;'Parámetros Proyección'!$G$14),0,D94*'Parámetros Proyección'!$G$14/(IF((H94/AI94&gt;'Parámetros Proyección'!$G$11),0,'Parámetros Proyección'!$G$11)+IF((N94/AI94&gt;'Parámetros Proyección'!$G$12),0,'Parámetros Proyección'!$G$12)+IF((T94/AI94&gt;'Parámetros Proyección'!$G$13),0,'Parámetros Proyección'!$G$13)+IF((Z94/AI94&gt;'Parámetros Proyección'!$G$14),0,'Parámetros Proyección'!$G$14)+IF((AF94/AI94&gt;'Parámetros Proyección'!$G$15),0,'Parámetros Proyección'!$G$15)))</f>
        <v/>
      </c>
      <c r="AB94" s="35">
        <f>Z94+AA94</f>
        <v/>
      </c>
      <c r="AC94" s="35">
        <f>AH93</f>
        <v/>
      </c>
      <c r="AD94" s="35">
        <f>AC94*(1+'Parámetros Proyección'!$E$15)</f>
        <v/>
      </c>
      <c r="AE94" s="35">
        <f>AD94*'Parámetros Proyección'!$F$15</f>
        <v/>
      </c>
      <c r="AF94" s="35">
        <f>AD94+AE94</f>
        <v/>
      </c>
      <c r="AG94" s="35">
        <f>IF((AF94/AI94&gt;'Parámetros Proyección'!$G$15),0,D94*'Parámetros Proyección'!$G$15/(IF((H94/AI94&gt;'Parámetros Proyección'!$G$11),0,'Parámetros Proyección'!$G$11)+IF((N94/AI94&gt;'Parámetros Proyección'!$G$12),0,'Parámetros Proyección'!$G$12)+IF((T94/AI94&gt;'Parámetros Proyección'!$G$13),0,'Parámetros Proyección'!$G$13)+IF((Z94/AI94&gt;'Parámetros Proyección'!$G$14),0,'Parámetros Proyección'!$G$14)+IF((AF94/AI94&gt;'Parámetros Proyección'!$G$15),0,'Parámetros Proyección'!$G$15)))</f>
        <v/>
      </c>
      <c r="AH94" s="35">
        <f>AF94+AG94</f>
        <v/>
      </c>
      <c r="AI94" s="35">
        <f>H94+N94+T94+Z94+AF94</f>
        <v/>
      </c>
      <c r="AJ94" s="33">
        <f>AF94/AI94</f>
        <v/>
      </c>
      <c r="AK94">
        <f>IF(AJ94&gt;'Parámetros Proyección'!$B$5,1,0)</f>
        <v/>
      </c>
      <c r="AL94" s="35">
        <f>G94+M94+S94+Y94+AE94</f>
        <v/>
      </c>
      <c r="AM94" s="35">
        <f>AM93+D94</f>
        <v/>
      </c>
      <c r="AN94" s="35">
        <f>AN93+AL94</f>
        <v/>
      </c>
      <c r="AO94" s="35">
        <f>J94+P94+V94+AB94+AH94</f>
        <v/>
      </c>
    </row>
    <row r="95">
      <c r="A95" t="n">
        <v>92</v>
      </c>
      <c r="B95" s="34">
        <f>EDATE(B94,1)</f>
        <v/>
      </c>
      <c r="C95">
        <f>YEAR(B95)</f>
        <v/>
      </c>
      <c r="D95" s="35">
        <f>'Parámetros Proyección'!$B$3*(1+'Parámetros Proyección'!$B$4)^(C95-YEAR('Parámetros Proyección'!$B$6))</f>
        <v/>
      </c>
      <c r="E95" s="35">
        <f>J94</f>
        <v/>
      </c>
      <c r="F95" s="35">
        <f>E95*(1+'Parámetros Proyección'!$E$11)</f>
        <v/>
      </c>
      <c r="G95" s="35">
        <f>F95*'Parámetros Proyección'!$F$11</f>
        <v/>
      </c>
      <c r="H95" s="35">
        <f>F95+G95</f>
        <v/>
      </c>
      <c r="I95" s="35">
        <f>IF((H95/AI95&gt;'Parámetros Proyección'!$G$11),0,D95*'Parámetros Proyección'!$G$11/(IF((H95/AI95&gt;'Parámetros Proyección'!$G$11),0,'Parámetros Proyección'!$G$11)+IF((N95/AI95&gt;'Parámetros Proyección'!$G$12),0,'Parámetros Proyección'!$G$12)+IF((T95/AI95&gt;'Parámetros Proyección'!$G$13),0,'Parámetros Proyección'!$G$13)+IF((Z95/AI95&gt;'Parámetros Proyección'!$G$14),0,'Parámetros Proyección'!$G$14)+IF((AF95/AI95&gt;'Parámetros Proyección'!$G$15),0,'Parámetros Proyección'!$G$15)))</f>
        <v/>
      </c>
      <c r="J95" s="35">
        <f>H95+I95</f>
        <v/>
      </c>
      <c r="K95" s="35">
        <f>P94</f>
        <v/>
      </c>
      <c r="L95" s="35">
        <f>K95*(1+'Parámetros Proyección'!$E$12)</f>
        <v/>
      </c>
      <c r="M95" s="35">
        <f>L95*'Parámetros Proyección'!$F$12</f>
        <v/>
      </c>
      <c r="N95" s="35">
        <f>L95+M95</f>
        <v/>
      </c>
      <c r="O95" s="35">
        <f>IF((N95/AI95&gt;'Parámetros Proyección'!$G$12),0,D95*'Parámetros Proyección'!$G$12/(IF((H95/AI95&gt;'Parámetros Proyección'!$G$11),0,'Parámetros Proyección'!$G$11)+IF((N95/AI95&gt;'Parámetros Proyección'!$G$12),0,'Parámetros Proyección'!$G$12)+IF((T95/AI95&gt;'Parámetros Proyección'!$G$13),0,'Parámetros Proyección'!$G$13)+IF((Z95/AI95&gt;'Parámetros Proyección'!$G$14),0,'Parámetros Proyección'!$G$14)+IF((AF95/AI95&gt;'Parámetros Proyección'!$G$15),0,'Parámetros Proyección'!$G$15)))</f>
        <v/>
      </c>
      <c r="P95" s="35">
        <f>N95+O95</f>
        <v/>
      </c>
      <c r="Q95" s="35">
        <f>V94</f>
        <v/>
      </c>
      <c r="R95" s="35">
        <f>Q95*(1+'Parámetros Proyección'!$E$13)</f>
        <v/>
      </c>
      <c r="S95" s="35">
        <f>R95*'Parámetros Proyección'!$F$13</f>
        <v/>
      </c>
      <c r="T95" s="35">
        <f>R95+S95</f>
        <v/>
      </c>
      <c r="U95" s="35">
        <f>IF((T95/AI95&gt;'Parámetros Proyección'!$G$13),0,D95*'Parámetros Proyección'!$G$13/(IF((H95/AI95&gt;'Parámetros Proyección'!$G$11),0,'Parámetros Proyección'!$G$11)+IF((N95/AI95&gt;'Parámetros Proyección'!$G$12),0,'Parámetros Proyección'!$G$12)+IF((T95/AI95&gt;'Parámetros Proyección'!$G$13),0,'Parámetros Proyección'!$G$13)+IF((Z95/AI95&gt;'Parámetros Proyección'!$G$14),0,'Parámetros Proyección'!$G$14)+IF((AF95/AI95&gt;'Parámetros Proyección'!$G$15),0,'Parámetros Proyección'!$G$15)))</f>
        <v/>
      </c>
      <c r="V95" s="35">
        <f>T95+U95</f>
        <v/>
      </c>
      <c r="W95" s="35">
        <f>AB94</f>
        <v/>
      </c>
      <c r="X95" s="35">
        <f>W95*(1+'Parámetros Proyección'!$E$14)</f>
        <v/>
      </c>
      <c r="Y95" s="35">
        <f>X95*'Parámetros Proyección'!$F$14</f>
        <v/>
      </c>
      <c r="Z95" s="35">
        <f>X95+Y95</f>
        <v/>
      </c>
      <c r="AA95" s="35">
        <f>IF((Z95/AI95&gt;'Parámetros Proyección'!$G$14),0,D95*'Parámetros Proyección'!$G$14/(IF((H95/AI95&gt;'Parámetros Proyección'!$G$11),0,'Parámetros Proyección'!$G$11)+IF((N95/AI95&gt;'Parámetros Proyección'!$G$12),0,'Parámetros Proyección'!$G$12)+IF((T95/AI95&gt;'Parámetros Proyección'!$G$13),0,'Parámetros Proyección'!$G$13)+IF((Z95/AI95&gt;'Parámetros Proyección'!$G$14),0,'Parámetros Proyección'!$G$14)+IF((AF95/AI95&gt;'Parámetros Proyección'!$G$15),0,'Parámetros Proyección'!$G$15)))</f>
        <v/>
      </c>
      <c r="AB95" s="35">
        <f>Z95+AA95</f>
        <v/>
      </c>
      <c r="AC95" s="35">
        <f>AH94</f>
        <v/>
      </c>
      <c r="AD95" s="35">
        <f>AC95*(1+'Parámetros Proyección'!$E$15)</f>
        <v/>
      </c>
      <c r="AE95" s="35">
        <f>AD95*'Parámetros Proyección'!$F$15</f>
        <v/>
      </c>
      <c r="AF95" s="35">
        <f>AD95+AE95</f>
        <v/>
      </c>
      <c r="AG95" s="35">
        <f>IF((AF95/AI95&gt;'Parámetros Proyección'!$G$15),0,D95*'Parámetros Proyección'!$G$15/(IF((H95/AI95&gt;'Parámetros Proyección'!$G$11),0,'Parámetros Proyección'!$G$11)+IF((N95/AI95&gt;'Parámetros Proyección'!$G$12),0,'Parámetros Proyección'!$G$12)+IF((T95/AI95&gt;'Parámetros Proyección'!$G$13),0,'Parámetros Proyección'!$G$13)+IF((Z95/AI95&gt;'Parámetros Proyección'!$G$14),0,'Parámetros Proyección'!$G$14)+IF((AF95/AI95&gt;'Parámetros Proyección'!$G$15),0,'Parámetros Proyección'!$G$15)))</f>
        <v/>
      </c>
      <c r="AH95" s="35">
        <f>AF95+AG95</f>
        <v/>
      </c>
      <c r="AI95" s="35">
        <f>H95+N95+T95+Z95+AF95</f>
        <v/>
      </c>
      <c r="AJ95" s="33">
        <f>AF95/AI95</f>
        <v/>
      </c>
      <c r="AK95">
        <f>IF(AJ95&gt;'Parámetros Proyección'!$B$5,1,0)</f>
        <v/>
      </c>
      <c r="AL95" s="35">
        <f>G95+M95+S95+Y95+AE95</f>
        <v/>
      </c>
      <c r="AM95" s="35">
        <f>AM94+D95</f>
        <v/>
      </c>
      <c r="AN95" s="35">
        <f>AN94+AL95</f>
        <v/>
      </c>
      <c r="AO95" s="35">
        <f>J95+P95+V95+AB95+AH95</f>
        <v/>
      </c>
    </row>
    <row r="96">
      <c r="A96" t="n">
        <v>93</v>
      </c>
      <c r="B96" s="34">
        <f>EDATE(B95,1)</f>
        <v/>
      </c>
      <c r="C96">
        <f>YEAR(B96)</f>
        <v/>
      </c>
      <c r="D96" s="35">
        <f>'Parámetros Proyección'!$B$3*(1+'Parámetros Proyección'!$B$4)^(C96-YEAR('Parámetros Proyección'!$B$6))</f>
        <v/>
      </c>
      <c r="E96" s="35">
        <f>J95</f>
        <v/>
      </c>
      <c r="F96" s="35">
        <f>E96*(1+'Parámetros Proyección'!$E$11)</f>
        <v/>
      </c>
      <c r="G96" s="35">
        <f>F96*'Parámetros Proyección'!$F$11</f>
        <v/>
      </c>
      <c r="H96" s="35">
        <f>F96+G96</f>
        <v/>
      </c>
      <c r="I96" s="35">
        <f>IF((H96/AI96&gt;'Parámetros Proyección'!$G$11),0,D96*'Parámetros Proyección'!$G$11/(IF((H96/AI96&gt;'Parámetros Proyección'!$G$11),0,'Parámetros Proyección'!$G$11)+IF((N96/AI96&gt;'Parámetros Proyección'!$G$12),0,'Parámetros Proyección'!$G$12)+IF((T96/AI96&gt;'Parámetros Proyección'!$G$13),0,'Parámetros Proyección'!$G$13)+IF((Z96/AI96&gt;'Parámetros Proyección'!$G$14),0,'Parámetros Proyección'!$G$14)+IF((AF96/AI96&gt;'Parámetros Proyección'!$G$15),0,'Parámetros Proyección'!$G$15)))</f>
        <v/>
      </c>
      <c r="J96" s="35">
        <f>H96+I96</f>
        <v/>
      </c>
      <c r="K96" s="35">
        <f>P95</f>
        <v/>
      </c>
      <c r="L96" s="35">
        <f>K96*(1+'Parámetros Proyección'!$E$12)</f>
        <v/>
      </c>
      <c r="M96" s="35">
        <f>L96*'Parámetros Proyección'!$F$12</f>
        <v/>
      </c>
      <c r="N96" s="35">
        <f>L96+M96</f>
        <v/>
      </c>
      <c r="O96" s="35">
        <f>IF((N96/AI96&gt;'Parámetros Proyección'!$G$12),0,D96*'Parámetros Proyección'!$G$12/(IF((H96/AI96&gt;'Parámetros Proyección'!$G$11),0,'Parámetros Proyección'!$G$11)+IF((N96/AI96&gt;'Parámetros Proyección'!$G$12),0,'Parámetros Proyección'!$G$12)+IF((T96/AI96&gt;'Parámetros Proyección'!$G$13),0,'Parámetros Proyección'!$G$13)+IF((Z96/AI96&gt;'Parámetros Proyección'!$G$14),0,'Parámetros Proyección'!$G$14)+IF((AF96/AI96&gt;'Parámetros Proyección'!$G$15),0,'Parámetros Proyección'!$G$15)))</f>
        <v/>
      </c>
      <c r="P96" s="35">
        <f>N96+O96</f>
        <v/>
      </c>
      <c r="Q96" s="35">
        <f>V95</f>
        <v/>
      </c>
      <c r="R96" s="35">
        <f>Q96*(1+'Parámetros Proyección'!$E$13)</f>
        <v/>
      </c>
      <c r="S96" s="35">
        <f>R96*'Parámetros Proyección'!$F$13</f>
        <v/>
      </c>
      <c r="T96" s="35">
        <f>R96+S96</f>
        <v/>
      </c>
      <c r="U96" s="35">
        <f>IF((T96/AI96&gt;'Parámetros Proyección'!$G$13),0,D96*'Parámetros Proyección'!$G$13/(IF((H96/AI96&gt;'Parámetros Proyección'!$G$11),0,'Parámetros Proyección'!$G$11)+IF((N96/AI96&gt;'Parámetros Proyección'!$G$12),0,'Parámetros Proyección'!$G$12)+IF((T96/AI96&gt;'Parámetros Proyección'!$G$13),0,'Parámetros Proyección'!$G$13)+IF((Z96/AI96&gt;'Parámetros Proyección'!$G$14),0,'Parámetros Proyección'!$G$14)+IF((AF96/AI96&gt;'Parámetros Proyección'!$G$15),0,'Parámetros Proyección'!$G$15)))</f>
        <v/>
      </c>
      <c r="V96" s="35">
        <f>T96+U96</f>
        <v/>
      </c>
      <c r="W96" s="35">
        <f>AB95</f>
        <v/>
      </c>
      <c r="X96" s="35">
        <f>W96*(1+'Parámetros Proyección'!$E$14)</f>
        <v/>
      </c>
      <c r="Y96" s="35">
        <f>X96*'Parámetros Proyección'!$F$14</f>
        <v/>
      </c>
      <c r="Z96" s="35">
        <f>X96+Y96</f>
        <v/>
      </c>
      <c r="AA96" s="35">
        <f>IF((Z96/AI96&gt;'Parámetros Proyección'!$G$14),0,D96*'Parámetros Proyección'!$G$14/(IF((H96/AI96&gt;'Parámetros Proyección'!$G$11),0,'Parámetros Proyección'!$G$11)+IF((N96/AI96&gt;'Parámetros Proyección'!$G$12),0,'Parámetros Proyección'!$G$12)+IF((T96/AI96&gt;'Parámetros Proyección'!$G$13),0,'Parámetros Proyección'!$G$13)+IF((Z96/AI96&gt;'Parámetros Proyección'!$G$14),0,'Parámetros Proyección'!$G$14)+IF((AF96/AI96&gt;'Parámetros Proyección'!$G$15),0,'Parámetros Proyección'!$G$15)))</f>
        <v/>
      </c>
      <c r="AB96" s="35">
        <f>Z96+AA96</f>
        <v/>
      </c>
      <c r="AC96" s="35">
        <f>AH95</f>
        <v/>
      </c>
      <c r="AD96" s="35">
        <f>AC96*(1+'Parámetros Proyección'!$E$15)</f>
        <v/>
      </c>
      <c r="AE96" s="35">
        <f>AD96*'Parámetros Proyección'!$F$15</f>
        <v/>
      </c>
      <c r="AF96" s="35">
        <f>AD96+AE96</f>
        <v/>
      </c>
      <c r="AG96" s="35">
        <f>IF((AF96/AI96&gt;'Parámetros Proyección'!$G$15),0,D96*'Parámetros Proyección'!$G$15/(IF((H96/AI96&gt;'Parámetros Proyección'!$G$11),0,'Parámetros Proyección'!$G$11)+IF((N96/AI96&gt;'Parámetros Proyección'!$G$12),0,'Parámetros Proyección'!$G$12)+IF((T96/AI96&gt;'Parámetros Proyección'!$G$13),0,'Parámetros Proyección'!$G$13)+IF((Z96/AI96&gt;'Parámetros Proyección'!$G$14),0,'Parámetros Proyección'!$G$14)+IF((AF96/AI96&gt;'Parámetros Proyección'!$G$15),0,'Parámetros Proyección'!$G$15)))</f>
        <v/>
      </c>
      <c r="AH96" s="35">
        <f>AF96+AG96</f>
        <v/>
      </c>
      <c r="AI96" s="35">
        <f>H96+N96+T96+Z96+AF96</f>
        <v/>
      </c>
      <c r="AJ96" s="33">
        <f>AF96/AI96</f>
        <v/>
      </c>
      <c r="AK96">
        <f>IF(AJ96&gt;'Parámetros Proyección'!$B$5,1,0)</f>
        <v/>
      </c>
      <c r="AL96" s="35">
        <f>G96+M96+S96+Y96+AE96</f>
        <v/>
      </c>
      <c r="AM96" s="35">
        <f>AM95+D96</f>
        <v/>
      </c>
      <c r="AN96" s="35">
        <f>AN95+AL96</f>
        <v/>
      </c>
      <c r="AO96" s="35">
        <f>J96+P96+V96+AB96+AH96</f>
        <v/>
      </c>
    </row>
    <row r="97">
      <c r="A97" t="n">
        <v>94</v>
      </c>
      <c r="B97" s="34">
        <f>EDATE(B96,1)</f>
        <v/>
      </c>
      <c r="C97">
        <f>YEAR(B97)</f>
        <v/>
      </c>
      <c r="D97" s="35">
        <f>'Parámetros Proyección'!$B$3*(1+'Parámetros Proyección'!$B$4)^(C97-YEAR('Parámetros Proyección'!$B$6))</f>
        <v/>
      </c>
      <c r="E97" s="35">
        <f>J96</f>
        <v/>
      </c>
      <c r="F97" s="35">
        <f>E97*(1+'Parámetros Proyección'!$E$11)</f>
        <v/>
      </c>
      <c r="G97" s="35">
        <f>F97*'Parámetros Proyección'!$F$11</f>
        <v/>
      </c>
      <c r="H97" s="35">
        <f>F97+G97</f>
        <v/>
      </c>
      <c r="I97" s="35">
        <f>IF((H97/AI97&gt;'Parámetros Proyección'!$G$11),0,D97*'Parámetros Proyección'!$G$11/(IF((H97/AI97&gt;'Parámetros Proyección'!$G$11),0,'Parámetros Proyección'!$G$11)+IF((N97/AI97&gt;'Parámetros Proyección'!$G$12),0,'Parámetros Proyección'!$G$12)+IF((T97/AI97&gt;'Parámetros Proyección'!$G$13),0,'Parámetros Proyección'!$G$13)+IF((Z97/AI97&gt;'Parámetros Proyección'!$G$14),0,'Parámetros Proyección'!$G$14)+IF((AF97/AI97&gt;'Parámetros Proyección'!$G$15),0,'Parámetros Proyección'!$G$15)))</f>
        <v/>
      </c>
      <c r="J97" s="35">
        <f>H97+I97</f>
        <v/>
      </c>
      <c r="K97" s="35">
        <f>P96</f>
        <v/>
      </c>
      <c r="L97" s="35">
        <f>K97*(1+'Parámetros Proyección'!$E$12)</f>
        <v/>
      </c>
      <c r="M97" s="35">
        <f>L97*'Parámetros Proyección'!$F$12</f>
        <v/>
      </c>
      <c r="N97" s="35">
        <f>L97+M97</f>
        <v/>
      </c>
      <c r="O97" s="35">
        <f>IF((N97/AI97&gt;'Parámetros Proyección'!$G$12),0,D97*'Parámetros Proyección'!$G$12/(IF((H97/AI97&gt;'Parámetros Proyección'!$G$11),0,'Parámetros Proyección'!$G$11)+IF((N97/AI97&gt;'Parámetros Proyección'!$G$12),0,'Parámetros Proyección'!$G$12)+IF((T97/AI97&gt;'Parámetros Proyección'!$G$13),0,'Parámetros Proyección'!$G$13)+IF((Z97/AI97&gt;'Parámetros Proyección'!$G$14),0,'Parámetros Proyección'!$G$14)+IF((AF97/AI97&gt;'Parámetros Proyección'!$G$15),0,'Parámetros Proyección'!$G$15)))</f>
        <v/>
      </c>
      <c r="P97" s="35">
        <f>N97+O97</f>
        <v/>
      </c>
      <c r="Q97" s="35">
        <f>V96</f>
        <v/>
      </c>
      <c r="R97" s="35">
        <f>Q97*(1+'Parámetros Proyección'!$E$13)</f>
        <v/>
      </c>
      <c r="S97" s="35">
        <f>R97*'Parámetros Proyección'!$F$13</f>
        <v/>
      </c>
      <c r="T97" s="35">
        <f>R97+S97</f>
        <v/>
      </c>
      <c r="U97" s="35">
        <f>IF((T97/AI97&gt;'Parámetros Proyección'!$G$13),0,D97*'Parámetros Proyección'!$G$13/(IF((H97/AI97&gt;'Parámetros Proyección'!$G$11),0,'Parámetros Proyección'!$G$11)+IF((N97/AI97&gt;'Parámetros Proyección'!$G$12),0,'Parámetros Proyección'!$G$12)+IF((T97/AI97&gt;'Parámetros Proyección'!$G$13),0,'Parámetros Proyección'!$G$13)+IF((Z97/AI97&gt;'Parámetros Proyección'!$G$14),0,'Parámetros Proyección'!$G$14)+IF((AF97/AI97&gt;'Parámetros Proyección'!$G$15),0,'Parámetros Proyección'!$G$15)))</f>
        <v/>
      </c>
      <c r="V97" s="35">
        <f>T97+U97</f>
        <v/>
      </c>
      <c r="W97" s="35">
        <f>AB96</f>
        <v/>
      </c>
      <c r="X97" s="35">
        <f>W97*(1+'Parámetros Proyección'!$E$14)</f>
        <v/>
      </c>
      <c r="Y97" s="35">
        <f>X97*'Parámetros Proyección'!$F$14</f>
        <v/>
      </c>
      <c r="Z97" s="35">
        <f>X97+Y97</f>
        <v/>
      </c>
      <c r="AA97" s="35">
        <f>IF((Z97/AI97&gt;'Parámetros Proyección'!$G$14),0,D97*'Parámetros Proyección'!$G$14/(IF((H97/AI97&gt;'Parámetros Proyección'!$G$11),0,'Parámetros Proyección'!$G$11)+IF((N97/AI97&gt;'Parámetros Proyección'!$G$12),0,'Parámetros Proyección'!$G$12)+IF((T97/AI97&gt;'Parámetros Proyección'!$G$13),0,'Parámetros Proyección'!$G$13)+IF((Z97/AI97&gt;'Parámetros Proyección'!$G$14),0,'Parámetros Proyección'!$G$14)+IF((AF97/AI97&gt;'Parámetros Proyección'!$G$15),0,'Parámetros Proyección'!$G$15)))</f>
        <v/>
      </c>
      <c r="AB97" s="35">
        <f>Z97+AA97</f>
        <v/>
      </c>
      <c r="AC97" s="35">
        <f>AH96</f>
        <v/>
      </c>
      <c r="AD97" s="35">
        <f>AC97*(1+'Parámetros Proyección'!$E$15)</f>
        <v/>
      </c>
      <c r="AE97" s="35">
        <f>AD97*'Parámetros Proyección'!$F$15</f>
        <v/>
      </c>
      <c r="AF97" s="35">
        <f>AD97+AE97</f>
        <v/>
      </c>
      <c r="AG97" s="35">
        <f>IF((AF97/AI97&gt;'Parámetros Proyección'!$G$15),0,D97*'Parámetros Proyección'!$G$15/(IF((H97/AI97&gt;'Parámetros Proyección'!$G$11),0,'Parámetros Proyección'!$G$11)+IF((N97/AI97&gt;'Parámetros Proyección'!$G$12),0,'Parámetros Proyección'!$G$12)+IF((T97/AI97&gt;'Parámetros Proyección'!$G$13),0,'Parámetros Proyección'!$G$13)+IF((Z97/AI97&gt;'Parámetros Proyección'!$G$14),0,'Parámetros Proyección'!$G$14)+IF((AF97/AI97&gt;'Parámetros Proyección'!$G$15),0,'Parámetros Proyección'!$G$15)))</f>
        <v/>
      </c>
      <c r="AH97" s="35">
        <f>AF97+AG97</f>
        <v/>
      </c>
      <c r="AI97" s="35">
        <f>H97+N97+T97+Z97+AF97</f>
        <v/>
      </c>
      <c r="AJ97" s="33">
        <f>AF97/AI97</f>
        <v/>
      </c>
      <c r="AK97">
        <f>IF(AJ97&gt;'Parámetros Proyección'!$B$5,1,0)</f>
        <v/>
      </c>
      <c r="AL97" s="35">
        <f>G97+M97+S97+Y97+AE97</f>
        <v/>
      </c>
      <c r="AM97" s="35">
        <f>AM96+D97</f>
        <v/>
      </c>
      <c r="AN97" s="35">
        <f>AN96+AL97</f>
        <v/>
      </c>
      <c r="AO97" s="35">
        <f>J97+P97+V97+AB97+AH97</f>
        <v/>
      </c>
    </row>
    <row r="98">
      <c r="A98" t="n">
        <v>95</v>
      </c>
      <c r="B98" s="34">
        <f>EDATE(B97,1)</f>
        <v/>
      </c>
      <c r="C98">
        <f>YEAR(B98)</f>
        <v/>
      </c>
      <c r="D98" s="35">
        <f>'Parámetros Proyección'!$B$3*(1+'Parámetros Proyección'!$B$4)^(C98-YEAR('Parámetros Proyección'!$B$6))</f>
        <v/>
      </c>
      <c r="E98" s="35">
        <f>J97</f>
        <v/>
      </c>
      <c r="F98" s="35">
        <f>E98*(1+'Parámetros Proyección'!$E$11)</f>
        <v/>
      </c>
      <c r="G98" s="35">
        <f>F98*'Parámetros Proyección'!$F$11</f>
        <v/>
      </c>
      <c r="H98" s="35">
        <f>F98+G98</f>
        <v/>
      </c>
      <c r="I98" s="35">
        <f>IF((H98/AI98&gt;'Parámetros Proyección'!$G$11),0,D98*'Parámetros Proyección'!$G$11/(IF((H98/AI98&gt;'Parámetros Proyección'!$G$11),0,'Parámetros Proyección'!$G$11)+IF((N98/AI98&gt;'Parámetros Proyección'!$G$12),0,'Parámetros Proyección'!$G$12)+IF((T98/AI98&gt;'Parámetros Proyección'!$G$13),0,'Parámetros Proyección'!$G$13)+IF((Z98/AI98&gt;'Parámetros Proyección'!$G$14),0,'Parámetros Proyección'!$G$14)+IF((AF98/AI98&gt;'Parámetros Proyección'!$G$15),0,'Parámetros Proyección'!$G$15)))</f>
        <v/>
      </c>
      <c r="J98" s="35">
        <f>H98+I98</f>
        <v/>
      </c>
      <c r="K98" s="35">
        <f>P97</f>
        <v/>
      </c>
      <c r="L98" s="35">
        <f>K98*(1+'Parámetros Proyección'!$E$12)</f>
        <v/>
      </c>
      <c r="M98" s="35">
        <f>L98*'Parámetros Proyección'!$F$12</f>
        <v/>
      </c>
      <c r="N98" s="35">
        <f>L98+M98</f>
        <v/>
      </c>
      <c r="O98" s="35">
        <f>IF((N98/AI98&gt;'Parámetros Proyección'!$G$12),0,D98*'Parámetros Proyección'!$G$12/(IF((H98/AI98&gt;'Parámetros Proyección'!$G$11),0,'Parámetros Proyección'!$G$11)+IF((N98/AI98&gt;'Parámetros Proyección'!$G$12),0,'Parámetros Proyección'!$G$12)+IF((T98/AI98&gt;'Parámetros Proyección'!$G$13),0,'Parámetros Proyección'!$G$13)+IF((Z98/AI98&gt;'Parámetros Proyección'!$G$14),0,'Parámetros Proyección'!$G$14)+IF((AF98/AI98&gt;'Parámetros Proyección'!$G$15),0,'Parámetros Proyección'!$G$15)))</f>
        <v/>
      </c>
      <c r="P98" s="35">
        <f>N98+O98</f>
        <v/>
      </c>
      <c r="Q98" s="35">
        <f>V97</f>
        <v/>
      </c>
      <c r="R98" s="35">
        <f>Q98*(1+'Parámetros Proyección'!$E$13)</f>
        <v/>
      </c>
      <c r="S98" s="35">
        <f>R98*'Parámetros Proyección'!$F$13</f>
        <v/>
      </c>
      <c r="T98" s="35">
        <f>R98+S98</f>
        <v/>
      </c>
      <c r="U98" s="35">
        <f>IF((T98/AI98&gt;'Parámetros Proyección'!$G$13),0,D98*'Parámetros Proyección'!$G$13/(IF((H98/AI98&gt;'Parámetros Proyección'!$G$11),0,'Parámetros Proyección'!$G$11)+IF((N98/AI98&gt;'Parámetros Proyección'!$G$12),0,'Parámetros Proyección'!$G$12)+IF((T98/AI98&gt;'Parámetros Proyección'!$G$13),0,'Parámetros Proyección'!$G$13)+IF((Z98/AI98&gt;'Parámetros Proyección'!$G$14),0,'Parámetros Proyección'!$G$14)+IF((AF98/AI98&gt;'Parámetros Proyección'!$G$15),0,'Parámetros Proyección'!$G$15)))</f>
        <v/>
      </c>
      <c r="V98" s="35">
        <f>T98+U98</f>
        <v/>
      </c>
      <c r="W98" s="35">
        <f>AB97</f>
        <v/>
      </c>
      <c r="X98" s="35">
        <f>W98*(1+'Parámetros Proyección'!$E$14)</f>
        <v/>
      </c>
      <c r="Y98" s="35">
        <f>X98*'Parámetros Proyección'!$F$14</f>
        <v/>
      </c>
      <c r="Z98" s="35">
        <f>X98+Y98</f>
        <v/>
      </c>
      <c r="AA98" s="35">
        <f>IF((Z98/AI98&gt;'Parámetros Proyección'!$G$14),0,D98*'Parámetros Proyección'!$G$14/(IF((H98/AI98&gt;'Parámetros Proyección'!$G$11),0,'Parámetros Proyección'!$G$11)+IF((N98/AI98&gt;'Parámetros Proyección'!$G$12),0,'Parámetros Proyección'!$G$12)+IF((T98/AI98&gt;'Parámetros Proyección'!$G$13),0,'Parámetros Proyección'!$G$13)+IF((Z98/AI98&gt;'Parámetros Proyección'!$G$14),0,'Parámetros Proyección'!$G$14)+IF((AF98/AI98&gt;'Parámetros Proyección'!$G$15),0,'Parámetros Proyección'!$G$15)))</f>
        <v/>
      </c>
      <c r="AB98" s="35">
        <f>Z98+AA98</f>
        <v/>
      </c>
      <c r="AC98" s="35">
        <f>AH97</f>
        <v/>
      </c>
      <c r="AD98" s="35">
        <f>AC98*(1+'Parámetros Proyección'!$E$15)</f>
        <v/>
      </c>
      <c r="AE98" s="35">
        <f>AD98*'Parámetros Proyección'!$F$15</f>
        <v/>
      </c>
      <c r="AF98" s="35">
        <f>AD98+AE98</f>
        <v/>
      </c>
      <c r="AG98" s="35">
        <f>IF((AF98/AI98&gt;'Parámetros Proyección'!$G$15),0,D98*'Parámetros Proyección'!$G$15/(IF((H98/AI98&gt;'Parámetros Proyección'!$G$11),0,'Parámetros Proyección'!$G$11)+IF((N98/AI98&gt;'Parámetros Proyección'!$G$12),0,'Parámetros Proyección'!$G$12)+IF((T98/AI98&gt;'Parámetros Proyección'!$G$13),0,'Parámetros Proyección'!$G$13)+IF((Z98/AI98&gt;'Parámetros Proyección'!$G$14),0,'Parámetros Proyección'!$G$14)+IF((AF98/AI98&gt;'Parámetros Proyección'!$G$15),0,'Parámetros Proyección'!$G$15)))</f>
        <v/>
      </c>
      <c r="AH98" s="35">
        <f>AF98+AG98</f>
        <v/>
      </c>
      <c r="AI98" s="35">
        <f>H98+N98+T98+Z98+AF98</f>
        <v/>
      </c>
      <c r="AJ98" s="33">
        <f>AF98/AI98</f>
        <v/>
      </c>
      <c r="AK98">
        <f>IF(AJ98&gt;'Parámetros Proyección'!$B$5,1,0)</f>
        <v/>
      </c>
      <c r="AL98" s="35">
        <f>G98+M98+S98+Y98+AE98</f>
        <v/>
      </c>
      <c r="AM98" s="35">
        <f>AM97+D98</f>
        <v/>
      </c>
      <c r="AN98" s="35">
        <f>AN97+AL98</f>
        <v/>
      </c>
      <c r="AO98" s="35">
        <f>J98+P98+V98+AB98+AH98</f>
        <v/>
      </c>
    </row>
    <row r="99">
      <c r="A99" t="n">
        <v>96</v>
      </c>
      <c r="B99" s="34">
        <f>EDATE(B98,1)</f>
        <v/>
      </c>
      <c r="C99">
        <f>YEAR(B99)</f>
        <v/>
      </c>
      <c r="D99" s="35">
        <f>'Parámetros Proyección'!$B$3*(1+'Parámetros Proyección'!$B$4)^(C99-YEAR('Parámetros Proyección'!$B$6))</f>
        <v/>
      </c>
      <c r="E99" s="35">
        <f>J98</f>
        <v/>
      </c>
      <c r="F99" s="35">
        <f>E99*(1+'Parámetros Proyección'!$E$11)</f>
        <v/>
      </c>
      <c r="G99" s="35">
        <f>F99*'Parámetros Proyección'!$F$11</f>
        <v/>
      </c>
      <c r="H99" s="35">
        <f>F99+G99</f>
        <v/>
      </c>
      <c r="I99" s="35">
        <f>IF((H99/AI99&gt;'Parámetros Proyección'!$G$11),0,D99*'Parámetros Proyección'!$G$11/(IF((H99/AI99&gt;'Parámetros Proyección'!$G$11),0,'Parámetros Proyección'!$G$11)+IF((N99/AI99&gt;'Parámetros Proyección'!$G$12),0,'Parámetros Proyección'!$G$12)+IF((T99/AI99&gt;'Parámetros Proyección'!$G$13),0,'Parámetros Proyección'!$G$13)+IF((Z99/AI99&gt;'Parámetros Proyección'!$G$14),0,'Parámetros Proyección'!$G$14)+IF((AF99/AI99&gt;'Parámetros Proyección'!$G$15),0,'Parámetros Proyección'!$G$15)))</f>
        <v/>
      </c>
      <c r="J99" s="35">
        <f>H99+I99</f>
        <v/>
      </c>
      <c r="K99" s="35">
        <f>P98</f>
        <v/>
      </c>
      <c r="L99" s="35">
        <f>K99*(1+'Parámetros Proyección'!$E$12)</f>
        <v/>
      </c>
      <c r="M99" s="35">
        <f>L99*'Parámetros Proyección'!$F$12</f>
        <v/>
      </c>
      <c r="N99" s="35">
        <f>L99+M99</f>
        <v/>
      </c>
      <c r="O99" s="35">
        <f>IF((N99/AI99&gt;'Parámetros Proyección'!$G$12),0,D99*'Parámetros Proyección'!$G$12/(IF((H99/AI99&gt;'Parámetros Proyección'!$G$11),0,'Parámetros Proyección'!$G$11)+IF((N99/AI99&gt;'Parámetros Proyección'!$G$12),0,'Parámetros Proyección'!$G$12)+IF((T99/AI99&gt;'Parámetros Proyección'!$G$13),0,'Parámetros Proyección'!$G$13)+IF((Z99/AI99&gt;'Parámetros Proyección'!$G$14),0,'Parámetros Proyección'!$G$14)+IF((AF99/AI99&gt;'Parámetros Proyección'!$G$15),0,'Parámetros Proyección'!$G$15)))</f>
        <v/>
      </c>
      <c r="P99" s="35">
        <f>N99+O99</f>
        <v/>
      </c>
      <c r="Q99" s="35">
        <f>V98</f>
        <v/>
      </c>
      <c r="R99" s="35">
        <f>Q99*(1+'Parámetros Proyección'!$E$13)</f>
        <v/>
      </c>
      <c r="S99" s="35">
        <f>R99*'Parámetros Proyección'!$F$13</f>
        <v/>
      </c>
      <c r="T99" s="35">
        <f>R99+S99</f>
        <v/>
      </c>
      <c r="U99" s="35">
        <f>IF((T99/AI99&gt;'Parámetros Proyección'!$G$13),0,D99*'Parámetros Proyección'!$G$13/(IF((H99/AI99&gt;'Parámetros Proyección'!$G$11),0,'Parámetros Proyección'!$G$11)+IF((N99/AI99&gt;'Parámetros Proyección'!$G$12),0,'Parámetros Proyección'!$G$12)+IF((T99/AI99&gt;'Parámetros Proyección'!$G$13),0,'Parámetros Proyección'!$G$13)+IF((Z99/AI99&gt;'Parámetros Proyección'!$G$14),0,'Parámetros Proyección'!$G$14)+IF((AF99/AI99&gt;'Parámetros Proyección'!$G$15),0,'Parámetros Proyección'!$G$15)))</f>
        <v/>
      </c>
      <c r="V99" s="35">
        <f>T99+U99</f>
        <v/>
      </c>
      <c r="W99" s="35">
        <f>AB98</f>
        <v/>
      </c>
      <c r="X99" s="35">
        <f>W99*(1+'Parámetros Proyección'!$E$14)</f>
        <v/>
      </c>
      <c r="Y99" s="35">
        <f>X99*'Parámetros Proyección'!$F$14</f>
        <v/>
      </c>
      <c r="Z99" s="35">
        <f>X99+Y99</f>
        <v/>
      </c>
      <c r="AA99" s="35">
        <f>IF((Z99/AI99&gt;'Parámetros Proyección'!$G$14),0,D99*'Parámetros Proyección'!$G$14/(IF((H99/AI99&gt;'Parámetros Proyección'!$G$11),0,'Parámetros Proyección'!$G$11)+IF((N99/AI99&gt;'Parámetros Proyección'!$G$12),0,'Parámetros Proyección'!$G$12)+IF((T99/AI99&gt;'Parámetros Proyección'!$G$13),0,'Parámetros Proyección'!$G$13)+IF((Z99/AI99&gt;'Parámetros Proyección'!$G$14),0,'Parámetros Proyección'!$G$14)+IF((AF99/AI99&gt;'Parámetros Proyección'!$G$15),0,'Parámetros Proyección'!$G$15)))</f>
        <v/>
      </c>
      <c r="AB99" s="35">
        <f>Z99+AA99</f>
        <v/>
      </c>
      <c r="AC99" s="35">
        <f>AH98</f>
        <v/>
      </c>
      <c r="AD99" s="35">
        <f>AC99*(1+'Parámetros Proyección'!$E$15)</f>
        <v/>
      </c>
      <c r="AE99" s="35">
        <f>AD99*'Parámetros Proyección'!$F$15</f>
        <v/>
      </c>
      <c r="AF99" s="35">
        <f>AD99+AE99</f>
        <v/>
      </c>
      <c r="AG99" s="35">
        <f>IF((AF99/AI99&gt;'Parámetros Proyección'!$G$15),0,D99*'Parámetros Proyección'!$G$15/(IF((H99/AI99&gt;'Parámetros Proyección'!$G$11),0,'Parámetros Proyección'!$G$11)+IF((N99/AI99&gt;'Parámetros Proyección'!$G$12),0,'Parámetros Proyección'!$G$12)+IF((T99/AI99&gt;'Parámetros Proyección'!$G$13),0,'Parámetros Proyección'!$G$13)+IF((Z99/AI99&gt;'Parámetros Proyección'!$G$14),0,'Parámetros Proyección'!$G$14)+IF((AF99/AI99&gt;'Parámetros Proyección'!$G$15),0,'Parámetros Proyección'!$G$15)))</f>
        <v/>
      </c>
      <c r="AH99" s="35">
        <f>AF99+AG99</f>
        <v/>
      </c>
      <c r="AI99" s="35">
        <f>H99+N99+T99+Z99+AF99</f>
        <v/>
      </c>
      <c r="AJ99" s="33">
        <f>AF99/AI99</f>
        <v/>
      </c>
      <c r="AK99">
        <f>IF(AJ99&gt;'Parámetros Proyección'!$B$5,1,0)</f>
        <v/>
      </c>
      <c r="AL99" s="35">
        <f>G99+M99+S99+Y99+AE99</f>
        <v/>
      </c>
      <c r="AM99" s="35">
        <f>AM98+D99</f>
        <v/>
      </c>
      <c r="AN99" s="35">
        <f>AN98+AL99</f>
        <v/>
      </c>
      <c r="AO99" s="35">
        <f>J99+P99+V99+AB99+AH99</f>
        <v/>
      </c>
    </row>
    <row r="100">
      <c r="A100" t="n">
        <v>97</v>
      </c>
      <c r="B100" s="34">
        <f>EDATE(B99,1)</f>
        <v/>
      </c>
      <c r="C100">
        <f>YEAR(B100)</f>
        <v/>
      </c>
      <c r="D100" s="35">
        <f>'Parámetros Proyección'!$B$3*(1+'Parámetros Proyección'!$B$4)^(C100-YEAR('Parámetros Proyección'!$B$6))</f>
        <v/>
      </c>
      <c r="E100" s="35">
        <f>J99</f>
        <v/>
      </c>
      <c r="F100" s="35">
        <f>E100*(1+'Parámetros Proyección'!$E$11)</f>
        <v/>
      </c>
      <c r="G100" s="35">
        <f>F100*'Parámetros Proyección'!$F$11</f>
        <v/>
      </c>
      <c r="H100" s="35">
        <f>F100+G100</f>
        <v/>
      </c>
      <c r="I100" s="35">
        <f>IF((H100/AI100&gt;'Parámetros Proyección'!$G$11),0,D100*'Parámetros Proyección'!$G$11/(IF((H100/AI100&gt;'Parámetros Proyección'!$G$11),0,'Parámetros Proyección'!$G$11)+IF((N100/AI100&gt;'Parámetros Proyección'!$G$12),0,'Parámetros Proyección'!$G$12)+IF((T100/AI100&gt;'Parámetros Proyección'!$G$13),0,'Parámetros Proyección'!$G$13)+IF((Z100/AI100&gt;'Parámetros Proyección'!$G$14),0,'Parámetros Proyección'!$G$14)+IF((AF100/AI100&gt;'Parámetros Proyección'!$G$15),0,'Parámetros Proyección'!$G$15)))</f>
        <v/>
      </c>
      <c r="J100" s="35">
        <f>H100+I100</f>
        <v/>
      </c>
      <c r="K100" s="35">
        <f>P99</f>
        <v/>
      </c>
      <c r="L100" s="35">
        <f>K100*(1+'Parámetros Proyección'!$E$12)</f>
        <v/>
      </c>
      <c r="M100" s="35">
        <f>L100*'Parámetros Proyección'!$F$12</f>
        <v/>
      </c>
      <c r="N100" s="35">
        <f>L100+M100</f>
        <v/>
      </c>
      <c r="O100" s="35">
        <f>IF((N100/AI100&gt;'Parámetros Proyección'!$G$12),0,D100*'Parámetros Proyección'!$G$12/(IF((H100/AI100&gt;'Parámetros Proyección'!$G$11),0,'Parámetros Proyección'!$G$11)+IF((N100/AI100&gt;'Parámetros Proyección'!$G$12),0,'Parámetros Proyección'!$G$12)+IF((T100/AI100&gt;'Parámetros Proyección'!$G$13),0,'Parámetros Proyección'!$G$13)+IF((Z100/AI100&gt;'Parámetros Proyección'!$G$14),0,'Parámetros Proyección'!$G$14)+IF((AF100/AI100&gt;'Parámetros Proyección'!$G$15),0,'Parámetros Proyección'!$G$15)))</f>
        <v/>
      </c>
      <c r="P100" s="35">
        <f>N100+O100</f>
        <v/>
      </c>
      <c r="Q100" s="35">
        <f>V99</f>
        <v/>
      </c>
      <c r="R100" s="35">
        <f>Q100*(1+'Parámetros Proyección'!$E$13)</f>
        <v/>
      </c>
      <c r="S100" s="35">
        <f>R100*'Parámetros Proyección'!$F$13</f>
        <v/>
      </c>
      <c r="T100" s="35">
        <f>R100+S100</f>
        <v/>
      </c>
      <c r="U100" s="35">
        <f>IF((T100/AI100&gt;'Parámetros Proyección'!$G$13),0,D100*'Parámetros Proyección'!$G$13/(IF((H100/AI100&gt;'Parámetros Proyección'!$G$11),0,'Parámetros Proyección'!$G$11)+IF((N100/AI100&gt;'Parámetros Proyección'!$G$12),0,'Parámetros Proyección'!$G$12)+IF((T100/AI100&gt;'Parámetros Proyección'!$G$13),0,'Parámetros Proyección'!$G$13)+IF((Z100/AI100&gt;'Parámetros Proyección'!$G$14),0,'Parámetros Proyección'!$G$14)+IF((AF100/AI100&gt;'Parámetros Proyección'!$G$15),0,'Parámetros Proyección'!$G$15)))</f>
        <v/>
      </c>
      <c r="V100" s="35">
        <f>T100+U100</f>
        <v/>
      </c>
      <c r="W100" s="35">
        <f>AB99</f>
        <v/>
      </c>
      <c r="X100" s="35">
        <f>W100*(1+'Parámetros Proyección'!$E$14)</f>
        <v/>
      </c>
      <c r="Y100" s="35">
        <f>X100*'Parámetros Proyección'!$F$14</f>
        <v/>
      </c>
      <c r="Z100" s="35">
        <f>X100+Y100</f>
        <v/>
      </c>
      <c r="AA100" s="35">
        <f>IF((Z100/AI100&gt;'Parámetros Proyección'!$G$14),0,D100*'Parámetros Proyección'!$G$14/(IF((H100/AI100&gt;'Parámetros Proyección'!$G$11),0,'Parámetros Proyección'!$G$11)+IF((N100/AI100&gt;'Parámetros Proyección'!$G$12),0,'Parámetros Proyección'!$G$12)+IF((T100/AI100&gt;'Parámetros Proyección'!$G$13),0,'Parámetros Proyección'!$G$13)+IF((Z100/AI100&gt;'Parámetros Proyección'!$G$14),0,'Parámetros Proyección'!$G$14)+IF((AF100/AI100&gt;'Parámetros Proyección'!$G$15),0,'Parámetros Proyección'!$G$15)))</f>
        <v/>
      </c>
      <c r="AB100" s="35">
        <f>Z100+AA100</f>
        <v/>
      </c>
      <c r="AC100" s="35">
        <f>AH99</f>
        <v/>
      </c>
      <c r="AD100" s="35">
        <f>AC100*(1+'Parámetros Proyección'!$E$15)</f>
        <v/>
      </c>
      <c r="AE100" s="35">
        <f>AD100*'Parámetros Proyección'!$F$15</f>
        <v/>
      </c>
      <c r="AF100" s="35">
        <f>AD100+AE100</f>
        <v/>
      </c>
      <c r="AG100" s="35">
        <f>IF((AF100/AI100&gt;'Parámetros Proyección'!$G$15),0,D100*'Parámetros Proyección'!$G$15/(IF((H100/AI100&gt;'Parámetros Proyección'!$G$11),0,'Parámetros Proyección'!$G$11)+IF((N100/AI100&gt;'Parámetros Proyección'!$G$12),0,'Parámetros Proyección'!$G$12)+IF((T100/AI100&gt;'Parámetros Proyección'!$G$13),0,'Parámetros Proyección'!$G$13)+IF((Z100/AI100&gt;'Parámetros Proyección'!$G$14),0,'Parámetros Proyección'!$G$14)+IF((AF100/AI100&gt;'Parámetros Proyección'!$G$15),0,'Parámetros Proyección'!$G$15)))</f>
        <v/>
      </c>
      <c r="AH100" s="35">
        <f>AF100+AG100</f>
        <v/>
      </c>
      <c r="AI100" s="35">
        <f>H100+N100+T100+Z100+AF100</f>
        <v/>
      </c>
      <c r="AJ100" s="33">
        <f>AF100/AI100</f>
        <v/>
      </c>
      <c r="AK100">
        <f>IF(AJ100&gt;'Parámetros Proyección'!$B$5,1,0)</f>
        <v/>
      </c>
      <c r="AL100" s="35">
        <f>G100+M100+S100+Y100+AE100</f>
        <v/>
      </c>
      <c r="AM100" s="35">
        <f>AM99+D100</f>
        <v/>
      </c>
      <c r="AN100" s="35">
        <f>AN99+AL100</f>
        <v/>
      </c>
      <c r="AO100" s="35">
        <f>J100+P100+V100+AB100+AH100</f>
        <v/>
      </c>
    </row>
    <row r="101">
      <c r="A101" t="n">
        <v>98</v>
      </c>
      <c r="B101" s="34">
        <f>EDATE(B100,1)</f>
        <v/>
      </c>
      <c r="C101">
        <f>YEAR(B101)</f>
        <v/>
      </c>
      <c r="D101" s="35">
        <f>'Parámetros Proyección'!$B$3*(1+'Parámetros Proyección'!$B$4)^(C101-YEAR('Parámetros Proyección'!$B$6))</f>
        <v/>
      </c>
      <c r="E101" s="35">
        <f>J100</f>
        <v/>
      </c>
      <c r="F101" s="35">
        <f>E101*(1+'Parámetros Proyección'!$E$11)</f>
        <v/>
      </c>
      <c r="G101" s="35">
        <f>F101*'Parámetros Proyección'!$F$11</f>
        <v/>
      </c>
      <c r="H101" s="35">
        <f>F101+G101</f>
        <v/>
      </c>
      <c r="I101" s="35">
        <f>IF((H101/AI101&gt;'Parámetros Proyección'!$G$11),0,D101*'Parámetros Proyección'!$G$11/(IF((H101/AI101&gt;'Parámetros Proyección'!$G$11),0,'Parámetros Proyección'!$G$11)+IF((N101/AI101&gt;'Parámetros Proyección'!$G$12),0,'Parámetros Proyección'!$G$12)+IF((T101/AI101&gt;'Parámetros Proyección'!$G$13),0,'Parámetros Proyección'!$G$13)+IF((Z101/AI101&gt;'Parámetros Proyección'!$G$14),0,'Parámetros Proyección'!$G$14)+IF((AF101/AI101&gt;'Parámetros Proyección'!$G$15),0,'Parámetros Proyección'!$G$15)))</f>
        <v/>
      </c>
      <c r="J101" s="35">
        <f>H101+I101</f>
        <v/>
      </c>
      <c r="K101" s="35">
        <f>P100</f>
        <v/>
      </c>
      <c r="L101" s="35">
        <f>K101*(1+'Parámetros Proyección'!$E$12)</f>
        <v/>
      </c>
      <c r="M101" s="35">
        <f>L101*'Parámetros Proyección'!$F$12</f>
        <v/>
      </c>
      <c r="N101" s="35">
        <f>L101+M101</f>
        <v/>
      </c>
      <c r="O101" s="35">
        <f>IF((N101/AI101&gt;'Parámetros Proyección'!$G$12),0,D101*'Parámetros Proyección'!$G$12/(IF((H101/AI101&gt;'Parámetros Proyección'!$G$11),0,'Parámetros Proyección'!$G$11)+IF((N101/AI101&gt;'Parámetros Proyección'!$G$12),0,'Parámetros Proyección'!$G$12)+IF((T101/AI101&gt;'Parámetros Proyección'!$G$13),0,'Parámetros Proyección'!$G$13)+IF((Z101/AI101&gt;'Parámetros Proyección'!$G$14),0,'Parámetros Proyección'!$G$14)+IF((AF101/AI101&gt;'Parámetros Proyección'!$G$15),0,'Parámetros Proyección'!$G$15)))</f>
        <v/>
      </c>
      <c r="P101" s="35">
        <f>N101+O101</f>
        <v/>
      </c>
      <c r="Q101" s="35">
        <f>V100</f>
        <v/>
      </c>
      <c r="R101" s="35">
        <f>Q101*(1+'Parámetros Proyección'!$E$13)</f>
        <v/>
      </c>
      <c r="S101" s="35">
        <f>R101*'Parámetros Proyección'!$F$13</f>
        <v/>
      </c>
      <c r="T101" s="35">
        <f>R101+S101</f>
        <v/>
      </c>
      <c r="U101" s="35">
        <f>IF((T101/AI101&gt;'Parámetros Proyección'!$G$13),0,D101*'Parámetros Proyección'!$G$13/(IF((H101/AI101&gt;'Parámetros Proyección'!$G$11),0,'Parámetros Proyección'!$G$11)+IF((N101/AI101&gt;'Parámetros Proyección'!$G$12),0,'Parámetros Proyección'!$G$12)+IF((T101/AI101&gt;'Parámetros Proyección'!$G$13),0,'Parámetros Proyección'!$G$13)+IF((Z101/AI101&gt;'Parámetros Proyección'!$G$14),0,'Parámetros Proyección'!$G$14)+IF((AF101/AI101&gt;'Parámetros Proyección'!$G$15),0,'Parámetros Proyección'!$G$15)))</f>
        <v/>
      </c>
      <c r="V101" s="35">
        <f>T101+U101</f>
        <v/>
      </c>
      <c r="W101" s="35">
        <f>AB100</f>
        <v/>
      </c>
      <c r="X101" s="35">
        <f>W101*(1+'Parámetros Proyección'!$E$14)</f>
        <v/>
      </c>
      <c r="Y101" s="35">
        <f>X101*'Parámetros Proyección'!$F$14</f>
        <v/>
      </c>
      <c r="Z101" s="35">
        <f>X101+Y101</f>
        <v/>
      </c>
      <c r="AA101" s="35">
        <f>IF((Z101/AI101&gt;'Parámetros Proyección'!$G$14),0,D101*'Parámetros Proyección'!$G$14/(IF((H101/AI101&gt;'Parámetros Proyección'!$G$11),0,'Parámetros Proyección'!$G$11)+IF((N101/AI101&gt;'Parámetros Proyección'!$G$12),0,'Parámetros Proyección'!$G$12)+IF((T101/AI101&gt;'Parámetros Proyección'!$G$13),0,'Parámetros Proyección'!$G$13)+IF((Z101/AI101&gt;'Parámetros Proyección'!$G$14),0,'Parámetros Proyección'!$G$14)+IF((AF101/AI101&gt;'Parámetros Proyección'!$G$15),0,'Parámetros Proyección'!$G$15)))</f>
        <v/>
      </c>
      <c r="AB101" s="35">
        <f>Z101+AA101</f>
        <v/>
      </c>
      <c r="AC101" s="35">
        <f>AH100</f>
        <v/>
      </c>
      <c r="AD101" s="35">
        <f>AC101*(1+'Parámetros Proyección'!$E$15)</f>
        <v/>
      </c>
      <c r="AE101" s="35">
        <f>AD101*'Parámetros Proyección'!$F$15</f>
        <v/>
      </c>
      <c r="AF101" s="35">
        <f>AD101+AE101</f>
        <v/>
      </c>
      <c r="AG101" s="35">
        <f>IF((AF101/AI101&gt;'Parámetros Proyección'!$G$15),0,D101*'Parámetros Proyección'!$G$15/(IF((H101/AI101&gt;'Parámetros Proyección'!$G$11),0,'Parámetros Proyección'!$G$11)+IF((N101/AI101&gt;'Parámetros Proyección'!$G$12),0,'Parámetros Proyección'!$G$12)+IF((T101/AI101&gt;'Parámetros Proyección'!$G$13),0,'Parámetros Proyección'!$G$13)+IF((Z101/AI101&gt;'Parámetros Proyección'!$G$14),0,'Parámetros Proyección'!$G$14)+IF((AF101/AI101&gt;'Parámetros Proyección'!$G$15),0,'Parámetros Proyección'!$G$15)))</f>
        <v/>
      </c>
      <c r="AH101" s="35">
        <f>AF101+AG101</f>
        <v/>
      </c>
      <c r="AI101" s="35">
        <f>H101+N101+T101+Z101+AF101</f>
        <v/>
      </c>
      <c r="AJ101" s="33">
        <f>AF101/AI101</f>
        <v/>
      </c>
      <c r="AK101">
        <f>IF(AJ101&gt;'Parámetros Proyección'!$B$5,1,0)</f>
        <v/>
      </c>
      <c r="AL101" s="35">
        <f>G101+M101+S101+Y101+AE101</f>
        <v/>
      </c>
      <c r="AM101" s="35">
        <f>AM100+D101</f>
        <v/>
      </c>
      <c r="AN101" s="35">
        <f>AN100+AL101</f>
        <v/>
      </c>
      <c r="AO101" s="35">
        <f>J101+P101+V101+AB101+AH101</f>
        <v/>
      </c>
    </row>
    <row r="102">
      <c r="A102" t="n">
        <v>99</v>
      </c>
      <c r="B102" s="34">
        <f>EDATE(B101,1)</f>
        <v/>
      </c>
      <c r="C102">
        <f>YEAR(B102)</f>
        <v/>
      </c>
      <c r="D102" s="35">
        <f>'Parámetros Proyección'!$B$3*(1+'Parámetros Proyección'!$B$4)^(C102-YEAR('Parámetros Proyección'!$B$6))</f>
        <v/>
      </c>
      <c r="E102" s="35">
        <f>J101</f>
        <v/>
      </c>
      <c r="F102" s="35">
        <f>E102*(1+'Parámetros Proyección'!$E$11)</f>
        <v/>
      </c>
      <c r="G102" s="35">
        <f>F102*'Parámetros Proyección'!$F$11</f>
        <v/>
      </c>
      <c r="H102" s="35">
        <f>F102+G102</f>
        <v/>
      </c>
      <c r="I102" s="35">
        <f>IF((H102/AI102&gt;'Parámetros Proyección'!$G$11),0,D102*'Parámetros Proyección'!$G$11/(IF((H102/AI102&gt;'Parámetros Proyección'!$G$11),0,'Parámetros Proyección'!$G$11)+IF((N102/AI102&gt;'Parámetros Proyección'!$G$12),0,'Parámetros Proyección'!$G$12)+IF((T102/AI102&gt;'Parámetros Proyección'!$G$13),0,'Parámetros Proyección'!$G$13)+IF((Z102/AI102&gt;'Parámetros Proyección'!$G$14),0,'Parámetros Proyección'!$G$14)+IF((AF102/AI102&gt;'Parámetros Proyección'!$G$15),0,'Parámetros Proyección'!$G$15)))</f>
        <v/>
      </c>
      <c r="J102" s="35">
        <f>H102+I102</f>
        <v/>
      </c>
      <c r="K102" s="35">
        <f>P101</f>
        <v/>
      </c>
      <c r="L102" s="35">
        <f>K102*(1+'Parámetros Proyección'!$E$12)</f>
        <v/>
      </c>
      <c r="M102" s="35">
        <f>L102*'Parámetros Proyección'!$F$12</f>
        <v/>
      </c>
      <c r="N102" s="35">
        <f>L102+M102</f>
        <v/>
      </c>
      <c r="O102" s="35">
        <f>IF((N102/AI102&gt;'Parámetros Proyección'!$G$12),0,D102*'Parámetros Proyección'!$G$12/(IF((H102/AI102&gt;'Parámetros Proyección'!$G$11),0,'Parámetros Proyección'!$G$11)+IF((N102/AI102&gt;'Parámetros Proyección'!$G$12),0,'Parámetros Proyección'!$G$12)+IF((T102/AI102&gt;'Parámetros Proyección'!$G$13),0,'Parámetros Proyección'!$G$13)+IF((Z102/AI102&gt;'Parámetros Proyección'!$G$14),0,'Parámetros Proyección'!$G$14)+IF((AF102/AI102&gt;'Parámetros Proyección'!$G$15),0,'Parámetros Proyección'!$G$15)))</f>
        <v/>
      </c>
      <c r="P102" s="35">
        <f>N102+O102</f>
        <v/>
      </c>
      <c r="Q102" s="35">
        <f>V101</f>
        <v/>
      </c>
      <c r="R102" s="35">
        <f>Q102*(1+'Parámetros Proyección'!$E$13)</f>
        <v/>
      </c>
      <c r="S102" s="35">
        <f>R102*'Parámetros Proyección'!$F$13</f>
        <v/>
      </c>
      <c r="T102" s="35">
        <f>R102+S102</f>
        <v/>
      </c>
      <c r="U102" s="35">
        <f>IF((T102/AI102&gt;'Parámetros Proyección'!$G$13),0,D102*'Parámetros Proyección'!$G$13/(IF((H102/AI102&gt;'Parámetros Proyección'!$G$11),0,'Parámetros Proyección'!$G$11)+IF((N102/AI102&gt;'Parámetros Proyección'!$G$12),0,'Parámetros Proyección'!$G$12)+IF((T102/AI102&gt;'Parámetros Proyección'!$G$13),0,'Parámetros Proyección'!$G$13)+IF((Z102/AI102&gt;'Parámetros Proyección'!$G$14),0,'Parámetros Proyección'!$G$14)+IF((AF102/AI102&gt;'Parámetros Proyección'!$G$15),0,'Parámetros Proyección'!$G$15)))</f>
        <v/>
      </c>
      <c r="V102" s="35">
        <f>T102+U102</f>
        <v/>
      </c>
      <c r="W102" s="35">
        <f>AB101</f>
        <v/>
      </c>
      <c r="X102" s="35">
        <f>W102*(1+'Parámetros Proyección'!$E$14)</f>
        <v/>
      </c>
      <c r="Y102" s="35">
        <f>X102*'Parámetros Proyección'!$F$14</f>
        <v/>
      </c>
      <c r="Z102" s="35">
        <f>X102+Y102</f>
        <v/>
      </c>
      <c r="AA102" s="35">
        <f>IF((Z102/AI102&gt;'Parámetros Proyección'!$G$14),0,D102*'Parámetros Proyección'!$G$14/(IF((H102/AI102&gt;'Parámetros Proyección'!$G$11),0,'Parámetros Proyección'!$G$11)+IF((N102/AI102&gt;'Parámetros Proyección'!$G$12),0,'Parámetros Proyección'!$G$12)+IF((T102/AI102&gt;'Parámetros Proyección'!$G$13),0,'Parámetros Proyección'!$G$13)+IF((Z102/AI102&gt;'Parámetros Proyección'!$G$14),0,'Parámetros Proyección'!$G$14)+IF((AF102/AI102&gt;'Parámetros Proyección'!$G$15),0,'Parámetros Proyección'!$G$15)))</f>
        <v/>
      </c>
      <c r="AB102" s="35">
        <f>Z102+AA102</f>
        <v/>
      </c>
      <c r="AC102" s="35">
        <f>AH101</f>
        <v/>
      </c>
      <c r="AD102" s="35">
        <f>AC102*(1+'Parámetros Proyección'!$E$15)</f>
        <v/>
      </c>
      <c r="AE102" s="35">
        <f>AD102*'Parámetros Proyección'!$F$15</f>
        <v/>
      </c>
      <c r="AF102" s="35">
        <f>AD102+AE102</f>
        <v/>
      </c>
      <c r="AG102" s="35">
        <f>IF((AF102/AI102&gt;'Parámetros Proyección'!$G$15),0,D102*'Parámetros Proyección'!$G$15/(IF((H102/AI102&gt;'Parámetros Proyección'!$G$11),0,'Parámetros Proyección'!$G$11)+IF((N102/AI102&gt;'Parámetros Proyección'!$G$12),0,'Parámetros Proyección'!$G$12)+IF((T102/AI102&gt;'Parámetros Proyección'!$G$13),0,'Parámetros Proyección'!$G$13)+IF((Z102/AI102&gt;'Parámetros Proyección'!$G$14),0,'Parámetros Proyección'!$G$14)+IF((AF102/AI102&gt;'Parámetros Proyección'!$G$15),0,'Parámetros Proyección'!$G$15)))</f>
        <v/>
      </c>
      <c r="AH102" s="35">
        <f>AF102+AG102</f>
        <v/>
      </c>
      <c r="AI102" s="35">
        <f>H102+N102+T102+Z102+AF102</f>
        <v/>
      </c>
      <c r="AJ102" s="33">
        <f>AF102/AI102</f>
        <v/>
      </c>
      <c r="AK102">
        <f>IF(AJ102&gt;'Parámetros Proyección'!$B$5,1,0)</f>
        <v/>
      </c>
      <c r="AL102" s="35">
        <f>G102+M102+S102+Y102+AE102</f>
        <v/>
      </c>
      <c r="AM102" s="35">
        <f>AM101+D102</f>
        <v/>
      </c>
      <c r="AN102" s="35">
        <f>AN101+AL102</f>
        <v/>
      </c>
      <c r="AO102" s="35">
        <f>J102+P102+V102+AB102+AH102</f>
        <v/>
      </c>
    </row>
    <row r="103">
      <c r="A103" t="n">
        <v>100</v>
      </c>
      <c r="B103" s="34">
        <f>EDATE(B102,1)</f>
        <v/>
      </c>
      <c r="C103">
        <f>YEAR(B103)</f>
        <v/>
      </c>
      <c r="D103" s="35">
        <f>'Parámetros Proyección'!$B$3*(1+'Parámetros Proyección'!$B$4)^(C103-YEAR('Parámetros Proyección'!$B$6))</f>
        <v/>
      </c>
      <c r="E103" s="35">
        <f>J102</f>
        <v/>
      </c>
      <c r="F103" s="35">
        <f>E103*(1+'Parámetros Proyección'!$E$11)</f>
        <v/>
      </c>
      <c r="G103" s="35">
        <f>F103*'Parámetros Proyección'!$F$11</f>
        <v/>
      </c>
      <c r="H103" s="35">
        <f>F103+G103</f>
        <v/>
      </c>
      <c r="I103" s="35">
        <f>IF((H103/AI103&gt;'Parámetros Proyección'!$G$11),0,D103*'Parámetros Proyección'!$G$11/(IF((H103/AI103&gt;'Parámetros Proyección'!$G$11),0,'Parámetros Proyección'!$G$11)+IF((N103/AI103&gt;'Parámetros Proyección'!$G$12),0,'Parámetros Proyección'!$G$12)+IF((T103/AI103&gt;'Parámetros Proyección'!$G$13),0,'Parámetros Proyección'!$G$13)+IF((Z103/AI103&gt;'Parámetros Proyección'!$G$14),0,'Parámetros Proyección'!$G$14)+IF((AF103/AI103&gt;'Parámetros Proyección'!$G$15),0,'Parámetros Proyección'!$G$15)))</f>
        <v/>
      </c>
      <c r="J103" s="35">
        <f>H103+I103</f>
        <v/>
      </c>
      <c r="K103" s="35">
        <f>P102</f>
        <v/>
      </c>
      <c r="L103" s="35">
        <f>K103*(1+'Parámetros Proyección'!$E$12)</f>
        <v/>
      </c>
      <c r="M103" s="35">
        <f>L103*'Parámetros Proyección'!$F$12</f>
        <v/>
      </c>
      <c r="N103" s="35">
        <f>L103+M103</f>
        <v/>
      </c>
      <c r="O103" s="35">
        <f>IF((N103/AI103&gt;'Parámetros Proyección'!$G$12),0,D103*'Parámetros Proyección'!$G$12/(IF((H103/AI103&gt;'Parámetros Proyección'!$G$11),0,'Parámetros Proyección'!$G$11)+IF((N103/AI103&gt;'Parámetros Proyección'!$G$12),0,'Parámetros Proyección'!$G$12)+IF((T103/AI103&gt;'Parámetros Proyección'!$G$13),0,'Parámetros Proyección'!$G$13)+IF((Z103/AI103&gt;'Parámetros Proyección'!$G$14),0,'Parámetros Proyección'!$G$14)+IF((AF103/AI103&gt;'Parámetros Proyección'!$G$15),0,'Parámetros Proyección'!$G$15)))</f>
        <v/>
      </c>
      <c r="P103" s="35">
        <f>N103+O103</f>
        <v/>
      </c>
      <c r="Q103" s="35">
        <f>V102</f>
        <v/>
      </c>
      <c r="R103" s="35">
        <f>Q103*(1+'Parámetros Proyección'!$E$13)</f>
        <v/>
      </c>
      <c r="S103" s="35">
        <f>R103*'Parámetros Proyección'!$F$13</f>
        <v/>
      </c>
      <c r="T103" s="35">
        <f>R103+S103</f>
        <v/>
      </c>
      <c r="U103" s="35">
        <f>IF((T103/AI103&gt;'Parámetros Proyección'!$G$13),0,D103*'Parámetros Proyección'!$G$13/(IF((H103/AI103&gt;'Parámetros Proyección'!$G$11),0,'Parámetros Proyección'!$G$11)+IF((N103/AI103&gt;'Parámetros Proyección'!$G$12),0,'Parámetros Proyección'!$G$12)+IF((T103/AI103&gt;'Parámetros Proyección'!$G$13),0,'Parámetros Proyección'!$G$13)+IF((Z103/AI103&gt;'Parámetros Proyección'!$G$14),0,'Parámetros Proyección'!$G$14)+IF((AF103/AI103&gt;'Parámetros Proyección'!$G$15),0,'Parámetros Proyección'!$G$15)))</f>
        <v/>
      </c>
      <c r="V103" s="35">
        <f>T103+U103</f>
        <v/>
      </c>
      <c r="W103" s="35">
        <f>AB102</f>
        <v/>
      </c>
      <c r="X103" s="35">
        <f>W103*(1+'Parámetros Proyección'!$E$14)</f>
        <v/>
      </c>
      <c r="Y103" s="35">
        <f>X103*'Parámetros Proyección'!$F$14</f>
        <v/>
      </c>
      <c r="Z103" s="35">
        <f>X103+Y103</f>
        <v/>
      </c>
      <c r="AA103" s="35">
        <f>IF((Z103/AI103&gt;'Parámetros Proyección'!$G$14),0,D103*'Parámetros Proyección'!$G$14/(IF((H103/AI103&gt;'Parámetros Proyección'!$G$11),0,'Parámetros Proyección'!$G$11)+IF((N103/AI103&gt;'Parámetros Proyección'!$G$12),0,'Parámetros Proyección'!$G$12)+IF((T103/AI103&gt;'Parámetros Proyección'!$G$13),0,'Parámetros Proyección'!$G$13)+IF((Z103/AI103&gt;'Parámetros Proyección'!$G$14),0,'Parámetros Proyección'!$G$14)+IF((AF103/AI103&gt;'Parámetros Proyección'!$G$15),0,'Parámetros Proyección'!$G$15)))</f>
        <v/>
      </c>
      <c r="AB103" s="35">
        <f>Z103+AA103</f>
        <v/>
      </c>
      <c r="AC103" s="35">
        <f>AH102</f>
        <v/>
      </c>
      <c r="AD103" s="35">
        <f>AC103*(1+'Parámetros Proyección'!$E$15)</f>
        <v/>
      </c>
      <c r="AE103" s="35">
        <f>AD103*'Parámetros Proyección'!$F$15</f>
        <v/>
      </c>
      <c r="AF103" s="35">
        <f>AD103+AE103</f>
        <v/>
      </c>
      <c r="AG103" s="35">
        <f>IF((AF103/AI103&gt;'Parámetros Proyección'!$G$15),0,D103*'Parámetros Proyección'!$G$15/(IF((H103/AI103&gt;'Parámetros Proyección'!$G$11),0,'Parámetros Proyección'!$G$11)+IF((N103/AI103&gt;'Parámetros Proyección'!$G$12),0,'Parámetros Proyección'!$G$12)+IF((T103/AI103&gt;'Parámetros Proyección'!$G$13),0,'Parámetros Proyección'!$G$13)+IF((Z103/AI103&gt;'Parámetros Proyección'!$G$14),0,'Parámetros Proyección'!$G$14)+IF((AF103/AI103&gt;'Parámetros Proyección'!$G$15),0,'Parámetros Proyección'!$G$15)))</f>
        <v/>
      </c>
      <c r="AH103" s="35">
        <f>AF103+AG103</f>
        <v/>
      </c>
      <c r="AI103" s="35">
        <f>H103+N103+T103+Z103+AF103</f>
        <v/>
      </c>
      <c r="AJ103" s="33">
        <f>AF103/AI103</f>
        <v/>
      </c>
      <c r="AK103">
        <f>IF(AJ103&gt;'Parámetros Proyección'!$B$5,1,0)</f>
        <v/>
      </c>
      <c r="AL103" s="35">
        <f>G103+M103+S103+Y103+AE103</f>
        <v/>
      </c>
      <c r="AM103" s="35">
        <f>AM102+D103</f>
        <v/>
      </c>
      <c r="AN103" s="35">
        <f>AN102+AL103</f>
        <v/>
      </c>
      <c r="AO103" s="35">
        <f>J103+P103+V103+AB103+AH103</f>
        <v/>
      </c>
    </row>
    <row r="104">
      <c r="A104" t="n">
        <v>101</v>
      </c>
      <c r="B104" s="34">
        <f>EDATE(B103,1)</f>
        <v/>
      </c>
      <c r="C104">
        <f>YEAR(B104)</f>
        <v/>
      </c>
      <c r="D104" s="35">
        <f>'Parámetros Proyección'!$B$3*(1+'Parámetros Proyección'!$B$4)^(C104-YEAR('Parámetros Proyección'!$B$6))</f>
        <v/>
      </c>
      <c r="E104" s="35">
        <f>J103</f>
        <v/>
      </c>
      <c r="F104" s="35">
        <f>E104*(1+'Parámetros Proyección'!$E$11)</f>
        <v/>
      </c>
      <c r="G104" s="35">
        <f>F104*'Parámetros Proyección'!$F$11</f>
        <v/>
      </c>
      <c r="H104" s="35">
        <f>F104+G104</f>
        <v/>
      </c>
      <c r="I104" s="35">
        <f>IF((H104/AI104&gt;'Parámetros Proyección'!$G$11),0,D104*'Parámetros Proyección'!$G$11/(IF((H104/AI104&gt;'Parámetros Proyección'!$G$11),0,'Parámetros Proyección'!$G$11)+IF((N104/AI104&gt;'Parámetros Proyección'!$G$12),0,'Parámetros Proyección'!$G$12)+IF((T104/AI104&gt;'Parámetros Proyección'!$G$13),0,'Parámetros Proyección'!$G$13)+IF((Z104/AI104&gt;'Parámetros Proyección'!$G$14),0,'Parámetros Proyección'!$G$14)+IF((AF104/AI104&gt;'Parámetros Proyección'!$G$15),0,'Parámetros Proyección'!$G$15)))</f>
        <v/>
      </c>
      <c r="J104" s="35">
        <f>H104+I104</f>
        <v/>
      </c>
      <c r="K104" s="35">
        <f>P103</f>
        <v/>
      </c>
      <c r="L104" s="35">
        <f>K104*(1+'Parámetros Proyección'!$E$12)</f>
        <v/>
      </c>
      <c r="M104" s="35">
        <f>L104*'Parámetros Proyección'!$F$12</f>
        <v/>
      </c>
      <c r="N104" s="35">
        <f>L104+M104</f>
        <v/>
      </c>
      <c r="O104" s="35">
        <f>IF((N104/AI104&gt;'Parámetros Proyección'!$G$12),0,D104*'Parámetros Proyección'!$G$12/(IF((H104/AI104&gt;'Parámetros Proyección'!$G$11),0,'Parámetros Proyección'!$G$11)+IF((N104/AI104&gt;'Parámetros Proyección'!$G$12),0,'Parámetros Proyección'!$G$12)+IF((T104/AI104&gt;'Parámetros Proyección'!$G$13),0,'Parámetros Proyección'!$G$13)+IF((Z104/AI104&gt;'Parámetros Proyección'!$G$14),0,'Parámetros Proyección'!$G$14)+IF((AF104/AI104&gt;'Parámetros Proyección'!$G$15),0,'Parámetros Proyección'!$G$15)))</f>
        <v/>
      </c>
      <c r="P104" s="35">
        <f>N104+O104</f>
        <v/>
      </c>
      <c r="Q104" s="35">
        <f>V103</f>
        <v/>
      </c>
      <c r="R104" s="35">
        <f>Q104*(1+'Parámetros Proyección'!$E$13)</f>
        <v/>
      </c>
      <c r="S104" s="35">
        <f>R104*'Parámetros Proyección'!$F$13</f>
        <v/>
      </c>
      <c r="T104" s="35">
        <f>R104+S104</f>
        <v/>
      </c>
      <c r="U104" s="35">
        <f>IF((T104/AI104&gt;'Parámetros Proyección'!$G$13),0,D104*'Parámetros Proyección'!$G$13/(IF((H104/AI104&gt;'Parámetros Proyección'!$G$11),0,'Parámetros Proyección'!$G$11)+IF((N104/AI104&gt;'Parámetros Proyección'!$G$12),0,'Parámetros Proyección'!$G$12)+IF((T104/AI104&gt;'Parámetros Proyección'!$G$13),0,'Parámetros Proyección'!$G$13)+IF((Z104/AI104&gt;'Parámetros Proyección'!$G$14),0,'Parámetros Proyección'!$G$14)+IF((AF104/AI104&gt;'Parámetros Proyección'!$G$15),0,'Parámetros Proyección'!$G$15)))</f>
        <v/>
      </c>
      <c r="V104" s="35">
        <f>T104+U104</f>
        <v/>
      </c>
      <c r="W104" s="35">
        <f>AB103</f>
        <v/>
      </c>
      <c r="X104" s="35">
        <f>W104*(1+'Parámetros Proyección'!$E$14)</f>
        <v/>
      </c>
      <c r="Y104" s="35">
        <f>X104*'Parámetros Proyección'!$F$14</f>
        <v/>
      </c>
      <c r="Z104" s="35">
        <f>X104+Y104</f>
        <v/>
      </c>
      <c r="AA104" s="35">
        <f>IF((Z104/AI104&gt;'Parámetros Proyección'!$G$14),0,D104*'Parámetros Proyección'!$G$14/(IF((H104/AI104&gt;'Parámetros Proyección'!$G$11),0,'Parámetros Proyección'!$G$11)+IF((N104/AI104&gt;'Parámetros Proyección'!$G$12),0,'Parámetros Proyección'!$G$12)+IF((T104/AI104&gt;'Parámetros Proyección'!$G$13),0,'Parámetros Proyección'!$G$13)+IF((Z104/AI104&gt;'Parámetros Proyección'!$G$14),0,'Parámetros Proyección'!$G$14)+IF((AF104/AI104&gt;'Parámetros Proyección'!$G$15),0,'Parámetros Proyección'!$G$15)))</f>
        <v/>
      </c>
      <c r="AB104" s="35">
        <f>Z104+AA104</f>
        <v/>
      </c>
      <c r="AC104" s="35">
        <f>AH103</f>
        <v/>
      </c>
      <c r="AD104" s="35">
        <f>AC104*(1+'Parámetros Proyección'!$E$15)</f>
        <v/>
      </c>
      <c r="AE104" s="35">
        <f>AD104*'Parámetros Proyección'!$F$15</f>
        <v/>
      </c>
      <c r="AF104" s="35">
        <f>AD104+AE104</f>
        <v/>
      </c>
      <c r="AG104" s="35">
        <f>IF((AF104/AI104&gt;'Parámetros Proyección'!$G$15),0,D104*'Parámetros Proyección'!$G$15/(IF((H104/AI104&gt;'Parámetros Proyección'!$G$11),0,'Parámetros Proyección'!$G$11)+IF((N104/AI104&gt;'Parámetros Proyección'!$G$12),0,'Parámetros Proyección'!$G$12)+IF((T104/AI104&gt;'Parámetros Proyección'!$G$13),0,'Parámetros Proyección'!$G$13)+IF((Z104/AI104&gt;'Parámetros Proyección'!$G$14),0,'Parámetros Proyección'!$G$14)+IF((AF104/AI104&gt;'Parámetros Proyección'!$G$15),0,'Parámetros Proyección'!$G$15)))</f>
        <v/>
      </c>
      <c r="AH104" s="35">
        <f>AF104+AG104</f>
        <v/>
      </c>
      <c r="AI104" s="35">
        <f>H104+N104+T104+Z104+AF104</f>
        <v/>
      </c>
      <c r="AJ104" s="33">
        <f>AF104/AI104</f>
        <v/>
      </c>
      <c r="AK104">
        <f>IF(AJ104&gt;'Parámetros Proyección'!$B$5,1,0)</f>
        <v/>
      </c>
      <c r="AL104" s="35">
        <f>G104+M104+S104+Y104+AE104</f>
        <v/>
      </c>
      <c r="AM104" s="35">
        <f>AM103+D104</f>
        <v/>
      </c>
      <c r="AN104" s="35">
        <f>AN103+AL104</f>
        <v/>
      </c>
      <c r="AO104" s="35">
        <f>J104+P104+V104+AB104+AH104</f>
        <v/>
      </c>
    </row>
    <row r="105">
      <c r="A105" t="n">
        <v>102</v>
      </c>
      <c r="B105" s="34">
        <f>EDATE(B104,1)</f>
        <v/>
      </c>
      <c r="C105">
        <f>YEAR(B105)</f>
        <v/>
      </c>
      <c r="D105" s="35">
        <f>'Parámetros Proyección'!$B$3*(1+'Parámetros Proyección'!$B$4)^(C105-YEAR('Parámetros Proyección'!$B$6))</f>
        <v/>
      </c>
      <c r="E105" s="35">
        <f>J104</f>
        <v/>
      </c>
      <c r="F105" s="35">
        <f>E105*(1+'Parámetros Proyección'!$E$11)</f>
        <v/>
      </c>
      <c r="G105" s="35">
        <f>F105*'Parámetros Proyección'!$F$11</f>
        <v/>
      </c>
      <c r="H105" s="35">
        <f>F105+G105</f>
        <v/>
      </c>
      <c r="I105" s="35">
        <f>IF((H105/AI105&gt;'Parámetros Proyección'!$G$11),0,D105*'Parámetros Proyección'!$G$11/(IF((H105/AI105&gt;'Parámetros Proyección'!$G$11),0,'Parámetros Proyección'!$G$11)+IF((N105/AI105&gt;'Parámetros Proyección'!$G$12),0,'Parámetros Proyección'!$G$12)+IF((T105/AI105&gt;'Parámetros Proyección'!$G$13),0,'Parámetros Proyección'!$G$13)+IF((Z105/AI105&gt;'Parámetros Proyección'!$G$14),0,'Parámetros Proyección'!$G$14)+IF((AF105/AI105&gt;'Parámetros Proyección'!$G$15),0,'Parámetros Proyección'!$G$15)))</f>
        <v/>
      </c>
      <c r="J105" s="35">
        <f>H105+I105</f>
        <v/>
      </c>
      <c r="K105" s="35">
        <f>P104</f>
        <v/>
      </c>
      <c r="L105" s="35">
        <f>K105*(1+'Parámetros Proyección'!$E$12)</f>
        <v/>
      </c>
      <c r="M105" s="35">
        <f>L105*'Parámetros Proyección'!$F$12</f>
        <v/>
      </c>
      <c r="N105" s="35">
        <f>L105+M105</f>
        <v/>
      </c>
      <c r="O105" s="35">
        <f>IF((N105/AI105&gt;'Parámetros Proyección'!$G$12),0,D105*'Parámetros Proyección'!$G$12/(IF((H105/AI105&gt;'Parámetros Proyección'!$G$11),0,'Parámetros Proyección'!$G$11)+IF((N105/AI105&gt;'Parámetros Proyección'!$G$12),0,'Parámetros Proyección'!$G$12)+IF((T105/AI105&gt;'Parámetros Proyección'!$G$13),0,'Parámetros Proyección'!$G$13)+IF((Z105/AI105&gt;'Parámetros Proyección'!$G$14),0,'Parámetros Proyección'!$G$14)+IF((AF105/AI105&gt;'Parámetros Proyección'!$G$15),0,'Parámetros Proyección'!$G$15)))</f>
        <v/>
      </c>
      <c r="P105" s="35">
        <f>N105+O105</f>
        <v/>
      </c>
      <c r="Q105" s="35">
        <f>V104</f>
        <v/>
      </c>
      <c r="R105" s="35">
        <f>Q105*(1+'Parámetros Proyección'!$E$13)</f>
        <v/>
      </c>
      <c r="S105" s="35">
        <f>R105*'Parámetros Proyección'!$F$13</f>
        <v/>
      </c>
      <c r="T105" s="35">
        <f>R105+S105</f>
        <v/>
      </c>
      <c r="U105" s="35">
        <f>IF((T105/AI105&gt;'Parámetros Proyección'!$G$13),0,D105*'Parámetros Proyección'!$G$13/(IF((H105/AI105&gt;'Parámetros Proyección'!$G$11),0,'Parámetros Proyección'!$G$11)+IF((N105/AI105&gt;'Parámetros Proyección'!$G$12),0,'Parámetros Proyección'!$G$12)+IF((T105/AI105&gt;'Parámetros Proyección'!$G$13),0,'Parámetros Proyección'!$G$13)+IF((Z105/AI105&gt;'Parámetros Proyección'!$G$14),0,'Parámetros Proyección'!$G$14)+IF((AF105/AI105&gt;'Parámetros Proyección'!$G$15),0,'Parámetros Proyección'!$G$15)))</f>
        <v/>
      </c>
      <c r="V105" s="35">
        <f>T105+U105</f>
        <v/>
      </c>
      <c r="W105" s="35">
        <f>AB104</f>
        <v/>
      </c>
      <c r="X105" s="35">
        <f>W105*(1+'Parámetros Proyección'!$E$14)</f>
        <v/>
      </c>
      <c r="Y105" s="35">
        <f>X105*'Parámetros Proyección'!$F$14</f>
        <v/>
      </c>
      <c r="Z105" s="35">
        <f>X105+Y105</f>
        <v/>
      </c>
      <c r="AA105" s="35">
        <f>IF((Z105/AI105&gt;'Parámetros Proyección'!$G$14),0,D105*'Parámetros Proyección'!$G$14/(IF((H105/AI105&gt;'Parámetros Proyección'!$G$11),0,'Parámetros Proyección'!$G$11)+IF((N105/AI105&gt;'Parámetros Proyección'!$G$12),0,'Parámetros Proyección'!$G$12)+IF((T105/AI105&gt;'Parámetros Proyección'!$G$13),0,'Parámetros Proyección'!$G$13)+IF((Z105/AI105&gt;'Parámetros Proyección'!$G$14),0,'Parámetros Proyección'!$G$14)+IF((AF105/AI105&gt;'Parámetros Proyección'!$G$15),0,'Parámetros Proyección'!$G$15)))</f>
        <v/>
      </c>
      <c r="AB105" s="35">
        <f>Z105+AA105</f>
        <v/>
      </c>
      <c r="AC105" s="35">
        <f>AH104</f>
        <v/>
      </c>
      <c r="AD105" s="35">
        <f>AC105*(1+'Parámetros Proyección'!$E$15)</f>
        <v/>
      </c>
      <c r="AE105" s="35">
        <f>AD105*'Parámetros Proyección'!$F$15</f>
        <v/>
      </c>
      <c r="AF105" s="35">
        <f>AD105+AE105</f>
        <v/>
      </c>
      <c r="AG105" s="35">
        <f>IF((AF105/AI105&gt;'Parámetros Proyección'!$G$15),0,D105*'Parámetros Proyección'!$G$15/(IF((H105/AI105&gt;'Parámetros Proyección'!$G$11),0,'Parámetros Proyección'!$G$11)+IF((N105/AI105&gt;'Parámetros Proyección'!$G$12),0,'Parámetros Proyección'!$G$12)+IF((T105/AI105&gt;'Parámetros Proyección'!$G$13),0,'Parámetros Proyección'!$G$13)+IF((Z105/AI105&gt;'Parámetros Proyección'!$G$14),0,'Parámetros Proyección'!$G$14)+IF((AF105/AI105&gt;'Parámetros Proyección'!$G$15),0,'Parámetros Proyección'!$G$15)))</f>
        <v/>
      </c>
      <c r="AH105" s="35">
        <f>AF105+AG105</f>
        <v/>
      </c>
      <c r="AI105" s="35">
        <f>H105+N105+T105+Z105+AF105</f>
        <v/>
      </c>
      <c r="AJ105" s="33">
        <f>AF105/AI105</f>
        <v/>
      </c>
      <c r="AK105">
        <f>IF(AJ105&gt;'Parámetros Proyección'!$B$5,1,0)</f>
        <v/>
      </c>
      <c r="AL105" s="35">
        <f>G105+M105+S105+Y105+AE105</f>
        <v/>
      </c>
      <c r="AM105" s="35">
        <f>AM104+D105</f>
        <v/>
      </c>
      <c r="AN105" s="35">
        <f>AN104+AL105</f>
        <v/>
      </c>
      <c r="AO105" s="35">
        <f>J105+P105+V105+AB105+AH105</f>
        <v/>
      </c>
    </row>
    <row r="106">
      <c r="A106" t="n">
        <v>103</v>
      </c>
      <c r="B106" s="34">
        <f>EDATE(B105,1)</f>
        <v/>
      </c>
      <c r="C106">
        <f>YEAR(B106)</f>
        <v/>
      </c>
      <c r="D106" s="35">
        <f>'Parámetros Proyección'!$B$3*(1+'Parámetros Proyección'!$B$4)^(C106-YEAR('Parámetros Proyección'!$B$6))</f>
        <v/>
      </c>
      <c r="E106" s="35">
        <f>J105</f>
        <v/>
      </c>
      <c r="F106" s="35">
        <f>E106*(1+'Parámetros Proyección'!$E$11)</f>
        <v/>
      </c>
      <c r="G106" s="35">
        <f>F106*'Parámetros Proyección'!$F$11</f>
        <v/>
      </c>
      <c r="H106" s="35">
        <f>F106+G106</f>
        <v/>
      </c>
      <c r="I106" s="35">
        <f>IF((H106/AI106&gt;'Parámetros Proyección'!$G$11),0,D106*'Parámetros Proyección'!$G$11/(IF((H106/AI106&gt;'Parámetros Proyección'!$G$11),0,'Parámetros Proyección'!$G$11)+IF((N106/AI106&gt;'Parámetros Proyección'!$G$12),0,'Parámetros Proyección'!$G$12)+IF((T106/AI106&gt;'Parámetros Proyección'!$G$13),0,'Parámetros Proyección'!$G$13)+IF((Z106/AI106&gt;'Parámetros Proyección'!$G$14),0,'Parámetros Proyección'!$G$14)+IF((AF106/AI106&gt;'Parámetros Proyección'!$G$15),0,'Parámetros Proyección'!$G$15)))</f>
        <v/>
      </c>
      <c r="J106" s="35">
        <f>H106+I106</f>
        <v/>
      </c>
      <c r="K106" s="35">
        <f>P105</f>
        <v/>
      </c>
      <c r="L106" s="35">
        <f>K106*(1+'Parámetros Proyección'!$E$12)</f>
        <v/>
      </c>
      <c r="M106" s="35">
        <f>L106*'Parámetros Proyección'!$F$12</f>
        <v/>
      </c>
      <c r="N106" s="35">
        <f>L106+M106</f>
        <v/>
      </c>
      <c r="O106" s="35">
        <f>IF((N106/AI106&gt;'Parámetros Proyección'!$G$12),0,D106*'Parámetros Proyección'!$G$12/(IF((H106/AI106&gt;'Parámetros Proyección'!$G$11),0,'Parámetros Proyección'!$G$11)+IF((N106/AI106&gt;'Parámetros Proyección'!$G$12),0,'Parámetros Proyección'!$G$12)+IF((T106/AI106&gt;'Parámetros Proyección'!$G$13),0,'Parámetros Proyección'!$G$13)+IF((Z106/AI106&gt;'Parámetros Proyección'!$G$14),0,'Parámetros Proyección'!$G$14)+IF((AF106/AI106&gt;'Parámetros Proyección'!$G$15),0,'Parámetros Proyección'!$G$15)))</f>
        <v/>
      </c>
      <c r="P106" s="35">
        <f>N106+O106</f>
        <v/>
      </c>
      <c r="Q106" s="35">
        <f>V105</f>
        <v/>
      </c>
      <c r="R106" s="35">
        <f>Q106*(1+'Parámetros Proyección'!$E$13)</f>
        <v/>
      </c>
      <c r="S106" s="35">
        <f>R106*'Parámetros Proyección'!$F$13</f>
        <v/>
      </c>
      <c r="T106" s="35">
        <f>R106+S106</f>
        <v/>
      </c>
      <c r="U106" s="35">
        <f>IF((T106/AI106&gt;'Parámetros Proyección'!$G$13),0,D106*'Parámetros Proyección'!$G$13/(IF((H106/AI106&gt;'Parámetros Proyección'!$G$11),0,'Parámetros Proyección'!$G$11)+IF((N106/AI106&gt;'Parámetros Proyección'!$G$12),0,'Parámetros Proyección'!$G$12)+IF((T106/AI106&gt;'Parámetros Proyección'!$G$13),0,'Parámetros Proyección'!$G$13)+IF((Z106/AI106&gt;'Parámetros Proyección'!$G$14),0,'Parámetros Proyección'!$G$14)+IF((AF106/AI106&gt;'Parámetros Proyección'!$G$15),0,'Parámetros Proyección'!$G$15)))</f>
        <v/>
      </c>
      <c r="V106" s="35">
        <f>T106+U106</f>
        <v/>
      </c>
      <c r="W106" s="35">
        <f>AB105</f>
        <v/>
      </c>
      <c r="X106" s="35">
        <f>W106*(1+'Parámetros Proyección'!$E$14)</f>
        <v/>
      </c>
      <c r="Y106" s="35">
        <f>X106*'Parámetros Proyección'!$F$14</f>
        <v/>
      </c>
      <c r="Z106" s="35">
        <f>X106+Y106</f>
        <v/>
      </c>
      <c r="AA106" s="35">
        <f>IF((Z106/AI106&gt;'Parámetros Proyección'!$G$14),0,D106*'Parámetros Proyección'!$G$14/(IF((H106/AI106&gt;'Parámetros Proyección'!$G$11),0,'Parámetros Proyección'!$G$11)+IF((N106/AI106&gt;'Parámetros Proyección'!$G$12),0,'Parámetros Proyección'!$G$12)+IF((T106/AI106&gt;'Parámetros Proyección'!$G$13),0,'Parámetros Proyección'!$G$13)+IF((Z106/AI106&gt;'Parámetros Proyección'!$G$14),0,'Parámetros Proyección'!$G$14)+IF((AF106/AI106&gt;'Parámetros Proyección'!$G$15),0,'Parámetros Proyección'!$G$15)))</f>
        <v/>
      </c>
      <c r="AB106" s="35">
        <f>Z106+AA106</f>
        <v/>
      </c>
      <c r="AC106" s="35">
        <f>AH105</f>
        <v/>
      </c>
      <c r="AD106" s="35">
        <f>AC106*(1+'Parámetros Proyección'!$E$15)</f>
        <v/>
      </c>
      <c r="AE106" s="35">
        <f>AD106*'Parámetros Proyección'!$F$15</f>
        <v/>
      </c>
      <c r="AF106" s="35">
        <f>AD106+AE106</f>
        <v/>
      </c>
      <c r="AG106" s="35">
        <f>IF((AF106/AI106&gt;'Parámetros Proyección'!$G$15),0,D106*'Parámetros Proyección'!$G$15/(IF((H106/AI106&gt;'Parámetros Proyección'!$G$11),0,'Parámetros Proyección'!$G$11)+IF((N106/AI106&gt;'Parámetros Proyección'!$G$12),0,'Parámetros Proyección'!$G$12)+IF((T106/AI106&gt;'Parámetros Proyección'!$G$13),0,'Parámetros Proyección'!$G$13)+IF((Z106/AI106&gt;'Parámetros Proyección'!$G$14),0,'Parámetros Proyección'!$G$14)+IF((AF106/AI106&gt;'Parámetros Proyección'!$G$15),0,'Parámetros Proyección'!$G$15)))</f>
        <v/>
      </c>
      <c r="AH106" s="35">
        <f>AF106+AG106</f>
        <v/>
      </c>
      <c r="AI106" s="35">
        <f>H106+N106+T106+Z106+AF106</f>
        <v/>
      </c>
      <c r="AJ106" s="33">
        <f>AF106/AI106</f>
        <v/>
      </c>
      <c r="AK106">
        <f>IF(AJ106&gt;'Parámetros Proyección'!$B$5,1,0)</f>
        <v/>
      </c>
      <c r="AL106" s="35">
        <f>G106+M106+S106+Y106+AE106</f>
        <v/>
      </c>
      <c r="AM106" s="35">
        <f>AM105+D106</f>
        <v/>
      </c>
      <c r="AN106" s="35">
        <f>AN105+AL106</f>
        <v/>
      </c>
      <c r="AO106" s="35">
        <f>J106+P106+V106+AB106+AH106</f>
        <v/>
      </c>
    </row>
    <row r="107">
      <c r="A107" t="n">
        <v>104</v>
      </c>
      <c r="B107" s="34">
        <f>EDATE(B106,1)</f>
        <v/>
      </c>
      <c r="C107">
        <f>YEAR(B107)</f>
        <v/>
      </c>
      <c r="D107" s="35">
        <f>'Parámetros Proyección'!$B$3*(1+'Parámetros Proyección'!$B$4)^(C107-YEAR('Parámetros Proyección'!$B$6))</f>
        <v/>
      </c>
      <c r="E107" s="35">
        <f>J106</f>
        <v/>
      </c>
      <c r="F107" s="35">
        <f>E107*(1+'Parámetros Proyección'!$E$11)</f>
        <v/>
      </c>
      <c r="G107" s="35">
        <f>F107*'Parámetros Proyección'!$F$11</f>
        <v/>
      </c>
      <c r="H107" s="35">
        <f>F107+G107</f>
        <v/>
      </c>
      <c r="I107" s="35">
        <f>IF((H107/AI107&gt;'Parámetros Proyección'!$G$11),0,D107*'Parámetros Proyección'!$G$11/(IF((H107/AI107&gt;'Parámetros Proyección'!$G$11),0,'Parámetros Proyección'!$G$11)+IF((N107/AI107&gt;'Parámetros Proyección'!$G$12),0,'Parámetros Proyección'!$G$12)+IF((T107/AI107&gt;'Parámetros Proyección'!$G$13),0,'Parámetros Proyección'!$G$13)+IF((Z107/AI107&gt;'Parámetros Proyección'!$G$14),0,'Parámetros Proyección'!$G$14)+IF((AF107/AI107&gt;'Parámetros Proyección'!$G$15),0,'Parámetros Proyección'!$G$15)))</f>
        <v/>
      </c>
      <c r="J107" s="35">
        <f>H107+I107</f>
        <v/>
      </c>
      <c r="K107" s="35">
        <f>P106</f>
        <v/>
      </c>
      <c r="L107" s="35">
        <f>K107*(1+'Parámetros Proyección'!$E$12)</f>
        <v/>
      </c>
      <c r="M107" s="35">
        <f>L107*'Parámetros Proyección'!$F$12</f>
        <v/>
      </c>
      <c r="N107" s="35">
        <f>L107+M107</f>
        <v/>
      </c>
      <c r="O107" s="35">
        <f>IF((N107/AI107&gt;'Parámetros Proyección'!$G$12),0,D107*'Parámetros Proyección'!$G$12/(IF((H107/AI107&gt;'Parámetros Proyección'!$G$11),0,'Parámetros Proyección'!$G$11)+IF((N107/AI107&gt;'Parámetros Proyección'!$G$12),0,'Parámetros Proyección'!$G$12)+IF((T107/AI107&gt;'Parámetros Proyección'!$G$13),0,'Parámetros Proyección'!$G$13)+IF((Z107/AI107&gt;'Parámetros Proyección'!$G$14),0,'Parámetros Proyección'!$G$14)+IF((AF107/AI107&gt;'Parámetros Proyección'!$G$15),0,'Parámetros Proyección'!$G$15)))</f>
        <v/>
      </c>
      <c r="P107" s="35">
        <f>N107+O107</f>
        <v/>
      </c>
      <c r="Q107" s="35">
        <f>V106</f>
        <v/>
      </c>
      <c r="R107" s="35">
        <f>Q107*(1+'Parámetros Proyección'!$E$13)</f>
        <v/>
      </c>
      <c r="S107" s="35">
        <f>R107*'Parámetros Proyección'!$F$13</f>
        <v/>
      </c>
      <c r="T107" s="35">
        <f>R107+S107</f>
        <v/>
      </c>
      <c r="U107" s="35">
        <f>IF((T107/AI107&gt;'Parámetros Proyección'!$G$13),0,D107*'Parámetros Proyección'!$G$13/(IF((H107/AI107&gt;'Parámetros Proyección'!$G$11),0,'Parámetros Proyección'!$G$11)+IF((N107/AI107&gt;'Parámetros Proyección'!$G$12),0,'Parámetros Proyección'!$G$12)+IF((T107/AI107&gt;'Parámetros Proyección'!$G$13),0,'Parámetros Proyección'!$G$13)+IF((Z107/AI107&gt;'Parámetros Proyección'!$G$14),0,'Parámetros Proyección'!$G$14)+IF((AF107/AI107&gt;'Parámetros Proyección'!$G$15),0,'Parámetros Proyección'!$G$15)))</f>
        <v/>
      </c>
      <c r="V107" s="35">
        <f>T107+U107</f>
        <v/>
      </c>
      <c r="W107" s="35">
        <f>AB106</f>
        <v/>
      </c>
      <c r="X107" s="35">
        <f>W107*(1+'Parámetros Proyección'!$E$14)</f>
        <v/>
      </c>
      <c r="Y107" s="35">
        <f>X107*'Parámetros Proyección'!$F$14</f>
        <v/>
      </c>
      <c r="Z107" s="35">
        <f>X107+Y107</f>
        <v/>
      </c>
      <c r="AA107" s="35">
        <f>IF((Z107/AI107&gt;'Parámetros Proyección'!$G$14),0,D107*'Parámetros Proyección'!$G$14/(IF((H107/AI107&gt;'Parámetros Proyección'!$G$11),0,'Parámetros Proyección'!$G$11)+IF((N107/AI107&gt;'Parámetros Proyección'!$G$12),0,'Parámetros Proyección'!$G$12)+IF((T107/AI107&gt;'Parámetros Proyección'!$G$13),0,'Parámetros Proyección'!$G$13)+IF((Z107/AI107&gt;'Parámetros Proyección'!$G$14),0,'Parámetros Proyección'!$G$14)+IF((AF107/AI107&gt;'Parámetros Proyección'!$G$15),0,'Parámetros Proyección'!$G$15)))</f>
        <v/>
      </c>
      <c r="AB107" s="35">
        <f>Z107+AA107</f>
        <v/>
      </c>
      <c r="AC107" s="35">
        <f>AH106</f>
        <v/>
      </c>
      <c r="AD107" s="35">
        <f>AC107*(1+'Parámetros Proyección'!$E$15)</f>
        <v/>
      </c>
      <c r="AE107" s="35">
        <f>AD107*'Parámetros Proyección'!$F$15</f>
        <v/>
      </c>
      <c r="AF107" s="35">
        <f>AD107+AE107</f>
        <v/>
      </c>
      <c r="AG107" s="35">
        <f>IF((AF107/AI107&gt;'Parámetros Proyección'!$G$15),0,D107*'Parámetros Proyección'!$G$15/(IF((H107/AI107&gt;'Parámetros Proyección'!$G$11),0,'Parámetros Proyección'!$G$11)+IF((N107/AI107&gt;'Parámetros Proyección'!$G$12),0,'Parámetros Proyección'!$G$12)+IF((T107/AI107&gt;'Parámetros Proyección'!$G$13),0,'Parámetros Proyección'!$G$13)+IF((Z107/AI107&gt;'Parámetros Proyección'!$G$14),0,'Parámetros Proyección'!$G$14)+IF((AF107/AI107&gt;'Parámetros Proyección'!$G$15),0,'Parámetros Proyección'!$G$15)))</f>
        <v/>
      </c>
      <c r="AH107" s="35">
        <f>AF107+AG107</f>
        <v/>
      </c>
      <c r="AI107" s="35">
        <f>H107+N107+T107+Z107+AF107</f>
        <v/>
      </c>
      <c r="AJ107" s="33">
        <f>AF107/AI107</f>
        <v/>
      </c>
      <c r="AK107">
        <f>IF(AJ107&gt;'Parámetros Proyección'!$B$5,1,0)</f>
        <v/>
      </c>
      <c r="AL107" s="35">
        <f>G107+M107+S107+Y107+AE107</f>
        <v/>
      </c>
      <c r="AM107" s="35">
        <f>AM106+D107</f>
        <v/>
      </c>
      <c r="AN107" s="35">
        <f>AN106+AL107</f>
        <v/>
      </c>
      <c r="AO107" s="35">
        <f>J107+P107+V107+AB107+AH107</f>
        <v/>
      </c>
    </row>
    <row r="108">
      <c r="A108" t="n">
        <v>105</v>
      </c>
      <c r="B108" s="34">
        <f>EDATE(B107,1)</f>
        <v/>
      </c>
      <c r="C108">
        <f>YEAR(B108)</f>
        <v/>
      </c>
      <c r="D108" s="35">
        <f>'Parámetros Proyección'!$B$3*(1+'Parámetros Proyección'!$B$4)^(C108-YEAR('Parámetros Proyección'!$B$6))</f>
        <v/>
      </c>
      <c r="E108" s="35">
        <f>J107</f>
        <v/>
      </c>
      <c r="F108" s="35">
        <f>E108*(1+'Parámetros Proyección'!$E$11)</f>
        <v/>
      </c>
      <c r="G108" s="35">
        <f>F108*'Parámetros Proyección'!$F$11</f>
        <v/>
      </c>
      <c r="H108" s="35">
        <f>F108+G108</f>
        <v/>
      </c>
      <c r="I108" s="35">
        <f>IF((H108/AI108&gt;'Parámetros Proyección'!$G$11),0,D108*'Parámetros Proyección'!$G$11/(IF((H108/AI108&gt;'Parámetros Proyección'!$G$11),0,'Parámetros Proyección'!$G$11)+IF((N108/AI108&gt;'Parámetros Proyección'!$G$12),0,'Parámetros Proyección'!$G$12)+IF((T108/AI108&gt;'Parámetros Proyección'!$G$13),0,'Parámetros Proyección'!$G$13)+IF((Z108/AI108&gt;'Parámetros Proyección'!$G$14),0,'Parámetros Proyección'!$G$14)+IF((AF108/AI108&gt;'Parámetros Proyección'!$G$15),0,'Parámetros Proyección'!$G$15)))</f>
        <v/>
      </c>
      <c r="J108" s="35">
        <f>H108+I108</f>
        <v/>
      </c>
      <c r="K108" s="35">
        <f>P107</f>
        <v/>
      </c>
      <c r="L108" s="35">
        <f>K108*(1+'Parámetros Proyección'!$E$12)</f>
        <v/>
      </c>
      <c r="M108" s="35">
        <f>L108*'Parámetros Proyección'!$F$12</f>
        <v/>
      </c>
      <c r="N108" s="35">
        <f>L108+M108</f>
        <v/>
      </c>
      <c r="O108" s="35">
        <f>IF((N108/AI108&gt;'Parámetros Proyección'!$G$12),0,D108*'Parámetros Proyección'!$G$12/(IF((H108/AI108&gt;'Parámetros Proyección'!$G$11),0,'Parámetros Proyección'!$G$11)+IF((N108/AI108&gt;'Parámetros Proyección'!$G$12),0,'Parámetros Proyección'!$G$12)+IF((T108/AI108&gt;'Parámetros Proyección'!$G$13),0,'Parámetros Proyección'!$G$13)+IF((Z108/AI108&gt;'Parámetros Proyección'!$G$14),0,'Parámetros Proyección'!$G$14)+IF((AF108/AI108&gt;'Parámetros Proyección'!$G$15),0,'Parámetros Proyección'!$G$15)))</f>
        <v/>
      </c>
      <c r="P108" s="35">
        <f>N108+O108</f>
        <v/>
      </c>
      <c r="Q108" s="35">
        <f>V107</f>
        <v/>
      </c>
      <c r="R108" s="35">
        <f>Q108*(1+'Parámetros Proyección'!$E$13)</f>
        <v/>
      </c>
      <c r="S108" s="35">
        <f>R108*'Parámetros Proyección'!$F$13</f>
        <v/>
      </c>
      <c r="T108" s="35">
        <f>R108+S108</f>
        <v/>
      </c>
      <c r="U108" s="35">
        <f>IF((T108/AI108&gt;'Parámetros Proyección'!$G$13),0,D108*'Parámetros Proyección'!$G$13/(IF((H108/AI108&gt;'Parámetros Proyección'!$G$11),0,'Parámetros Proyección'!$G$11)+IF((N108/AI108&gt;'Parámetros Proyección'!$G$12),0,'Parámetros Proyección'!$G$12)+IF((T108/AI108&gt;'Parámetros Proyección'!$G$13),0,'Parámetros Proyección'!$G$13)+IF((Z108/AI108&gt;'Parámetros Proyección'!$G$14),0,'Parámetros Proyección'!$G$14)+IF((AF108/AI108&gt;'Parámetros Proyección'!$G$15),0,'Parámetros Proyección'!$G$15)))</f>
        <v/>
      </c>
      <c r="V108" s="35">
        <f>T108+U108</f>
        <v/>
      </c>
      <c r="W108" s="35">
        <f>AB107</f>
        <v/>
      </c>
      <c r="X108" s="35">
        <f>W108*(1+'Parámetros Proyección'!$E$14)</f>
        <v/>
      </c>
      <c r="Y108" s="35">
        <f>X108*'Parámetros Proyección'!$F$14</f>
        <v/>
      </c>
      <c r="Z108" s="35">
        <f>X108+Y108</f>
        <v/>
      </c>
      <c r="AA108" s="35">
        <f>IF((Z108/AI108&gt;'Parámetros Proyección'!$G$14),0,D108*'Parámetros Proyección'!$G$14/(IF((H108/AI108&gt;'Parámetros Proyección'!$G$11),0,'Parámetros Proyección'!$G$11)+IF((N108/AI108&gt;'Parámetros Proyección'!$G$12),0,'Parámetros Proyección'!$G$12)+IF((T108/AI108&gt;'Parámetros Proyección'!$G$13),0,'Parámetros Proyección'!$G$13)+IF((Z108/AI108&gt;'Parámetros Proyección'!$G$14),0,'Parámetros Proyección'!$G$14)+IF((AF108/AI108&gt;'Parámetros Proyección'!$G$15),0,'Parámetros Proyección'!$G$15)))</f>
        <v/>
      </c>
      <c r="AB108" s="35">
        <f>Z108+AA108</f>
        <v/>
      </c>
      <c r="AC108" s="35">
        <f>AH107</f>
        <v/>
      </c>
      <c r="AD108" s="35">
        <f>AC108*(1+'Parámetros Proyección'!$E$15)</f>
        <v/>
      </c>
      <c r="AE108" s="35">
        <f>AD108*'Parámetros Proyección'!$F$15</f>
        <v/>
      </c>
      <c r="AF108" s="35">
        <f>AD108+AE108</f>
        <v/>
      </c>
      <c r="AG108" s="35">
        <f>IF((AF108/AI108&gt;'Parámetros Proyección'!$G$15),0,D108*'Parámetros Proyección'!$G$15/(IF((H108/AI108&gt;'Parámetros Proyección'!$G$11),0,'Parámetros Proyección'!$G$11)+IF((N108/AI108&gt;'Parámetros Proyección'!$G$12),0,'Parámetros Proyección'!$G$12)+IF((T108/AI108&gt;'Parámetros Proyección'!$G$13),0,'Parámetros Proyección'!$G$13)+IF((Z108/AI108&gt;'Parámetros Proyección'!$G$14),0,'Parámetros Proyección'!$G$14)+IF((AF108/AI108&gt;'Parámetros Proyección'!$G$15),0,'Parámetros Proyección'!$G$15)))</f>
        <v/>
      </c>
      <c r="AH108" s="35">
        <f>AF108+AG108</f>
        <v/>
      </c>
      <c r="AI108" s="35">
        <f>H108+N108+T108+Z108+AF108</f>
        <v/>
      </c>
      <c r="AJ108" s="33">
        <f>AF108/AI108</f>
        <v/>
      </c>
      <c r="AK108">
        <f>IF(AJ108&gt;'Parámetros Proyección'!$B$5,1,0)</f>
        <v/>
      </c>
      <c r="AL108" s="35">
        <f>G108+M108+S108+Y108+AE108</f>
        <v/>
      </c>
      <c r="AM108" s="35">
        <f>AM107+D108</f>
        <v/>
      </c>
      <c r="AN108" s="35">
        <f>AN107+AL108</f>
        <v/>
      </c>
      <c r="AO108" s="35">
        <f>J108+P108+V108+AB108+AH108</f>
        <v/>
      </c>
    </row>
    <row r="109">
      <c r="A109" t="n">
        <v>106</v>
      </c>
      <c r="B109" s="34">
        <f>EDATE(B108,1)</f>
        <v/>
      </c>
      <c r="C109">
        <f>YEAR(B109)</f>
        <v/>
      </c>
      <c r="D109" s="35">
        <f>'Parámetros Proyección'!$B$3*(1+'Parámetros Proyección'!$B$4)^(C109-YEAR('Parámetros Proyección'!$B$6))</f>
        <v/>
      </c>
      <c r="E109" s="35">
        <f>J108</f>
        <v/>
      </c>
      <c r="F109" s="35">
        <f>E109*(1+'Parámetros Proyección'!$E$11)</f>
        <v/>
      </c>
      <c r="G109" s="35">
        <f>F109*'Parámetros Proyección'!$F$11</f>
        <v/>
      </c>
      <c r="H109" s="35">
        <f>F109+G109</f>
        <v/>
      </c>
      <c r="I109" s="35">
        <f>IF((H109/AI109&gt;'Parámetros Proyección'!$G$11),0,D109*'Parámetros Proyección'!$G$11/(IF((H109/AI109&gt;'Parámetros Proyección'!$G$11),0,'Parámetros Proyección'!$G$11)+IF((N109/AI109&gt;'Parámetros Proyección'!$G$12),0,'Parámetros Proyección'!$G$12)+IF((T109/AI109&gt;'Parámetros Proyección'!$G$13),0,'Parámetros Proyección'!$G$13)+IF((Z109/AI109&gt;'Parámetros Proyección'!$G$14),0,'Parámetros Proyección'!$G$14)+IF((AF109/AI109&gt;'Parámetros Proyección'!$G$15),0,'Parámetros Proyección'!$G$15)))</f>
        <v/>
      </c>
      <c r="J109" s="35">
        <f>H109+I109</f>
        <v/>
      </c>
      <c r="K109" s="35">
        <f>P108</f>
        <v/>
      </c>
      <c r="L109" s="35">
        <f>K109*(1+'Parámetros Proyección'!$E$12)</f>
        <v/>
      </c>
      <c r="M109" s="35">
        <f>L109*'Parámetros Proyección'!$F$12</f>
        <v/>
      </c>
      <c r="N109" s="35">
        <f>L109+M109</f>
        <v/>
      </c>
      <c r="O109" s="35">
        <f>IF((N109/AI109&gt;'Parámetros Proyección'!$G$12),0,D109*'Parámetros Proyección'!$G$12/(IF((H109/AI109&gt;'Parámetros Proyección'!$G$11),0,'Parámetros Proyección'!$G$11)+IF((N109/AI109&gt;'Parámetros Proyección'!$G$12),0,'Parámetros Proyección'!$G$12)+IF((T109/AI109&gt;'Parámetros Proyección'!$G$13),0,'Parámetros Proyección'!$G$13)+IF((Z109/AI109&gt;'Parámetros Proyección'!$G$14),0,'Parámetros Proyección'!$G$14)+IF((AF109/AI109&gt;'Parámetros Proyección'!$G$15),0,'Parámetros Proyección'!$G$15)))</f>
        <v/>
      </c>
      <c r="P109" s="35">
        <f>N109+O109</f>
        <v/>
      </c>
      <c r="Q109" s="35">
        <f>V108</f>
        <v/>
      </c>
      <c r="R109" s="35">
        <f>Q109*(1+'Parámetros Proyección'!$E$13)</f>
        <v/>
      </c>
      <c r="S109" s="35">
        <f>R109*'Parámetros Proyección'!$F$13</f>
        <v/>
      </c>
      <c r="T109" s="35">
        <f>R109+S109</f>
        <v/>
      </c>
      <c r="U109" s="35">
        <f>IF((T109/AI109&gt;'Parámetros Proyección'!$G$13),0,D109*'Parámetros Proyección'!$G$13/(IF((H109/AI109&gt;'Parámetros Proyección'!$G$11),0,'Parámetros Proyección'!$G$11)+IF((N109/AI109&gt;'Parámetros Proyección'!$G$12),0,'Parámetros Proyección'!$G$12)+IF((T109/AI109&gt;'Parámetros Proyección'!$G$13),0,'Parámetros Proyección'!$G$13)+IF((Z109/AI109&gt;'Parámetros Proyección'!$G$14),0,'Parámetros Proyección'!$G$14)+IF((AF109/AI109&gt;'Parámetros Proyección'!$G$15),0,'Parámetros Proyección'!$G$15)))</f>
        <v/>
      </c>
      <c r="V109" s="35">
        <f>T109+U109</f>
        <v/>
      </c>
      <c r="W109" s="35">
        <f>AB108</f>
        <v/>
      </c>
      <c r="X109" s="35">
        <f>W109*(1+'Parámetros Proyección'!$E$14)</f>
        <v/>
      </c>
      <c r="Y109" s="35">
        <f>X109*'Parámetros Proyección'!$F$14</f>
        <v/>
      </c>
      <c r="Z109" s="35">
        <f>X109+Y109</f>
        <v/>
      </c>
      <c r="AA109" s="35">
        <f>IF((Z109/AI109&gt;'Parámetros Proyección'!$G$14),0,D109*'Parámetros Proyección'!$G$14/(IF((H109/AI109&gt;'Parámetros Proyección'!$G$11),0,'Parámetros Proyección'!$G$11)+IF((N109/AI109&gt;'Parámetros Proyección'!$G$12),0,'Parámetros Proyección'!$G$12)+IF((T109/AI109&gt;'Parámetros Proyección'!$G$13),0,'Parámetros Proyección'!$G$13)+IF((Z109/AI109&gt;'Parámetros Proyección'!$G$14),0,'Parámetros Proyección'!$G$14)+IF((AF109/AI109&gt;'Parámetros Proyección'!$G$15),0,'Parámetros Proyección'!$G$15)))</f>
        <v/>
      </c>
      <c r="AB109" s="35">
        <f>Z109+AA109</f>
        <v/>
      </c>
      <c r="AC109" s="35">
        <f>AH108</f>
        <v/>
      </c>
      <c r="AD109" s="35">
        <f>AC109*(1+'Parámetros Proyección'!$E$15)</f>
        <v/>
      </c>
      <c r="AE109" s="35">
        <f>AD109*'Parámetros Proyección'!$F$15</f>
        <v/>
      </c>
      <c r="AF109" s="35">
        <f>AD109+AE109</f>
        <v/>
      </c>
      <c r="AG109" s="35">
        <f>IF((AF109/AI109&gt;'Parámetros Proyección'!$G$15),0,D109*'Parámetros Proyección'!$G$15/(IF((H109/AI109&gt;'Parámetros Proyección'!$G$11),0,'Parámetros Proyección'!$G$11)+IF((N109/AI109&gt;'Parámetros Proyección'!$G$12),0,'Parámetros Proyección'!$G$12)+IF((T109/AI109&gt;'Parámetros Proyección'!$G$13),0,'Parámetros Proyección'!$G$13)+IF((Z109/AI109&gt;'Parámetros Proyección'!$G$14),0,'Parámetros Proyección'!$G$14)+IF((AF109/AI109&gt;'Parámetros Proyección'!$G$15),0,'Parámetros Proyección'!$G$15)))</f>
        <v/>
      </c>
      <c r="AH109" s="35">
        <f>AF109+AG109</f>
        <v/>
      </c>
      <c r="AI109" s="35">
        <f>H109+N109+T109+Z109+AF109</f>
        <v/>
      </c>
      <c r="AJ109" s="33">
        <f>AF109/AI109</f>
        <v/>
      </c>
      <c r="AK109">
        <f>IF(AJ109&gt;'Parámetros Proyección'!$B$5,1,0)</f>
        <v/>
      </c>
      <c r="AL109" s="35">
        <f>G109+M109+S109+Y109+AE109</f>
        <v/>
      </c>
      <c r="AM109" s="35">
        <f>AM108+D109</f>
        <v/>
      </c>
      <c r="AN109" s="35">
        <f>AN108+AL109</f>
        <v/>
      </c>
      <c r="AO109" s="35">
        <f>J109+P109+V109+AB109+AH109</f>
        <v/>
      </c>
    </row>
    <row r="110">
      <c r="A110" t="n">
        <v>107</v>
      </c>
      <c r="B110" s="34">
        <f>EDATE(B109,1)</f>
        <v/>
      </c>
      <c r="C110">
        <f>YEAR(B110)</f>
        <v/>
      </c>
      <c r="D110" s="35">
        <f>'Parámetros Proyección'!$B$3*(1+'Parámetros Proyección'!$B$4)^(C110-YEAR('Parámetros Proyección'!$B$6))</f>
        <v/>
      </c>
      <c r="E110" s="35">
        <f>J109</f>
        <v/>
      </c>
      <c r="F110" s="35">
        <f>E110*(1+'Parámetros Proyección'!$E$11)</f>
        <v/>
      </c>
      <c r="G110" s="35">
        <f>F110*'Parámetros Proyección'!$F$11</f>
        <v/>
      </c>
      <c r="H110" s="35">
        <f>F110+G110</f>
        <v/>
      </c>
      <c r="I110" s="35">
        <f>IF((H110/AI110&gt;'Parámetros Proyección'!$G$11),0,D110*'Parámetros Proyección'!$G$11/(IF((H110/AI110&gt;'Parámetros Proyección'!$G$11),0,'Parámetros Proyección'!$G$11)+IF((N110/AI110&gt;'Parámetros Proyección'!$G$12),0,'Parámetros Proyección'!$G$12)+IF((T110/AI110&gt;'Parámetros Proyección'!$G$13),0,'Parámetros Proyección'!$G$13)+IF((Z110/AI110&gt;'Parámetros Proyección'!$G$14),0,'Parámetros Proyección'!$G$14)+IF((AF110/AI110&gt;'Parámetros Proyección'!$G$15),0,'Parámetros Proyección'!$G$15)))</f>
        <v/>
      </c>
      <c r="J110" s="35">
        <f>H110+I110</f>
        <v/>
      </c>
      <c r="K110" s="35">
        <f>P109</f>
        <v/>
      </c>
      <c r="L110" s="35">
        <f>K110*(1+'Parámetros Proyección'!$E$12)</f>
        <v/>
      </c>
      <c r="M110" s="35">
        <f>L110*'Parámetros Proyección'!$F$12</f>
        <v/>
      </c>
      <c r="N110" s="35">
        <f>L110+M110</f>
        <v/>
      </c>
      <c r="O110" s="35">
        <f>IF((N110/AI110&gt;'Parámetros Proyección'!$G$12),0,D110*'Parámetros Proyección'!$G$12/(IF((H110/AI110&gt;'Parámetros Proyección'!$G$11),0,'Parámetros Proyección'!$G$11)+IF((N110/AI110&gt;'Parámetros Proyección'!$G$12),0,'Parámetros Proyección'!$G$12)+IF((T110/AI110&gt;'Parámetros Proyección'!$G$13),0,'Parámetros Proyección'!$G$13)+IF((Z110/AI110&gt;'Parámetros Proyección'!$G$14),0,'Parámetros Proyección'!$G$14)+IF((AF110/AI110&gt;'Parámetros Proyección'!$G$15),0,'Parámetros Proyección'!$G$15)))</f>
        <v/>
      </c>
      <c r="P110" s="35">
        <f>N110+O110</f>
        <v/>
      </c>
      <c r="Q110" s="35">
        <f>V109</f>
        <v/>
      </c>
      <c r="R110" s="35">
        <f>Q110*(1+'Parámetros Proyección'!$E$13)</f>
        <v/>
      </c>
      <c r="S110" s="35">
        <f>R110*'Parámetros Proyección'!$F$13</f>
        <v/>
      </c>
      <c r="T110" s="35">
        <f>R110+S110</f>
        <v/>
      </c>
      <c r="U110" s="35">
        <f>IF((T110/AI110&gt;'Parámetros Proyección'!$G$13),0,D110*'Parámetros Proyección'!$G$13/(IF((H110/AI110&gt;'Parámetros Proyección'!$G$11),0,'Parámetros Proyección'!$G$11)+IF((N110/AI110&gt;'Parámetros Proyección'!$G$12),0,'Parámetros Proyección'!$G$12)+IF((T110/AI110&gt;'Parámetros Proyección'!$G$13),0,'Parámetros Proyección'!$G$13)+IF((Z110/AI110&gt;'Parámetros Proyección'!$G$14),0,'Parámetros Proyección'!$G$14)+IF((AF110/AI110&gt;'Parámetros Proyección'!$G$15),0,'Parámetros Proyección'!$G$15)))</f>
        <v/>
      </c>
      <c r="V110" s="35">
        <f>T110+U110</f>
        <v/>
      </c>
      <c r="W110" s="35">
        <f>AB109</f>
        <v/>
      </c>
      <c r="X110" s="35">
        <f>W110*(1+'Parámetros Proyección'!$E$14)</f>
        <v/>
      </c>
      <c r="Y110" s="35">
        <f>X110*'Parámetros Proyección'!$F$14</f>
        <v/>
      </c>
      <c r="Z110" s="35">
        <f>X110+Y110</f>
        <v/>
      </c>
      <c r="AA110" s="35">
        <f>IF((Z110/AI110&gt;'Parámetros Proyección'!$G$14),0,D110*'Parámetros Proyección'!$G$14/(IF((H110/AI110&gt;'Parámetros Proyección'!$G$11),0,'Parámetros Proyección'!$G$11)+IF((N110/AI110&gt;'Parámetros Proyección'!$G$12),0,'Parámetros Proyección'!$G$12)+IF((T110/AI110&gt;'Parámetros Proyección'!$G$13),0,'Parámetros Proyección'!$G$13)+IF((Z110/AI110&gt;'Parámetros Proyección'!$G$14),0,'Parámetros Proyección'!$G$14)+IF((AF110/AI110&gt;'Parámetros Proyección'!$G$15),0,'Parámetros Proyección'!$G$15)))</f>
        <v/>
      </c>
      <c r="AB110" s="35">
        <f>Z110+AA110</f>
        <v/>
      </c>
      <c r="AC110" s="35">
        <f>AH109</f>
        <v/>
      </c>
      <c r="AD110" s="35">
        <f>AC110*(1+'Parámetros Proyección'!$E$15)</f>
        <v/>
      </c>
      <c r="AE110" s="35">
        <f>AD110*'Parámetros Proyección'!$F$15</f>
        <v/>
      </c>
      <c r="AF110" s="35">
        <f>AD110+AE110</f>
        <v/>
      </c>
      <c r="AG110" s="35">
        <f>IF((AF110/AI110&gt;'Parámetros Proyección'!$G$15),0,D110*'Parámetros Proyección'!$G$15/(IF((H110/AI110&gt;'Parámetros Proyección'!$G$11),0,'Parámetros Proyección'!$G$11)+IF((N110/AI110&gt;'Parámetros Proyección'!$G$12),0,'Parámetros Proyección'!$G$12)+IF((T110/AI110&gt;'Parámetros Proyección'!$G$13),0,'Parámetros Proyección'!$G$13)+IF((Z110/AI110&gt;'Parámetros Proyección'!$G$14),0,'Parámetros Proyección'!$G$14)+IF((AF110/AI110&gt;'Parámetros Proyección'!$G$15),0,'Parámetros Proyección'!$G$15)))</f>
        <v/>
      </c>
      <c r="AH110" s="35">
        <f>AF110+AG110</f>
        <v/>
      </c>
      <c r="AI110" s="35">
        <f>H110+N110+T110+Z110+AF110</f>
        <v/>
      </c>
      <c r="AJ110" s="33">
        <f>AF110/AI110</f>
        <v/>
      </c>
      <c r="AK110">
        <f>IF(AJ110&gt;'Parámetros Proyección'!$B$5,1,0)</f>
        <v/>
      </c>
      <c r="AL110" s="35">
        <f>G110+M110+S110+Y110+AE110</f>
        <v/>
      </c>
      <c r="AM110" s="35">
        <f>AM109+D110</f>
        <v/>
      </c>
      <c r="AN110" s="35">
        <f>AN109+AL110</f>
        <v/>
      </c>
      <c r="AO110" s="35">
        <f>J110+P110+V110+AB110+AH110</f>
        <v/>
      </c>
    </row>
    <row r="111">
      <c r="A111" t="n">
        <v>108</v>
      </c>
      <c r="B111" s="34">
        <f>EDATE(B110,1)</f>
        <v/>
      </c>
      <c r="C111">
        <f>YEAR(B111)</f>
        <v/>
      </c>
      <c r="D111" s="35">
        <f>'Parámetros Proyección'!$B$3*(1+'Parámetros Proyección'!$B$4)^(C111-YEAR('Parámetros Proyección'!$B$6))</f>
        <v/>
      </c>
      <c r="E111" s="35">
        <f>J110</f>
        <v/>
      </c>
      <c r="F111" s="35">
        <f>E111*(1+'Parámetros Proyección'!$E$11)</f>
        <v/>
      </c>
      <c r="G111" s="35">
        <f>F111*'Parámetros Proyección'!$F$11</f>
        <v/>
      </c>
      <c r="H111" s="35">
        <f>F111+G111</f>
        <v/>
      </c>
      <c r="I111" s="35">
        <f>IF((H111/AI111&gt;'Parámetros Proyección'!$G$11),0,D111*'Parámetros Proyección'!$G$11/(IF((H111/AI111&gt;'Parámetros Proyección'!$G$11),0,'Parámetros Proyección'!$G$11)+IF((N111/AI111&gt;'Parámetros Proyección'!$G$12),0,'Parámetros Proyección'!$G$12)+IF((T111/AI111&gt;'Parámetros Proyección'!$G$13),0,'Parámetros Proyección'!$G$13)+IF((Z111/AI111&gt;'Parámetros Proyección'!$G$14),0,'Parámetros Proyección'!$G$14)+IF((AF111/AI111&gt;'Parámetros Proyección'!$G$15),0,'Parámetros Proyección'!$G$15)))</f>
        <v/>
      </c>
      <c r="J111" s="35">
        <f>H111+I111</f>
        <v/>
      </c>
      <c r="K111" s="35">
        <f>P110</f>
        <v/>
      </c>
      <c r="L111" s="35">
        <f>K111*(1+'Parámetros Proyección'!$E$12)</f>
        <v/>
      </c>
      <c r="M111" s="35">
        <f>L111*'Parámetros Proyección'!$F$12</f>
        <v/>
      </c>
      <c r="N111" s="35">
        <f>L111+M111</f>
        <v/>
      </c>
      <c r="O111" s="35">
        <f>IF((N111/AI111&gt;'Parámetros Proyección'!$G$12),0,D111*'Parámetros Proyección'!$G$12/(IF((H111/AI111&gt;'Parámetros Proyección'!$G$11),0,'Parámetros Proyección'!$G$11)+IF((N111/AI111&gt;'Parámetros Proyección'!$G$12),0,'Parámetros Proyección'!$G$12)+IF((T111/AI111&gt;'Parámetros Proyección'!$G$13),0,'Parámetros Proyección'!$G$13)+IF((Z111/AI111&gt;'Parámetros Proyección'!$G$14),0,'Parámetros Proyección'!$G$14)+IF((AF111/AI111&gt;'Parámetros Proyección'!$G$15),0,'Parámetros Proyección'!$G$15)))</f>
        <v/>
      </c>
      <c r="P111" s="35">
        <f>N111+O111</f>
        <v/>
      </c>
      <c r="Q111" s="35">
        <f>V110</f>
        <v/>
      </c>
      <c r="R111" s="35">
        <f>Q111*(1+'Parámetros Proyección'!$E$13)</f>
        <v/>
      </c>
      <c r="S111" s="35">
        <f>R111*'Parámetros Proyección'!$F$13</f>
        <v/>
      </c>
      <c r="T111" s="35">
        <f>R111+S111</f>
        <v/>
      </c>
      <c r="U111" s="35">
        <f>IF((T111/AI111&gt;'Parámetros Proyección'!$G$13),0,D111*'Parámetros Proyección'!$G$13/(IF((H111/AI111&gt;'Parámetros Proyección'!$G$11),0,'Parámetros Proyección'!$G$11)+IF((N111/AI111&gt;'Parámetros Proyección'!$G$12),0,'Parámetros Proyección'!$G$12)+IF((T111/AI111&gt;'Parámetros Proyección'!$G$13),0,'Parámetros Proyección'!$G$13)+IF((Z111/AI111&gt;'Parámetros Proyección'!$G$14),0,'Parámetros Proyección'!$G$14)+IF((AF111/AI111&gt;'Parámetros Proyección'!$G$15),0,'Parámetros Proyección'!$G$15)))</f>
        <v/>
      </c>
      <c r="V111" s="35">
        <f>T111+U111</f>
        <v/>
      </c>
      <c r="W111" s="35">
        <f>AB110</f>
        <v/>
      </c>
      <c r="X111" s="35">
        <f>W111*(1+'Parámetros Proyección'!$E$14)</f>
        <v/>
      </c>
      <c r="Y111" s="35">
        <f>X111*'Parámetros Proyección'!$F$14</f>
        <v/>
      </c>
      <c r="Z111" s="35">
        <f>X111+Y111</f>
        <v/>
      </c>
      <c r="AA111" s="35">
        <f>IF((Z111/AI111&gt;'Parámetros Proyección'!$G$14),0,D111*'Parámetros Proyección'!$G$14/(IF((H111/AI111&gt;'Parámetros Proyección'!$G$11),0,'Parámetros Proyección'!$G$11)+IF((N111/AI111&gt;'Parámetros Proyección'!$G$12),0,'Parámetros Proyección'!$G$12)+IF((T111/AI111&gt;'Parámetros Proyección'!$G$13),0,'Parámetros Proyección'!$G$13)+IF((Z111/AI111&gt;'Parámetros Proyección'!$G$14),0,'Parámetros Proyección'!$G$14)+IF((AF111/AI111&gt;'Parámetros Proyección'!$G$15),0,'Parámetros Proyección'!$G$15)))</f>
        <v/>
      </c>
      <c r="AB111" s="35">
        <f>Z111+AA111</f>
        <v/>
      </c>
      <c r="AC111" s="35">
        <f>AH110</f>
        <v/>
      </c>
      <c r="AD111" s="35">
        <f>AC111*(1+'Parámetros Proyección'!$E$15)</f>
        <v/>
      </c>
      <c r="AE111" s="35">
        <f>AD111*'Parámetros Proyección'!$F$15</f>
        <v/>
      </c>
      <c r="AF111" s="35">
        <f>AD111+AE111</f>
        <v/>
      </c>
      <c r="AG111" s="35">
        <f>IF((AF111/AI111&gt;'Parámetros Proyección'!$G$15),0,D111*'Parámetros Proyección'!$G$15/(IF((H111/AI111&gt;'Parámetros Proyección'!$G$11),0,'Parámetros Proyección'!$G$11)+IF((N111/AI111&gt;'Parámetros Proyección'!$G$12),0,'Parámetros Proyección'!$G$12)+IF((T111/AI111&gt;'Parámetros Proyección'!$G$13),0,'Parámetros Proyección'!$G$13)+IF((Z111/AI111&gt;'Parámetros Proyección'!$G$14),0,'Parámetros Proyección'!$G$14)+IF((AF111/AI111&gt;'Parámetros Proyección'!$G$15),0,'Parámetros Proyección'!$G$15)))</f>
        <v/>
      </c>
      <c r="AH111" s="35">
        <f>AF111+AG111</f>
        <v/>
      </c>
      <c r="AI111" s="35">
        <f>H111+N111+T111+Z111+AF111</f>
        <v/>
      </c>
      <c r="AJ111" s="33">
        <f>AF111/AI111</f>
        <v/>
      </c>
      <c r="AK111">
        <f>IF(AJ111&gt;'Parámetros Proyección'!$B$5,1,0)</f>
        <v/>
      </c>
      <c r="AL111" s="35">
        <f>G111+M111+S111+Y111+AE111</f>
        <v/>
      </c>
      <c r="AM111" s="35">
        <f>AM110+D111</f>
        <v/>
      </c>
      <c r="AN111" s="35">
        <f>AN110+AL111</f>
        <v/>
      </c>
      <c r="AO111" s="35">
        <f>J111+P111+V111+AB111+AH111</f>
        <v/>
      </c>
    </row>
    <row r="112">
      <c r="A112" t="n">
        <v>109</v>
      </c>
      <c r="B112" s="34">
        <f>EDATE(B111,1)</f>
        <v/>
      </c>
      <c r="C112">
        <f>YEAR(B112)</f>
        <v/>
      </c>
      <c r="D112" s="35">
        <f>'Parámetros Proyección'!$B$3*(1+'Parámetros Proyección'!$B$4)^(C112-YEAR('Parámetros Proyección'!$B$6))</f>
        <v/>
      </c>
      <c r="E112" s="35">
        <f>J111</f>
        <v/>
      </c>
      <c r="F112" s="35">
        <f>E112*(1+'Parámetros Proyección'!$E$11)</f>
        <v/>
      </c>
      <c r="G112" s="35">
        <f>F112*'Parámetros Proyección'!$F$11</f>
        <v/>
      </c>
      <c r="H112" s="35">
        <f>F112+G112</f>
        <v/>
      </c>
      <c r="I112" s="35">
        <f>IF((H112/AI112&gt;'Parámetros Proyección'!$G$11),0,D112*'Parámetros Proyección'!$G$11/(IF((H112/AI112&gt;'Parámetros Proyección'!$G$11),0,'Parámetros Proyección'!$G$11)+IF((N112/AI112&gt;'Parámetros Proyección'!$G$12),0,'Parámetros Proyección'!$G$12)+IF((T112/AI112&gt;'Parámetros Proyección'!$G$13),0,'Parámetros Proyección'!$G$13)+IF((Z112/AI112&gt;'Parámetros Proyección'!$G$14),0,'Parámetros Proyección'!$G$14)+IF((AF112/AI112&gt;'Parámetros Proyección'!$G$15),0,'Parámetros Proyección'!$G$15)))</f>
        <v/>
      </c>
      <c r="J112" s="35">
        <f>H112+I112</f>
        <v/>
      </c>
      <c r="K112" s="35">
        <f>P111</f>
        <v/>
      </c>
      <c r="L112" s="35">
        <f>K112*(1+'Parámetros Proyección'!$E$12)</f>
        <v/>
      </c>
      <c r="M112" s="35">
        <f>L112*'Parámetros Proyección'!$F$12</f>
        <v/>
      </c>
      <c r="N112" s="35">
        <f>L112+M112</f>
        <v/>
      </c>
      <c r="O112" s="35">
        <f>IF((N112/AI112&gt;'Parámetros Proyección'!$G$12),0,D112*'Parámetros Proyección'!$G$12/(IF((H112/AI112&gt;'Parámetros Proyección'!$G$11),0,'Parámetros Proyección'!$G$11)+IF((N112/AI112&gt;'Parámetros Proyección'!$G$12),0,'Parámetros Proyección'!$G$12)+IF((T112/AI112&gt;'Parámetros Proyección'!$G$13),0,'Parámetros Proyección'!$G$13)+IF((Z112/AI112&gt;'Parámetros Proyección'!$G$14),0,'Parámetros Proyección'!$G$14)+IF((AF112/AI112&gt;'Parámetros Proyección'!$G$15),0,'Parámetros Proyección'!$G$15)))</f>
        <v/>
      </c>
      <c r="P112" s="35">
        <f>N112+O112</f>
        <v/>
      </c>
      <c r="Q112" s="35">
        <f>V111</f>
        <v/>
      </c>
      <c r="R112" s="35">
        <f>Q112*(1+'Parámetros Proyección'!$E$13)</f>
        <v/>
      </c>
      <c r="S112" s="35">
        <f>R112*'Parámetros Proyección'!$F$13</f>
        <v/>
      </c>
      <c r="T112" s="35">
        <f>R112+S112</f>
        <v/>
      </c>
      <c r="U112" s="35">
        <f>IF((T112/AI112&gt;'Parámetros Proyección'!$G$13),0,D112*'Parámetros Proyección'!$G$13/(IF((H112/AI112&gt;'Parámetros Proyección'!$G$11),0,'Parámetros Proyección'!$G$11)+IF((N112/AI112&gt;'Parámetros Proyección'!$G$12),0,'Parámetros Proyección'!$G$12)+IF((T112/AI112&gt;'Parámetros Proyección'!$G$13),0,'Parámetros Proyección'!$G$13)+IF((Z112/AI112&gt;'Parámetros Proyección'!$G$14),0,'Parámetros Proyección'!$G$14)+IF((AF112/AI112&gt;'Parámetros Proyección'!$G$15),0,'Parámetros Proyección'!$G$15)))</f>
        <v/>
      </c>
      <c r="V112" s="35">
        <f>T112+U112</f>
        <v/>
      </c>
      <c r="W112" s="35">
        <f>AB111</f>
        <v/>
      </c>
      <c r="X112" s="35">
        <f>W112*(1+'Parámetros Proyección'!$E$14)</f>
        <v/>
      </c>
      <c r="Y112" s="35">
        <f>X112*'Parámetros Proyección'!$F$14</f>
        <v/>
      </c>
      <c r="Z112" s="35">
        <f>X112+Y112</f>
        <v/>
      </c>
      <c r="AA112" s="35">
        <f>IF((Z112/AI112&gt;'Parámetros Proyección'!$G$14),0,D112*'Parámetros Proyección'!$G$14/(IF((H112/AI112&gt;'Parámetros Proyección'!$G$11),0,'Parámetros Proyección'!$G$11)+IF((N112/AI112&gt;'Parámetros Proyección'!$G$12),0,'Parámetros Proyección'!$G$12)+IF((T112/AI112&gt;'Parámetros Proyección'!$G$13),0,'Parámetros Proyección'!$G$13)+IF((Z112/AI112&gt;'Parámetros Proyección'!$G$14),0,'Parámetros Proyección'!$G$14)+IF((AF112/AI112&gt;'Parámetros Proyección'!$G$15),0,'Parámetros Proyección'!$G$15)))</f>
        <v/>
      </c>
      <c r="AB112" s="35">
        <f>Z112+AA112</f>
        <v/>
      </c>
      <c r="AC112" s="35">
        <f>AH111</f>
        <v/>
      </c>
      <c r="AD112" s="35">
        <f>AC112*(1+'Parámetros Proyección'!$E$15)</f>
        <v/>
      </c>
      <c r="AE112" s="35">
        <f>AD112*'Parámetros Proyección'!$F$15</f>
        <v/>
      </c>
      <c r="AF112" s="35">
        <f>AD112+AE112</f>
        <v/>
      </c>
      <c r="AG112" s="35">
        <f>IF((AF112/AI112&gt;'Parámetros Proyección'!$G$15),0,D112*'Parámetros Proyección'!$G$15/(IF((H112/AI112&gt;'Parámetros Proyección'!$G$11),0,'Parámetros Proyección'!$G$11)+IF((N112/AI112&gt;'Parámetros Proyección'!$G$12),0,'Parámetros Proyección'!$G$12)+IF((T112/AI112&gt;'Parámetros Proyección'!$G$13),0,'Parámetros Proyección'!$G$13)+IF((Z112/AI112&gt;'Parámetros Proyección'!$G$14),0,'Parámetros Proyección'!$G$14)+IF((AF112/AI112&gt;'Parámetros Proyección'!$G$15),0,'Parámetros Proyección'!$G$15)))</f>
        <v/>
      </c>
      <c r="AH112" s="35">
        <f>AF112+AG112</f>
        <v/>
      </c>
      <c r="AI112" s="35">
        <f>H112+N112+T112+Z112+AF112</f>
        <v/>
      </c>
      <c r="AJ112" s="33">
        <f>AF112/AI112</f>
        <v/>
      </c>
      <c r="AK112">
        <f>IF(AJ112&gt;'Parámetros Proyección'!$B$5,1,0)</f>
        <v/>
      </c>
      <c r="AL112" s="35">
        <f>G112+M112+S112+Y112+AE112</f>
        <v/>
      </c>
      <c r="AM112" s="35">
        <f>AM111+D112</f>
        <v/>
      </c>
      <c r="AN112" s="35">
        <f>AN111+AL112</f>
        <v/>
      </c>
      <c r="AO112" s="35">
        <f>J112+P112+V112+AB112+AH112</f>
        <v/>
      </c>
    </row>
    <row r="113">
      <c r="A113" t="n">
        <v>110</v>
      </c>
      <c r="B113" s="34">
        <f>EDATE(B112,1)</f>
        <v/>
      </c>
      <c r="C113">
        <f>YEAR(B113)</f>
        <v/>
      </c>
      <c r="D113" s="35">
        <f>'Parámetros Proyección'!$B$3*(1+'Parámetros Proyección'!$B$4)^(C113-YEAR('Parámetros Proyección'!$B$6))</f>
        <v/>
      </c>
      <c r="E113" s="35">
        <f>J112</f>
        <v/>
      </c>
      <c r="F113" s="35">
        <f>E113*(1+'Parámetros Proyección'!$E$11)</f>
        <v/>
      </c>
      <c r="G113" s="35">
        <f>F113*'Parámetros Proyección'!$F$11</f>
        <v/>
      </c>
      <c r="H113" s="35">
        <f>F113+G113</f>
        <v/>
      </c>
      <c r="I113" s="35">
        <f>IF((H113/AI113&gt;'Parámetros Proyección'!$G$11),0,D113*'Parámetros Proyección'!$G$11/(IF((H113/AI113&gt;'Parámetros Proyección'!$G$11),0,'Parámetros Proyección'!$G$11)+IF((N113/AI113&gt;'Parámetros Proyección'!$G$12),0,'Parámetros Proyección'!$G$12)+IF((T113/AI113&gt;'Parámetros Proyección'!$G$13),0,'Parámetros Proyección'!$G$13)+IF((Z113/AI113&gt;'Parámetros Proyección'!$G$14),0,'Parámetros Proyección'!$G$14)+IF((AF113/AI113&gt;'Parámetros Proyección'!$G$15),0,'Parámetros Proyección'!$G$15)))</f>
        <v/>
      </c>
      <c r="J113" s="35">
        <f>H113+I113</f>
        <v/>
      </c>
      <c r="K113" s="35">
        <f>P112</f>
        <v/>
      </c>
      <c r="L113" s="35">
        <f>K113*(1+'Parámetros Proyección'!$E$12)</f>
        <v/>
      </c>
      <c r="M113" s="35">
        <f>L113*'Parámetros Proyección'!$F$12</f>
        <v/>
      </c>
      <c r="N113" s="35">
        <f>L113+M113</f>
        <v/>
      </c>
      <c r="O113" s="35">
        <f>IF((N113/AI113&gt;'Parámetros Proyección'!$G$12),0,D113*'Parámetros Proyección'!$G$12/(IF((H113/AI113&gt;'Parámetros Proyección'!$G$11),0,'Parámetros Proyección'!$G$11)+IF((N113/AI113&gt;'Parámetros Proyección'!$G$12),0,'Parámetros Proyección'!$G$12)+IF((T113/AI113&gt;'Parámetros Proyección'!$G$13),0,'Parámetros Proyección'!$G$13)+IF((Z113/AI113&gt;'Parámetros Proyección'!$G$14),0,'Parámetros Proyección'!$G$14)+IF((AF113/AI113&gt;'Parámetros Proyección'!$G$15),0,'Parámetros Proyección'!$G$15)))</f>
        <v/>
      </c>
      <c r="P113" s="35">
        <f>N113+O113</f>
        <v/>
      </c>
      <c r="Q113" s="35">
        <f>V112</f>
        <v/>
      </c>
      <c r="R113" s="35">
        <f>Q113*(1+'Parámetros Proyección'!$E$13)</f>
        <v/>
      </c>
      <c r="S113" s="35">
        <f>R113*'Parámetros Proyección'!$F$13</f>
        <v/>
      </c>
      <c r="T113" s="35">
        <f>R113+S113</f>
        <v/>
      </c>
      <c r="U113" s="35">
        <f>IF((T113/AI113&gt;'Parámetros Proyección'!$G$13),0,D113*'Parámetros Proyección'!$G$13/(IF((H113/AI113&gt;'Parámetros Proyección'!$G$11),0,'Parámetros Proyección'!$G$11)+IF((N113/AI113&gt;'Parámetros Proyección'!$G$12),0,'Parámetros Proyección'!$G$12)+IF((T113/AI113&gt;'Parámetros Proyección'!$G$13),0,'Parámetros Proyección'!$G$13)+IF((Z113/AI113&gt;'Parámetros Proyección'!$G$14),0,'Parámetros Proyección'!$G$14)+IF((AF113/AI113&gt;'Parámetros Proyección'!$G$15),0,'Parámetros Proyección'!$G$15)))</f>
        <v/>
      </c>
      <c r="V113" s="35">
        <f>T113+U113</f>
        <v/>
      </c>
      <c r="W113" s="35">
        <f>AB112</f>
        <v/>
      </c>
      <c r="X113" s="35">
        <f>W113*(1+'Parámetros Proyección'!$E$14)</f>
        <v/>
      </c>
      <c r="Y113" s="35">
        <f>X113*'Parámetros Proyección'!$F$14</f>
        <v/>
      </c>
      <c r="Z113" s="35">
        <f>X113+Y113</f>
        <v/>
      </c>
      <c r="AA113" s="35">
        <f>IF((Z113/AI113&gt;'Parámetros Proyección'!$G$14),0,D113*'Parámetros Proyección'!$G$14/(IF((H113/AI113&gt;'Parámetros Proyección'!$G$11),0,'Parámetros Proyección'!$G$11)+IF((N113/AI113&gt;'Parámetros Proyección'!$G$12),0,'Parámetros Proyección'!$G$12)+IF((T113/AI113&gt;'Parámetros Proyección'!$G$13),0,'Parámetros Proyección'!$G$13)+IF((Z113/AI113&gt;'Parámetros Proyección'!$G$14),0,'Parámetros Proyección'!$G$14)+IF((AF113/AI113&gt;'Parámetros Proyección'!$G$15),0,'Parámetros Proyección'!$G$15)))</f>
        <v/>
      </c>
      <c r="AB113" s="35">
        <f>Z113+AA113</f>
        <v/>
      </c>
      <c r="AC113" s="35">
        <f>AH112</f>
        <v/>
      </c>
      <c r="AD113" s="35">
        <f>AC113*(1+'Parámetros Proyección'!$E$15)</f>
        <v/>
      </c>
      <c r="AE113" s="35">
        <f>AD113*'Parámetros Proyección'!$F$15</f>
        <v/>
      </c>
      <c r="AF113" s="35">
        <f>AD113+AE113</f>
        <v/>
      </c>
      <c r="AG113" s="35">
        <f>IF((AF113/AI113&gt;'Parámetros Proyección'!$G$15),0,D113*'Parámetros Proyección'!$G$15/(IF((H113/AI113&gt;'Parámetros Proyección'!$G$11),0,'Parámetros Proyección'!$G$11)+IF((N113/AI113&gt;'Parámetros Proyección'!$G$12),0,'Parámetros Proyección'!$G$12)+IF((T113/AI113&gt;'Parámetros Proyección'!$G$13),0,'Parámetros Proyección'!$G$13)+IF((Z113/AI113&gt;'Parámetros Proyección'!$G$14),0,'Parámetros Proyección'!$G$14)+IF((AF113/AI113&gt;'Parámetros Proyección'!$G$15),0,'Parámetros Proyección'!$G$15)))</f>
        <v/>
      </c>
      <c r="AH113" s="35">
        <f>AF113+AG113</f>
        <v/>
      </c>
      <c r="AI113" s="35">
        <f>H113+N113+T113+Z113+AF113</f>
        <v/>
      </c>
      <c r="AJ113" s="33">
        <f>AF113/AI113</f>
        <v/>
      </c>
      <c r="AK113">
        <f>IF(AJ113&gt;'Parámetros Proyección'!$B$5,1,0)</f>
        <v/>
      </c>
      <c r="AL113" s="35">
        <f>G113+M113+S113+Y113+AE113</f>
        <v/>
      </c>
      <c r="AM113" s="35">
        <f>AM112+D113</f>
        <v/>
      </c>
      <c r="AN113" s="35">
        <f>AN112+AL113</f>
        <v/>
      </c>
      <c r="AO113" s="35">
        <f>J113+P113+V113+AB113+AH113</f>
        <v/>
      </c>
    </row>
    <row r="114">
      <c r="A114" t="n">
        <v>111</v>
      </c>
      <c r="B114" s="34">
        <f>EDATE(B113,1)</f>
        <v/>
      </c>
      <c r="C114">
        <f>YEAR(B114)</f>
        <v/>
      </c>
      <c r="D114" s="35">
        <f>'Parámetros Proyección'!$B$3*(1+'Parámetros Proyección'!$B$4)^(C114-YEAR('Parámetros Proyección'!$B$6))</f>
        <v/>
      </c>
      <c r="E114" s="35">
        <f>J113</f>
        <v/>
      </c>
      <c r="F114" s="35">
        <f>E114*(1+'Parámetros Proyección'!$E$11)</f>
        <v/>
      </c>
      <c r="G114" s="35">
        <f>F114*'Parámetros Proyección'!$F$11</f>
        <v/>
      </c>
      <c r="H114" s="35">
        <f>F114+G114</f>
        <v/>
      </c>
      <c r="I114" s="35">
        <f>IF((H114/AI114&gt;'Parámetros Proyección'!$G$11),0,D114*'Parámetros Proyección'!$G$11/(IF((H114/AI114&gt;'Parámetros Proyección'!$G$11),0,'Parámetros Proyección'!$G$11)+IF((N114/AI114&gt;'Parámetros Proyección'!$G$12),0,'Parámetros Proyección'!$G$12)+IF((T114/AI114&gt;'Parámetros Proyección'!$G$13),0,'Parámetros Proyección'!$G$13)+IF((Z114/AI114&gt;'Parámetros Proyección'!$G$14),0,'Parámetros Proyección'!$G$14)+IF((AF114/AI114&gt;'Parámetros Proyección'!$G$15),0,'Parámetros Proyección'!$G$15)))</f>
        <v/>
      </c>
      <c r="J114" s="35">
        <f>H114+I114</f>
        <v/>
      </c>
      <c r="K114" s="35">
        <f>P113</f>
        <v/>
      </c>
      <c r="L114" s="35">
        <f>K114*(1+'Parámetros Proyección'!$E$12)</f>
        <v/>
      </c>
      <c r="M114" s="35">
        <f>L114*'Parámetros Proyección'!$F$12</f>
        <v/>
      </c>
      <c r="N114" s="35">
        <f>L114+M114</f>
        <v/>
      </c>
      <c r="O114" s="35">
        <f>IF((N114/AI114&gt;'Parámetros Proyección'!$G$12),0,D114*'Parámetros Proyección'!$G$12/(IF((H114/AI114&gt;'Parámetros Proyección'!$G$11),0,'Parámetros Proyección'!$G$11)+IF((N114/AI114&gt;'Parámetros Proyección'!$G$12),0,'Parámetros Proyección'!$G$12)+IF((T114/AI114&gt;'Parámetros Proyección'!$G$13),0,'Parámetros Proyección'!$G$13)+IF((Z114/AI114&gt;'Parámetros Proyección'!$G$14),0,'Parámetros Proyección'!$G$14)+IF((AF114/AI114&gt;'Parámetros Proyección'!$G$15),0,'Parámetros Proyección'!$G$15)))</f>
        <v/>
      </c>
      <c r="P114" s="35">
        <f>N114+O114</f>
        <v/>
      </c>
      <c r="Q114" s="35">
        <f>V113</f>
        <v/>
      </c>
      <c r="R114" s="35">
        <f>Q114*(1+'Parámetros Proyección'!$E$13)</f>
        <v/>
      </c>
      <c r="S114" s="35">
        <f>R114*'Parámetros Proyección'!$F$13</f>
        <v/>
      </c>
      <c r="T114" s="35">
        <f>R114+S114</f>
        <v/>
      </c>
      <c r="U114" s="35">
        <f>IF((T114/AI114&gt;'Parámetros Proyección'!$G$13),0,D114*'Parámetros Proyección'!$G$13/(IF((H114/AI114&gt;'Parámetros Proyección'!$G$11),0,'Parámetros Proyección'!$G$11)+IF((N114/AI114&gt;'Parámetros Proyección'!$G$12),0,'Parámetros Proyección'!$G$12)+IF((T114/AI114&gt;'Parámetros Proyección'!$G$13),0,'Parámetros Proyección'!$G$13)+IF((Z114/AI114&gt;'Parámetros Proyección'!$G$14),0,'Parámetros Proyección'!$G$14)+IF((AF114/AI114&gt;'Parámetros Proyección'!$G$15),0,'Parámetros Proyección'!$G$15)))</f>
        <v/>
      </c>
      <c r="V114" s="35">
        <f>T114+U114</f>
        <v/>
      </c>
      <c r="W114" s="35">
        <f>AB113</f>
        <v/>
      </c>
      <c r="X114" s="35">
        <f>W114*(1+'Parámetros Proyección'!$E$14)</f>
        <v/>
      </c>
      <c r="Y114" s="35">
        <f>X114*'Parámetros Proyección'!$F$14</f>
        <v/>
      </c>
      <c r="Z114" s="35">
        <f>X114+Y114</f>
        <v/>
      </c>
      <c r="AA114" s="35">
        <f>IF((Z114/AI114&gt;'Parámetros Proyección'!$G$14),0,D114*'Parámetros Proyección'!$G$14/(IF((H114/AI114&gt;'Parámetros Proyección'!$G$11),0,'Parámetros Proyección'!$G$11)+IF((N114/AI114&gt;'Parámetros Proyección'!$G$12),0,'Parámetros Proyección'!$G$12)+IF((T114/AI114&gt;'Parámetros Proyección'!$G$13),0,'Parámetros Proyección'!$G$13)+IF((Z114/AI114&gt;'Parámetros Proyección'!$G$14),0,'Parámetros Proyección'!$G$14)+IF((AF114/AI114&gt;'Parámetros Proyección'!$G$15),0,'Parámetros Proyección'!$G$15)))</f>
        <v/>
      </c>
      <c r="AB114" s="35">
        <f>Z114+AA114</f>
        <v/>
      </c>
      <c r="AC114" s="35">
        <f>AH113</f>
        <v/>
      </c>
      <c r="AD114" s="35">
        <f>AC114*(1+'Parámetros Proyección'!$E$15)</f>
        <v/>
      </c>
      <c r="AE114" s="35">
        <f>AD114*'Parámetros Proyección'!$F$15</f>
        <v/>
      </c>
      <c r="AF114" s="35">
        <f>AD114+AE114</f>
        <v/>
      </c>
      <c r="AG114" s="35">
        <f>IF((AF114/AI114&gt;'Parámetros Proyección'!$G$15),0,D114*'Parámetros Proyección'!$G$15/(IF((H114/AI114&gt;'Parámetros Proyección'!$G$11),0,'Parámetros Proyección'!$G$11)+IF((N114/AI114&gt;'Parámetros Proyección'!$G$12),0,'Parámetros Proyección'!$G$12)+IF((T114/AI114&gt;'Parámetros Proyección'!$G$13),0,'Parámetros Proyección'!$G$13)+IF((Z114/AI114&gt;'Parámetros Proyección'!$G$14),0,'Parámetros Proyección'!$G$14)+IF((AF114/AI114&gt;'Parámetros Proyección'!$G$15),0,'Parámetros Proyección'!$G$15)))</f>
        <v/>
      </c>
      <c r="AH114" s="35">
        <f>AF114+AG114</f>
        <v/>
      </c>
      <c r="AI114" s="35">
        <f>H114+N114+T114+Z114+AF114</f>
        <v/>
      </c>
      <c r="AJ114" s="33">
        <f>AF114/AI114</f>
        <v/>
      </c>
      <c r="AK114">
        <f>IF(AJ114&gt;'Parámetros Proyección'!$B$5,1,0)</f>
        <v/>
      </c>
      <c r="AL114" s="35">
        <f>G114+M114+S114+Y114+AE114</f>
        <v/>
      </c>
      <c r="AM114" s="35">
        <f>AM113+D114</f>
        <v/>
      </c>
      <c r="AN114" s="35">
        <f>AN113+AL114</f>
        <v/>
      </c>
      <c r="AO114" s="35">
        <f>J114+P114+V114+AB114+AH114</f>
        <v/>
      </c>
    </row>
    <row r="115">
      <c r="A115" t="n">
        <v>112</v>
      </c>
      <c r="B115" s="34">
        <f>EDATE(B114,1)</f>
        <v/>
      </c>
      <c r="C115">
        <f>YEAR(B115)</f>
        <v/>
      </c>
      <c r="D115" s="35">
        <f>'Parámetros Proyección'!$B$3*(1+'Parámetros Proyección'!$B$4)^(C115-YEAR('Parámetros Proyección'!$B$6))</f>
        <v/>
      </c>
      <c r="E115" s="35">
        <f>J114</f>
        <v/>
      </c>
      <c r="F115" s="35">
        <f>E115*(1+'Parámetros Proyección'!$E$11)</f>
        <v/>
      </c>
      <c r="G115" s="35">
        <f>F115*'Parámetros Proyección'!$F$11</f>
        <v/>
      </c>
      <c r="H115" s="35">
        <f>F115+G115</f>
        <v/>
      </c>
      <c r="I115" s="35">
        <f>IF((H115/AI115&gt;'Parámetros Proyección'!$G$11),0,D115*'Parámetros Proyección'!$G$11/(IF((H115/AI115&gt;'Parámetros Proyección'!$G$11),0,'Parámetros Proyección'!$G$11)+IF((N115/AI115&gt;'Parámetros Proyección'!$G$12),0,'Parámetros Proyección'!$G$12)+IF((T115/AI115&gt;'Parámetros Proyección'!$G$13),0,'Parámetros Proyección'!$G$13)+IF((Z115/AI115&gt;'Parámetros Proyección'!$G$14),0,'Parámetros Proyección'!$G$14)+IF((AF115/AI115&gt;'Parámetros Proyección'!$G$15),0,'Parámetros Proyección'!$G$15)))</f>
        <v/>
      </c>
      <c r="J115" s="35">
        <f>H115+I115</f>
        <v/>
      </c>
      <c r="K115" s="35">
        <f>P114</f>
        <v/>
      </c>
      <c r="L115" s="35">
        <f>K115*(1+'Parámetros Proyección'!$E$12)</f>
        <v/>
      </c>
      <c r="M115" s="35">
        <f>L115*'Parámetros Proyección'!$F$12</f>
        <v/>
      </c>
      <c r="N115" s="35">
        <f>L115+M115</f>
        <v/>
      </c>
      <c r="O115" s="35">
        <f>IF((N115/AI115&gt;'Parámetros Proyección'!$G$12),0,D115*'Parámetros Proyección'!$G$12/(IF((H115/AI115&gt;'Parámetros Proyección'!$G$11),0,'Parámetros Proyección'!$G$11)+IF((N115/AI115&gt;'Parámetros Proyección'!$G$12),0,'Parámetros Proyección'!$G$12)+IF((T115/AI115&gt;'Parámetros Proyección'!$G$13),0,'Parámetros Proyección'!$G$13)+IF((Z115/AI115&gt;'Parámetros Proyección'!$G$14),0,'Parámetros Proyección'!$G$14)+IF((AF115/AI115&gt;'Parámetros Proyección'!$G$15),0,'Parámetros Proyección'!$G$15)))</f>
        <v/>
      </c>
      <c r="P115" s="35">
        <f>N115+O115</f>
        <v/>
      </c>
      <c r="Q115" s="35">
        <f>V114</f>
        <v/>
      </c>
      <c r="R115" s="35">
        <f>Q115*(1+'Parámetros Proyección'!$E$13)</f>
        <v/>
      </c>
      <c r="S115" s="35">
        <f>R115*'Parámetros Proyección'!$F$13</f>
        <v/>
      </c>
      <c r="T115" s="35">
        <f>R115+S115</f>
        <v/>
      </c>
      <c r="U115" s="35">
        <f>IF((T115/AI115&gt;'Parámetros Proyección'!$G$13),0,D115*'Parámetros Proyección'!$G$13/(IF((H115/AI115&gt;'Parámetros Proyección'!$G$11),0,'Parámetros Proyección'!$G$11)+IF((N115/AI115&gt;'Parámetros Proyección'!$G$12),0,'Parámetros Proyección'!$G$12)+IF((T115/AI115&gt;'Parámetros Proyección'!$G$13),0,'Parámetros Proyección'!$G$13)+IF((Z115/AI115&gt;'Parámetros Proyección'!$G$14),0,'Parámetros Proyección'!$G$14)+IF((AF115/AI115&gt;'Parámetros Proyección'!$G$15),0,'Parámetros Proyección'!$G$15)))</f>
        <v/>
      </c>
      <c r="V115" s="35">
        <f>T115+U115</f>
        <v/>
      </c>
      <c r="W115" s="35">
        <f>AB114</f>
        <v/>
      </c>
      <c r="X115" s="35">
        <f>W115*(1+'Parámetros Proyección'!$E$14)</f>
        <v/>
      </c>
      <c r="Y115" s="35">
        <f>X115*'Parámetros Proyección'!$F$14</f>
        <v/>
      </c>
      <c r="Z115" s="35">
        <f>X115+Y115</f>
        <v/>
      </c>
      <c r="AA115" s="35">
        <f>IF((Z115/AI115&gt;'Parámetros Proyección'!$G$14),0,D115*'Parámetros Proyección'!$G$14/(IF((H115/AI115&gt;'Parámetros Proyección'!$G$11),0,'Parámetros Proyección'!$G$11)+IF((N115/AI115&gt;'Parámetros Proyección'!$G$12),0,'Parámetros Proyección'!$G$12)+IF((T115/AI115&gt;'Parámetros Proyección'!$G$13),0,'Parámetros Proyección'!$G$13)+IF((Z115/AI115&gt;'Parámetros Proyección'!$G$14),0,'Parámetros Proyección'!$G$14)+IF((AF115/AI115&gt;'Parámetros Proyección'!$G$15),0,'Parámetros Proyección'!$G$15)))</f>
        <v/>
      </c>
      <c r="AB115" s="35">
        <f>Z115+AA115</f>
        <v/>
      </c>
      <c r="AC115" s="35">
        <f>AH114</f>
        <v/>
      </c>
      <c r="AD115" s="35">
        <f>AC115*(1+'Parámetros Proyección'!$E$15)</f>
        <v/>
      </c>
      <c r="AE115" s="35">
        <f>AD115*'Parámetros Proyección'!$F$15</f>
        <v/>
      </c>
      <c r="AF115" s="35">
        <f>AD115+AE115</f>
        <v/>
      </c>
      <c r="AG115" s="35">
        <f>IF((AF115/AI115&gt;'Parámetros Proyección'!$G$15),0,D115*'Parámetros Proyección'!$G$15/(IF((H115/AI115&gt;'Parámetros Proyección'!$G$11),0,'Parámetros Proyección'!$G$11)+IF((N115/AI115&gt;'Parámetros Proyección'!$G$12),0,'Parámetros Proyección'!$G$12)+IF((T115/AI115&gt;'Parámetros Proyección'!$G$13),0,'Parámetros Proyección'!$G$13)+IF((Z115/AI115&gt;'Parámetros Proyección'!$G$14),0,'Parámetros Proyección'!$G$14)+IF((AF115/AI115&gt;'Parámetros Proyección'!$G$15),0,'Parámetros Proyección'!$G$15)))</f>
        <v/>
      </c>
      <c r="AH115" s="35">
        <f>AF115+AG115</f>
        <v/>
      </c>
      <c r="AI115" s="35">
        <f>H115+N115+T115+Z115+AF115</f>
        <v/>
      </c>
      <c r="AJ115" s="33">
        <f>AF115/AI115</f>
        <v/>
      </c>
      <c r="AK115">
        <f>IF(AJ115&gt;'Parámetros Proyección'!$B$5,1,0)</f>
        <v/>
      </c>
      <c r="AL115" s="35">
        <f>G115+M115+S115+Y115+AE115</f>
        <v/>
      </c>
      <c r="AM115" s="35">
        <f>AM114+D115</f>
        <v/>
      </c>
      <c r="AN115" s="35">
        <f>AN114+AL115</f>
        <v/>
      </c>
      <c r="AO115" s="35">
        <f>J115+P115+V115+AB115+AH115</f>
        <v/>
      </c>
    </row>
    <row r="116">
      <c r="A116" t="n">
        <v>113</v>
      </c>
      <c r="B116" s="34">
        <f>EDATE(B115,1)</f>
        <v/>
      </c>
      <c r="C116">
        <f>YEAR(B116)</f>
        <v/>
      </c>
      <c r="D116" s="35">
        <f>'Parámetros Proyección'!$B$3*(1+'Parámetros Proyección'!$B$4)^(C116-YEAR('Parámetros Proyección'!$B$6))</f>
        <v/>
      </c>
      <c r="E116" s="35">
        <f>J115</f>
        <v/>
      </c>
      <c r="F116" s="35">
        <f>E116*(1+'Parámetros Proyección'!$E$11)</f>
        <v/>
      </c>
      <c r="G116" s="35">
        <f>F116*'Parámetros Proyección'!$F$11</f>
        <v/>
      </c>
      <c r="H116" s="35">
        <f>F116+G116</f>
        <v/>
      </c>
      <c r="I116" s="35">
        <f>IF((H116/AI116&gt;'Parámetros Proyección'!$G$11),0,D116*'Parámetros Proyección'!$G$11/(IF((H116/AI116&gt;'Parámetros Proyección'!$G$11),0,'Parámetros Proyección'!$G$11)+IF((N116/AI116&gt;'Parámetros Proyección'!$G$12),0,'Parámetros Proyección'!$G$12)+IF((T116/AI116&gt;'Parámetros Proyección'!$G$13),0,'Parámetros Proyección'!$G$13)+IF((Z116/AI116&gt;'Parámetros Proyección'!$G$14),0,'Parámetros Proyección'!$G$14)+IF((AF116/AI116&gt;'Parámetros Proyección'!$G$15),0,'Parámetros Proyección'!$G$15)))</f>
        <v/>
      </c>
      <c r="J116" s="35">
        <f>H116+I116</f>
        <v/>
      </c>
      <c r="K116" s="35">
        <f>P115</f>
        <v/>
      </c>
      <c r="L116" s="35">
        <f>K116*(1+'Parámetros Proyección'!$E$12)</f>
        <v/>
      </c>
      <c r="M116" s="35">
        <f>L116*'Parámetros Proyección'!$F$12</f>
        <v/>
      </c>
      <c r="N116" s="35">
        <f>L116+M116</f>
        <v/>
      </c>
      <c r="O116" s="35">
        <f>IF((N116/AI116&gt;'Parámetros Proyección'!$G$12),0,D116*'Parámetros Proyección'!$G$12/(IF((H116/AI116&gt;'Parámetros Proyección'!$G$11),0,'Parámetros Proyección'!$G$11)+IF((N116/AI116&gt;'Parámetros Proyección'!$G$12),0,'Parámetros Proyección'!$G$12)+IF((T116/AI116&gt;'Parámetros Proyección'!$G$13),0,'Parámetros Proyección'!$G$13)+IF((Z116/AI116&gt;'Parámetros Proyección'!$G$14),0,'Parámetros Proyección'!$G$14)+IF((AF116/AI116&gt;'Parámetros Proyección'!$G$15),0,'Parámetros Proyección'!$G$15)))</f>
        <v/>
      </c>
      <c r="P116" s="35">
        <f>N116+O116</f>
        <v/>
      </c>
      <c r="Q116" s="35">
        <f>V115</f>
        <v/>
      </c>
      <c r="R116" s="35">
        <f>Q116*(1+'Parámetros Proyección'!$E$13)</f>
        <v/>
      </c>
      <c r="S116" s="35">
        <f>R116*'Parámetros Proyección'!$F$13</f>
        <v/>
      </c>
      <c r="T116" s="35">
        <f>R116+S116</f>
        <v/>
      </c>
      <c r="U116" s="35">
        <f>IF((T116/AI116&gt;'Parámetros Proyección'!$G$13),0,D116*'Parámetros Proyección'!$G$13/(IF((H116/AI116&gt;'Parámetros Proyección'!$G$11),0,'Parámetros Proyección'!$G$11)+IF((N116/AI116&gt;'Parámetros Proyección'!$G$12),0,'Parámetros Proyección'!$G$12)+IF((T116/AI116&gt;'Parámetros Proyección'!$G$13),0,'Parámetros Proyección'!$G$13)+IF((Z116/AI116&gt;'Parámetros Proyección'!$G$14),0,'Parámetros Proyección'!$G$14)+IF((AF116/AI116&gt;'Parámetros Proyección'!$G$15),0,'Parámetros Proyección'!$G$15)))</f>
        <v/>
      </c>
      <c r="V116" s="35">
        <f>T116+U116</f>
        <v/>
      </c>
      <c r="W116" s="35">
        <f>AB115</f>
        <v/>
      </c>
      <c r="X116" s="35">
        <f>W116*(1+'Parámetros Proyección'!$E$14)</f>
        <v/>
      </c>
      <c r="Y116" s="35">
        <f>X116*'Parámetros Proyección'!$F$14</f>
        <v/>
      </c>
      <c r="Z116" s="35">
        <f>X116+Y116</f>
        <v/>
      </c>
      <c r="AA116" s="35">
        <f>IF((Z116/AI116&gt;'Parámetros Proyección'!$G$14),0,D116*'Parámetros Proyección'!$G$14/(IF((H116/AI116&gt;'Parámetros Proyección'!$G$11),0,'Parámetros Proyección'!$G$11)+IF((N116/AI116&gt;'Parámetros Proyección'!$G$12),0,'Parámetros Proyección'!$G$12)+IF((T116/AI116&gt;'Parámetros Proyección'!$G$13),0,'Parámetros Proyección'!$G$13)+IF((Z116/AI116&gt;'Parámetros Proyección'!$G$14),0,'Parámetros Proyección'!$G$14)+IF((AF116/AI116&gt;'Parámetros Proyección'!$G$15),0,'Parámetros Proyección'!$G$15)))</f>
        <v/>
      </c>
      <c r="AB116" s="35">
        <f>Z116+AA116</f>
        <v/>
      </c>
      <c r="AC116" s="35">
        <f>AH115</f>
        <v/>
      </c>
      <c r="AD116" s="35">
        <f>AC116*(1+'Parámetros Proyección'!$E$15)</f>
        <v/>
      </c>
      <c r="AE116" s="35">
        <f>AD116*'Parámetros Proyección'!$F$15</f>
        <v/>
      </c>
      <c r="AF116" s="35">
        <f>AD116+AE116</f>
        <v/>
      </c>
      <c r="AG116" s="35">
        <f>IF((AF116/AI116&gt;'Parámetros Proyección'!$G$15),0,D116*'Parámetros Proyección'!$G$15/(IF((H116/AI116&gt;'Parámetros Proyección'!$G$11),0,'Parámetros Proyección'!$G$11)+IF((N116/AI116&gt;'Parámetros Proyección'!$G$12),0,'Parámetros Proyección'!$G$12)+IF((T116/AI116&gt;'Parámetros Proyección'!$G$13),0,'Parámetros Proyección'!$G$13)+IF((Z116/AI116&gt;'Parámetros Proyección'!$G$14),0,'Parámetros Proyección'!$G$14)+IF((AF116/AI116&gt;'Parámetros Proyección'!$G$15),0,'Parámetros Proyección'!$G$15)))</f>
        <v/>
      </c>
      <c r="AH116" s="35">
        <f>AF116+AG116</f>
        <v/>
      </c>
      <c r="AI116" s="35">
        <f>H116+N116+T116+Z116+AF116</f>
        <v/>
      </c>
      <c r="AJ116" s="33">
        <f>AF116/AI116</f>
        <v/>
      </c>
      <c r="AK116">
        <f>IF(AJ116&gt;'Parámetros Proyección'!$B$5,1,0)</f>
        <v/>
      </c>
      <c r="AL116" s="35">
        <f>G116+M116+S116+Y116+AE116</f>
        <v/>
      </c>
      <c r="AM116" s="35">
        <f>AM115+D116</f>
        <v/>
      </c>
      <c r="AN116" s="35">
        <f>AN115+AL116</f>
        <v/>
      </c>
      <c r="AO116" s="35">
        <f>J116+P116+V116+AB116+AH116</f>
        <v/>
      </c>
    </row>
    <row r="117">
      <c r="A117" t="n">
        <v>114</v>
      </c>
      <c r="B117" s="34">
        <f>EDATE(B116,1)</f>
        <v/>
      </c>
      <c r="C117">
        <f>YEAR(B117)</f>
        <v/>
      </c>
      <c r="D117" s="35">
        <f>'Parámetros Proyección'!$B$3*(1+'Parámetros Proyección'!$B$4)^(C117-YEAR('Parámetros Proyección'!$B$6))</f>
        <v/>
      </c>
      <c r="E117" s="35">
        <f>J116</f>
        <v/>
      </c>
      <c r="F117" s="35">
        <f>E117*(1+'Parámetros Proyección'!$E$11)</f>
        <v/>
      </c>
      <c r="G117" s="35">
        <f>F117*'Parámetros Proyección'!$F$11</f>
        <v/>
      </c>
      <c r="H117" s="35">
        <f>F117+G117</f>
        <v/>
      </c>
      <c r="I117" s="35">
        <f>IF((H117/AI117&gt;'Parámetros Proyección'!$G$11),0,D117*'Parámetros Proyección'!$G$11/(IF((H117/AI117&gt;'Parámetros Proyección'!$G$11),0,'Parámetros Proyección'!$G$11)+IF((N117/AI117&gt;'Parámetros Proyección'!$G$12),0,'Parámetros Proyección'!$G$12)+IF((T117/AI117&gt;'Parámetros Proyección'!$G$13),0,'Parámetros Proyección'!$G$13)+IF((Z117/AI117&gt;'Parámetros Proyección'!$G$14),0,'Parámetros Proyección'!$G$14)+IF((AF117/AI117&gt;'Parámetros Proyección'!$G$15),0,'Parámetros Proyección'!$G$15)))</f>
        <v/>
      </c>
      <c r="J117" s="35">
        <f>H117+I117</f>
        <v/>
      </c>
      <c r="K117" s="35">
        <f>P116</f>
        <v/>
      </c>
      <c r="L117" s="35">
        <f>K117*(1+'Parámetros Proyección'!$E$12)</f>
        <v/>
      </c>
      <c r="M117" s="35">
        <f>L117*'Parámetros Proyección'!$F$12</f>
        <v/>
      </c>
      <c r="N117" s="35">
        <f>L117+M117</f>
        <v/>
      </c>
      <c r="O117" s="35">
        <f>IF((N117/AI117&gt;'Parámetros Proyección'!$G$12),0,D117*'Parámetros Proyección'!$G$12/(IF((H117/AI117&gt;'Parámetros Proyección'!$G$11),0,'Parámetros Proyección'!$G$11)+IF((N117/AI117&gt;'Parámetros Proyección'!$G$12),0,'Parámetros Proyección'!$G$12)+IF((T117/AI117&gt;'Parámetros Proyección'!$G$13),0,'Parámetros Proyección'!$G$13)+IF((Z117/AI117&gt;'Parámetros Proyección'!$G$14),0,'Parámetros Proyección'!$G$14)+IF((AF117/AI117&gt;'Parámetros Proyección'!$G$15),0,'Parámetros Proyección'!$G$15)))</f>
        <v/>
      </c>
      <c r="P117" s="35">
        <f>N117+O117</f>
        <v/>
      </c>
      <c r="Q117" s="35">
        <f>V116</f>
        <v/>
      </c>
      <c r="R117" s="35">
        <f>Q117*(1+'Parámetros Proyección'!$E$13)</f>
        <v/>
      </c>
      <c r="S117" s="35">
        <f>R117*'Parámetros Proyección'!$F$13</f>
        <v/>
      </c>
      <c r="T117" s="35">
        <f>R117+S117</f>
        <v/>
      </c>
      <c r="U117" s="35">
        <f>IF((T117/AI117&gt;'Parámetros Proyección'!$G$13),0,D117*'Parámetros Proyección'!$G$13/(IF((H117/AI117&gt;'Parámetros Proyección'!$G$11),0,'Parámetros Proyección'!$G$11)+IF((N117/AI117&gt;'Parámetros Proyección'!$G$12),0,'Parámetros Proyección'!$G$12)+IF((T117/AI117&gt;'Parámetros Proyección'!$G$13),0,'Parámetros Proyección'!$G$13)+IF((Z117/AI117&gt;'Parámetros Proyección'!$G$14),0,'Parámetros Proyección'!$G$14)+IF((AF117/AI117&gt;'Parámetros Proyección'!$G$15),0,'Parámetros Proyección'!$G$15)))</f>
        <v/>
      </c>
      <c r="V117" s="35">
        <f>T117+U117</f>
        <v/>
      </c>
      <c r="W117" s="35">
        <f>AB116</f>
        <v/>
      </c>
      <c r="X117" s="35">
        <f>W117*(1+'Parámetros Proyección'!$E$14)</f>
        <v/>
      </c>
      <c r="Y117" s="35">
        <f>X117*'Parámetros Proyección'!$F$14</f>
        <v/>
      </c>
      <c r="Z117" s="35">
        <f>X117+Y117</f>
        <v/>
      </c>
      <c r="AA117" s="35">
        <f>IF((Z117/AI117&gt;'Parámetros Proyección'!$G$14),0,D117*'Parámetros Proyección'!$G$14/(IF((H117/AI117&gt;'Parámetros Proyección'!$G$11),0,'Parámetros Proyección'!$G$11)+IF((N117/AI117&gt;'Parámetros Proyección'!$G$12),0,'Parámetros Proyección'!$G$12)+IF((T117/AI117&gt;'Parámetros Proyección'!$G$13),0,'Parámetros Proyección'!$G$13)+IF((Z117/AI117&gt;'Parámetros Proyección'!$G$14),0,'Parámetros Proyección'!$G$14)+IF((AF117/AI117&gt;'Parámetros Proyección'!$G$15),0,'Parámetros Proyección'!$G$15)))</f>
        <v/>
      </c>
      <c r="AB117" s="35">
        <f>Z117+AA117</f>
        <v/>
      </c>
      <c r="AC117" s="35">
        <f>AH116</f>
        <v/>
      </c>
      <c r="AD117" s="35">
        <f>AC117*(1+'Parámetros Proyección'!$E$15)</f>
        <v/>
      </c>
      <c r="AE117" s="35">
        <f>AD117*'Parámetros Proyección'!$F$15</f>
        <v/>
      </c>
      <c r="AF117" s="35">
        <f>AD117+AE117</f>
        <v/>
      </c>
      <c r="AG117" s="35">
        <f>IF((AF117/AI117&gt;'Parámetros Proyección'!$G$15),0,D117*'Parámetros Proyección'!$G$15/(IF((H117/AI117&gt;'Parámetros Proyección'!$G$11),0,'Parámetros Proyección'!$G$11)+IF((N117/AI117&gt;'Parámetros Proyección'!$G$12),0,'Parámetros Proyección'!$G$12)+IF((T117/AI117&gt;'Parámetros Proyección'!$G$13),0,'Parámetros Proyección'!$G$13)+IF((Z117/AI117&gt;'Parámetros Proyección'!$G$14),0,'Parámetros Proyección'!$G$14)+IF((AF117/AI117&gt;'Parámetros Proyección'!$G$15),0,'Parámetros Proyección'!$G$15)))</f>
        <v/>
      </c>
      <c r="AH117" s="35">
        <f>AF117+AG117</f>
        <v/>
      </c>
      <c r="AI117" s="35">
        <f>H117+N117+T117+Z117+AF117</f>
        <v/>
      </c>
      <c r="AJ117" s="33">
        <f>AF117/AI117</f>
        <v/>
      </c>
      <c r="AK117">
        <f>IF(AJ117&gt;'Parámetros Proyección'!$B$5,1,0)</f>
        <v/>
      </c>
      <c r="AL117" s="35">
        <f>G117+M117+S117+Y117+AE117</f>
        <v/>
      </c>
      <c r="AM117" s="35">
        <f>AM116+D117</f>
        <v/>
      </c>
      <c r="AN117" s="35">
        <f>AN116+AL117</f>
        <v/>
      </c>
      <c r="AO117" s="35">
        <f>J117+P117+V117+AB117+AH117</f>
        <v/>
      </c>
    </row>
    <row r="118">
      <c r="A118" t="n">
        <v>115</v>
      </c>
      <c r="B118" s="34">
        <f>EDATE(B117,1)</f>
        <v/>
      </c>
      <c r="C118">
        <f>YEAR(B118)</f>
        <v/>
      </c>
      <c r="D118" s="35">
        <f>'Parámetros Proyección'!$B$3*(1+'Parámetros Proyección'!$B$4)^(C118-YEAR('Parámetros Proyección'!$B$6))</f>
        <v/>
      </c>
      <c r="E118" s="35">
        <f>J117</f>
        <v/>
      </c>
      <c r="F118" s="35">
        <f>E118*(1+'Parámetros Proyección'!$E$11)</f>
        <v/>
      </c>
      <c r="G118" s="35">
        <f>F118*'Parámetros Proyección'!$F$11</f>
        <v/>
      </c>
      <c r="H118" s="35">
        <f>F118+G118</f>
        <v/>
      </c>
      <c r="I118" s="35">
        <f>IF((H118/AI118&gt;'Parámetros Proyección'!$G$11),0,D118*'Parámetros Proyección'!$G$11/(IF((H118/AI118&gt;'Parámetros Proyección'!$G$11),0,'Parámetros Proyección'!$G$11)+IF((N118/AI118&gt;'Parámetros Proyección'!$G$12),0,'Parámetros Proyección'!$G$12)+IF((T118/AI118&gt;'Parámetros Proyección'!$G$13),0,'Parámetros Proyección'!$G$13)+IF((Z118/AI118&gt;'Parámetros Proyección'!$G$14),0,'Parámetros Proyección'!$G$14)+IF((AF118/AI118&gt;'Parámetros Proyección'!$G$15),0,'Parámetros Proyección'!$G$15)))</f>
        <v/>
      </c>
      <c r="J118" s="35">
        <f>H118+I118</f>
        <v/>
      </c>
      <c r="K118" s="35">
        <f>P117</f>
        <v/>
      </c>
      <c r="L118" s="35">
        <f>K118*(1+'Parámetros Proyección'!$E$12)</f>
        <v/>
      </c>
      <c r="M118" s="35">
        <f>L118*'Parámetros Proyección'!$F$12</f>
        <v/>
      </c>
      <c r="N118" s="35">
        <f>L118+M118</f>
        <v/>
      </c>
      <c r="O118" s="35">
        <f>IF((N118/AI118&gt;'Parámetros Proyección'!$G$12),0,D118*'Parámetros Proyección'!$G$12/(IF((H118/AI118&gt;'Parámetros Proyección'!$G$11),0,'Parámetros Proyección'!$G$11)+IF((N118/AI118&gt;'Parámetros Proyección'!$G$12),0,'Parámetros Proyección'!$G$12)+IF((T118/AI118&gt;'Parámetros Proyección'!$G$13),0,'Parámetros Proyección'!$G$13)+IF((Z118/AI118&gt;'Parámetros Proyección'!$G$14),0,'Parámetros Proyección'!$G$14)+IF((AF118/AI118&gt;'Parámetros Proyección'!$G$15),0,'Parámetros Proyección'!$G$15)))</f>
        <v/>
      </c>
      <c r="P118" s="35">
        <f>N118+O118</f>
        <v/>
      </c>
      <c r="Q118" s="35">
        <f>V117</f>
        <v/>
      </c>
      <c r="R118" s="35">
        <f>Q118*(1+'Parámetros Proyección'!$E$13)</f>
        <v/>
      </c>
      <c r="S118" s="35">
        <f>R118*'Parámetros Proyección'!$F$13</f>
        <v/>
      </c>
      <c r="T118" s="35">
        <f>R118+S118</f>
        <v/>
      </c>
      <c r="U118" s="35">
        <f>IF((T118/AI118&gt;'Parámetros Proyección'!$G$13),0,D118*'Parámetros Proyección'!$G$13/(IF((H118/AI118&gt;'Parámetros Proyección'!$G$11),0,'Parámetros Proyección'!$G$11)+IF((N118/AI118&gt;'Parámetros Proyección'!$G$12),0,'Parámetros Proyección'!$G$12)+IF((T118/AI118&gt;'Parámetros Proyección'!$G$13),0,'Parámetros Proyección'!$G$13)+IF((Z118/AI118&gt;'Parámetros Proyección'!$G$14),0,'Parámetros Proyección'!$G$14)+IF((AF118/AI118&gt;'Parámetros Proyección'!$G$15),0,'Parámetros Proyección'!$G$15)))</f>
        <v/>
      </c>
      <c r="V118" s="35">
        <f>T118+U118</f>
        <v/>
      </c>
      <c r="W118" s="35">
        <f>AB117</f>
        <v/>
      </c>
      <c r="X118" s="35">
        <f>W118*(1+'Parámetros Proyección'!$E$14)</f>
        <v/>
      </c>
      <c r="Y118" s="35">
        <f>X118*'Parámetros Proyección'!$F$14</f>
        <v/>
      </c>
      <c r="Z118" s="35">
        <f>X118+Y118</f>
        <v/>
      </c>
      <c r="AA118" s="35">
        <f>IF((Z118/AI118&gt;'Parámetros Proyección'!$G$14),0,D118*'Parámetros Proyección'!$G$14/(IF((H118/AI118&gt;'Parámetros Proyección'!$G$11),0,'Parámetros Proyección'!$G$11)+IF((N118/AI118&gt;'Parámetros Proyección'!$G$12),0,'Parámetros Proyección'!$G$12)+IF((T118/AI118&gt;'Parámetros Proyección'!$G$13),0,'Parámetros Proyección'!$G$13)+IF((Z118/AI118&gt;'Parámetros Proyección'!$G$14),0,'Parámetros Proyección'!$G$14)+IF((AF118/AI118&gt;'Parámetros Proyección'!$G$15),0,'Parámetros Proyección'!$G$15)))</f>
        <v/>
      </c>
      <c r="AB118" s="35">
        <f>Z118+AA118</f>
        <v/>
      </c>
      <c r="AC118" s="35">
        <f>AH117</f>
        <v/>
      </c>
      <c r="AD118" s="35">
        <f>AC118*(1+'Parámetros Proyección'!$E$15)</f>
        <v/>
      </c>
      <c r="AE118" s="35">
        <f>AD118*'Parámetros Proyección'!$F$15</f>
        <v/>
      </c>
      <c r="AF118" s="35">
        <f>AD118+AE118</f>
        <v/>
      </c>
      <c r="AG118" s="35">
        <f>IF((AF118/AI118&gt;'Parámetros Proyección'!$G$15),0,D118*'Parámetros Proyección'!$G$15/(IF((H118/AI118&gt;'Parámetros Proyección'!$G$11),0,'Parámetros Proyección'!$G$11)+IF((N118/AI118&gt;'Parámetros Proyección'!$G$12),0,'Parámetros Proyección'!$G$12)+IF((T118/AI118&gt;'Parámetros Proyección'!$G$13),0,'Parámetros Proyección'!$G$13)+IF((Z118/AI118&gt;'Parámetros Proyección'!$G$14),0,'Parámetros Proyección'!$G$14)+IF((AF118/AI118&gt;'Parámetros Proyección'!$G$15),0,'Parámetros Proyección'!$G$15)))</f>
        <v/>
      </c>
      <c r="AH118" s="35">
        <f>AF118+AG118</f>
        <v/>
      </c>
      <c r="AI118" s="35">
        <f>H118+N118+T118+Z118+AF118</f>
        <v/>
      </c>
      <c r="AJ118" s="33">
        <f>AF118/AI118</f>
        <v/>
      </c>
      <c r="AK118">
        <f>IF(AJ118&gt;'Parámetros Proyección'!$B$5,1,0)</f>
        <v/>
      </c>
      <c r="AL118" s="35">
        <f>G118+M118+S118+Y118+AE118</f>
        <v/>
      </c>
      <c r="AM118" s="35">
        <f>AM117+D118</f>
        <v/>
      </c>
      <c r="AN118" s="35">
        <f>AN117+AL118</f>
        <v/>
      </c>
      <c r="AO118" s="35">
        <f>J118+P118+V118+AB118+AH118</f>
        <v/>
      </c>
    </row>
    <row r="119">
      <c r="A119" t="n">
        <v>116</v>
      </c>
      <c r="B119" s="34">
        <f>EDATE(B118,1)</f>
        <v/>
      </c>
      <c r="C119">
        <f>YEAR(B119)</f>
        <v/>
      </c>
      <c r="D119" s="35">
        <f>'Parámetros Proyección'!$B$3*(1+'Parámetros Proyección'!$B$4)^(C119-YEAR('Parámetros Proyección'!$B$6))</f>
        <v/>
      </c>
      <c r="E119" s="35">
        <f>J118</f>
        <v/>
      </c>
      <c r="F119" s="35">
        <f>E119*(1+'Parámetros Proyección'!$E$11)</f>
        <v/>
      </c>
      <c r="G119" s="35">
        <f>F119*'Parámetros Proyección'!$F$11</f>
        <v/>
      </c>
      <c r="H119" s="35">
        <f>F119+G119</f>
        <v/>
      </c>
      <c r="I119" s="35">
        <f>IF((H119/AI119&gt;'Parámetros Proyección'!$G$11),0,D119*'Parámetros Proyección'!$G$11/(IF((H119/AI119&gt;'Parámetros Proyección'!$G$11),0,'Parámetros Proyección'!$G$11)+IF((N119/AI119&gt;'Parámetros Proyección'!$G$12),0,'Parámetros Proyección'!$G$12)+IF((T119/AI119&gt;'Parámetros Proyección'!$G$13),0,'Parámetros Proyección'!$G$13)+IF((Z119/AI119&gt;'Parámetros Proyección'!$G$14),0,'Parámetros Proyección'!$G$14)+IF((AF119/AI119&gt;'Parámetros Proyección'!$G$15),0,'Parámetros Proyección'!$G$15)))</f>
        <v/>
      </c>
      <c r="J119" s="35">
        <f>H119+I119</f>
        <v/>
      </c>
      <c r="K119" s="35">
        <f>P118</f>
        <v/>
      </c>
      <c r="L119" s="35">
        <f>K119*(1+'Parámetros Proyección'!$E$12)</f>
        <v/>
      </c>
      <c r="M119" s="35">
        <f>L119*'Parámetros Proyección'!$F$12</f>
        <v/>
      </c>
      <c r="N119" s="35">
        <f>L119+M119</f>
        <v/>
      </c>
      <c r="O119" s="35">
        <f>IF((N119/AI119&gt;'Parámetros Proyección'!$G$12),0,D119*'Parámetros Proyección'!$G$12/(IF((H119/AI119&gt;'Parámetros Proyección'!$G$11),0,'Parámetros Proyección'!$G$11)+IF((N119/AI119&gt;'Parámetros Proyección'!$G$12),0,'Parámetros Proyección'!$G$12)+IF((T119/AI119&gt;'Parámetros Proyección'!$G$13),0,'Parámetros Proyección'!$G$13)+IF((Z119/AI119&gt;'Parámetros Proyección'!$G$14),0,'Parámetros Proyección'!$G$14)+IF((AF119/AI119&gt;'Parámetros Proyección'!$G$15),0,'Parámetros Proyección'!$G$15)))</f>
        <v/>
      </c>
      <c r="P119" s="35">
        <f>N119+O119</f>
        <v/>
      </c>
      <c r="Q119" s="35">
        <f>V118</f>
        <v/>
      </c>
      <c r="R119" s="35">
        <f>Q119*(1+'Parámetros Proyección'!$E$13)</f>
        <v/>
      </c>
      <c r="S119" s="35">
        <f>R119*'Parámetros Proyección'!$F$13</f>
        <v/>
      </c>
      <c r="T119" s="35">
        <f>R119+S119</f>
        <v/>
      </c>
      <c r="U119" s="35">
        <f>IF((T119/AI119&gt;'Parámetros Proyección'!$G$13),0,D119*'Parámetros Proyección'!$G$13/(IF((H119/AI119&gt;'Parámetros Proyección'!$G$11),0,'Parámetros Proyección'!$G$11)+IF((N119/AI119&gt;'Parámetros Proyección'!$G$12),0,'Parámetros Proyección'!$G$12)+IF((T119/AI119&gt;'Parámetros Proyección'!$G$13),0,'Parámetros Proyección'!$G$13)+IF((Z119/AI119&gt;'Parámetros Proyección'!$G$14),0,'Parámetros Proyección'!$G$14)+IF((AF119/AI119&gt;'Parámetros Proyección'!$G$15),0,'Parámetros Proyección'!$G$15)))</f>
        <v/>
      </c>
      <c r="V119" s="35">
        <f>T119+U119</f>
        <v/>
      </c>
      <c r="W119" s="35">
        <f>AB118</f>
        <v/>
      </c>
      <c r="X119" s="35">
        <f>W119*(1+'Parámetros Proyección'!$E$14)</f>
        <v/>
      </c>
      <c r="Y119" s="35">
        <f>X119*'Parámetros Proyección'!$F$14</f>
        <v/>
      </c>
      <c r="Z119" s="35">
        <f>X119+Y119</f>
        <v/>
      </c>
      <c r="AA119" s="35">
        <f>IF((Z119/AI119&gt;'Parámetros Proyección'!$G$14),0,D119*'Parámetros Proyección'!$G$14/(IF((H119/AI119&gt;'Parámetros Proyección'!$G$11),0,'Parámetros Proyección'!$G$11)+IF((N119/AI119&gt;'Parámetros Proyección'!$G$12),0,'Parámetros Proyección'!$G$12)+IF((T119/AI119&gt;'Parámetros Proyección'!$G$13),0,'Parámetros Proyección'!$G$13)+IF((Z119/AI119&gt;'Parámetros Proyección'!$G$14),0,'Parámetros Proyección'!$G$14)+IF((AF119/AI119&gt;'Parámetros Proyección'!$G$15),0,'Parámetros Proyección'!$G$15)))</f>
        <v/>
      </c>
      <c r="AB119" s="35">
        <f>Z119+AA119</f>
        <v/>
      </c>
      <c r="AC119" s="35">
        <f>AH118</f>
        <v/>
      </c>
      <c r="AD119" s="35">
        <f>AC119*(1+'Parámetros Proyección'!$E$15)</f>
        <v/>
      </c>
      <c r="AE119" s="35">
        <f>AD119*'Parámetros Proyección'!$F$15</f>
        <v/>
      </c>
      <c r="AF119" s="35">
        <f>AD119+AE119</f>
        <v/>
      </c>
      <c r="AG119" s="35">
        <f>IF((AF119/AI119&gt;'Parámetros Proyección'!$G$15),0,D119*'Parámetros Proyección'!$G$15/(IF((H119/AI119&gt;'Parámetros Proyección'!$G$11),0,'Parámetros Proyección'!$G$11)+IF((N119/AI119&gt;'Parámetros Proyección'!$G$12),0,'Parámetros Proyección'!$G$12)+IF((T119/AI119&gt;'Parámetros Proyección'!$G$13),0,'Parámetros Proyección'!$G$13)+IF((Z119/AI119&gt;'Parámetros Proyección'!$G$14),0,'Parámetros Proyección'!$G$14)+IF((AF119/AI119&gt;'Parámetros Proyección'!$G$15),0,'Parámetros Proyección'!$G$15)))</f>
        <v/>
      </c>
      <c r="AH119" s="35">
        <f>AF119+AG119</f>
        <v/>
      </c>
      <c r="AI119" s="35">
        <f>H119+N119+T119+Z119+AF119</f>
        <v/>
      </c>
      <c r="AJ119" s="33">
        <f>AF119/AI119</f>
        <v/>
      </c>
      <c r="AK119">
        <f>IF(AJ119&gt;'Parámetros Proyección'!$B$5,1,0)</f>
        <v/>
      </c>
      <c r="AL119" s="35">
        <f>G119+M119+S119+Y119+AE119</f>
        <v/>
      </c>
      <c r="AM119" s="35">
        <f>AM118+D119</f>
        <v/>
      </c>
      <c r="AN119" s="35">
        <f>AN118+AL119</f>
        <v/>
      </c>
      <c r="AO119" s="35">
        <f>J119+P119+V119+AB119+AH119</f>
        <v/>
      </c>
    </row>
    <row r="120">
      <c r="A120" t="n">
        <v>117</v>
      </c>
      <c r="B120" s="34">
        <f>EDATE(B119,1)</f>
        <v/>
      </c>
      <c r="C120">
        <f>YEAR(B120)</f>
        <v/>
      </c>
      <c r="D120" s="35">
        <f>'Parámetros Proyección'!$B$3*(1+'Parámetros Proyección'!$B$4)^(C120-YEAR('Parámetros Proyección'!$B$6))</f>
        <v/>
      </c>
      <c r="E120" s="35">
        <f>J119</f>
        <v/>
      </c>
      <c r="F120" s="35">
        <f>E120*(1+'Parámetros Proyección'!$E$11)</f>
        <v/>
      </c>
      <c r="G120" s="35">
        <f>F120*'Parámetros Proyección'!$F$11</f>
        <v/>
      </c>
      <c r="H120" s="35">
        <f>F120+G120</f>
        <v/>
      </c>
      <c r="I120" s="35">
        <f>IF((H120/AI120&gt;'Parámetros Proyección'!$G$11),0,D120*'Parámetros Proyección'!$G$11/(IF((H120/AI120&gt;'Parámetros Proyección'!$G$11),0,'Parámetros Proyección'!$G$11)+IF((N120/AI120&gt;'Parámetros Proyección'!$G$12),0,'Parámetros Proyección'!$G$12)+IF((T120/AI120&gt;'Parámetros Proyección'!$G$13),0,'Parámetros Proyección'!$G$13)+IF((Z120/AI120&gt;'Parámetros Proyección'!$G$14),0,'Parámetros Proyección'!$G$14)+IF((AF120/AI120&gt;'Parámetros Proyección'!$G$15),0,'Parámetros Proyección'!$G$15)))</f>
        <v/>
      </c>
      <c r="J120" s="35">
        <f>H120+I120</f>
        <v/>
      </c>
      <c r="K120" s="35">
        <f>P119</f>
        <v/>
      </c>
      <c r="L120" s="35">
        <f>K120*(1+'Parámetros Proyección'!$E$12)</f>
        <v/>
      </c>
      <c r="M120" s="35">
        <f>L120*'Parámetros Proyección'!$F$12</f>
        <v/>
      </c>
      <c r="N120" s="35">
        <f>L120+M120</f>
        <v/>
      </c>
      <c r="O120" s="35">
        <f>IF((N120/AI120&gt;'Parámetros Proyección'!$G$12),0,D120*'Parámetros Proyección'!$G$12/(IF((H120/AI120&gt;'Parámetros Proyección'!$G$11),0,'Parámetros Proyección'!$G$11)+IF((N120/AI120&gt;'Parámetros Proyección'!$G$12),0,'Parámetros Proyección'!$G$12)+IF((T120/AI120&gt;'Parámetros Proyección'!$G$13),0,'Parámetros Proyección'!$G$13)+IF((Z120/AI120&gt;'Parámetros Proyección'!$G$14),0,'Parámetros Proyección'!$G$14)+IF((AF120/AI120&gt;'Parámetros Proyección'!$G$15),0,'Parámetros Proyección'!$G$15)))</f>
        <v/>
      </c>
      <c r="P120" s="35">
        <f>N120+O120</f>
        <v/>
      </c>
      <c r="Q120" s="35">
        <f>V119</f>
        <v/>
      </c>
      <c r="R120" s="35">
        <f>Q120*(1+'Parámetros Proyección'!$E$13)</f>
        <v/>
      </c>
      <c r="S120" s="35">
        <f>R120*'Parámetros Proyección'!$F$13</f>
        <v/>
      </c>
      <c r="T120" s="35">
        <f>R120+S120</f>
        <v/>
      </c>
      <c r="U120" s="35">
        <f>IF((T120/AI120&gt;'Parámetros Proyección'!$G$13),0,D120*'Parámetros Proyección'!$G$13/(IF((H120/AI120&gt;'Parámetros Proyección'!$G$11),0,'Parámetros Proyección'!$G$11)+IF((N120/AI120&gt;'Parámetros Proyección'!$G$12),0,'Parámetros Proyección'!$G$12)+IF((T120/AI120&gt;'Parámetros Proyección'!$G$13),0,'Parámetros Proyección'!$G$13)+IF((Z120/AI120&gt;'Parámetros Proyección'!$G$14),0,'Parámetros Proyección'!$G$14)+IF((AF120/AI120&gt;'Parámetros Proyección'!$G$15),0,'Parámetros Proyección'!$G$15)))</f>
        <v/>
      </c>
      <c r="V120" s="35">
        <f>T120+U120</f>
        <v/>
      </c>
      <c r="W120" s="35">
        <f>AB119</f>
        <v/>
      </c>
      <c r="X120" s="35">
        <f>W120*(1+'Parámetros Proyección'!$E$14)</f>
        <v/>
      </c>
      <c r="Y120" s="35">
        <f>X120*'Parámetros Proyección'!$F$14</f>
        <v/>
      </c>
      <c r="Z120" s="35">
        <f>X120+Y120</f>
        <v/>
      </c>
      <c r="AA120" s="35">
        <f>IF((Z120/AI120&gt;'Parámetros Proyección'!$G$14),0,D120*'Parámetros Proyección'!$G$14/(IF((H120/AI120&gt;'Parámetros Proyección'!$G$11),0,'Parámetros Proyección'!$G$11)+IF((N120/AI120&gt;'Parámetros Proyección'!$G$12),0,'Parámetros Proyección'!$G$12)+IF((T120/AI120&gt;'Parámetros Proyección'!$G$13),0,'Parámetros Proyección'!$G$13)+IF((Z120/AI120&gt;'Parámetros Proyección'!$G$14),0,'Parámetros Proyección'!$G$14)+IF((AF120/AI120&gt;'Parámetros Proyección'!$G$15),0,'Parámetros Proyección'!$G$15)))</f>
        <v/>
      </c>
      <c r="AB120" s="35">
        <f>Z120+AA120</f>
        <v/>
      </c>
      <c r="AC120" s="35">
        <f>AH119</f>
        <v/>
      </c>
      <c r="AD120" s="35">
        <f>AC120*(1+'Parámetros Proyección'!$E$15)</f>
        <v/>
      </c>
      <c r="AE120" s="35">
        <f>AD120*'Parámetros Proyección'!$F$15</f>
        <v/>
      </c>
      <c r="AF120" s="35">
        <f>AD120+AE120</f>
        <v/>
      </c>
      <c r="AG120" s="35">
        <f>IF((AF120/AI120&gt;'Parámetros Proyección'!$G$15),0,D120*'Parámetros Proyección'!$G$15/(IF((H120/AI120&gt;'Parámetros Proyección'!$G$11),0,'Parámetros Proyección'!$G$11)+IF((N120/AI120&gt;'Parámetros Proyección'!$G$12),0,'Parámetros Proyección'!$G$12)+IF((T120/AI120&gt;'Parámetros Proyección'!$G$13),0,'Parámetros Proyección'!$G$13)+IF((Z120/AI120&gt;'Parámetros Proyección'!$G$14),0,'Parámetros Proyección'!$G$14)+IF((AF120/AI120&gt;'Parámetros Proyección'!$G$15),0,'Parámetros Proyección'!$G$15)))</f>
        <v/>
      </c>
      <c r="AH120" s="35">
        <f>AF120+AG120</f>
        <v/>
      </c>
      <c r="AI120" s="35">
        <f>H120+N120+T120+Z120+AF120</f>
        <v/>
      </c>
      <c r="AJ120" s="33">
        <f>AF120/AI120</f>
        <v/>
      </c>
      <c r="AK120">
        <f>IF(AJ120&gt;'Parámetros Proyección'!$B$5,1,0)</f>
        <v/>
      </c>
      <c r="AL120" s="35">
        <f>G120+M120+S120+Y120+AE120</f>
        <v/>
      </c>
      <c r="AM120" s="35">
        <f>AM119+D120</f>
        <v/>
      </c>
      <c r="AN120" s="35">
        <f>AN119+AL120</f>
        <v/>
      </c>
      <c r="AO120" s="35">
        <f>J120+P120+V120+AB120+AH120</f>
        <v/>
      </c>
    </row>
    <row r="121">
      <c r="A121" t="n">
        <v>118</v>
      </c>
      <c r="B121" s="34">
        <f>EDATE(B120,1)</f>
        <v/>
      </c>
      <c r="C121">
        <f>YEAR(B121)</f>
        <v/>
      </c>
      <c r="D121" s="35">
        <f>'Parámetros Proyección'!$B$3*(1+'Parámetros Proyección'!$B$4)^(C121-YEAR('Parámetros Proyección'!$B$6))</f>
        <v/>
      </c>
      <c r="E121" s="35">
        <f>J120</f>
        <v/>
      </c>
      <c r="F121" s="35">
        <f>E121*(1+'Parámetros Proyección'!$E$11)</f>
        <v/>
      </c>
      <c r="G121" s="35">
        <f>F121*'Parámetros Proyección'!$F$11</f>
        <v/>
      </c>
      <c r="H121" s="35">
        <f>F121+G121</f>
        <v/>
      </c>
      <c r="I121" s="35">
        <f>IF((H121/AI121&gt;'Parámetros Proyección'!$G$11),0,D121*'Parámetros Proyección'!$G$11/(IF((H121/AI121&gt;'Parámetros Proyección'!$G$11),0,'Parámetros Proyección'!$G$11)+IF((N121/AI121&gt;'Parámetros Proyección'!$G$12),0,'Parámetros Proyección'!$G$12)+IF((T121/AI121&gt;'Parámetros Proyección'!$G$13),0,'Parámetros Proyección'!$G$13)+IF((Z121/AI121&gt;'Parámetros Proyección'!$G$14),0,'Parámetros Proyección'!$G$14)+IF((AF121/AI121&gt;'Parámetros Proyección'!$G$15),0,'Parámetros Proyección'!$G$15)))</f>
        <v/>
      </c>
      <c r="J121" s="35">
        <f>H121+I121</f>
        <v/>
      </c>
      <c r="K121" s="35">
        <f>P120</f>
        <v/>
      </c>
      <c r="L121" s="35">
        <f>K121*(1+'Parámetros Proyección'!$E$12)</f>
        <v/>
      </c>
      <c r="M121" s="35">
        <f>L121*'Parámetros Proyección'!$F$12</f>
        <v/>
      </c>
      <c r="N121" s="35">
        <f>L121+M121</f>
        <v/>
      </c>
      <c r="O121" s="35">
        <f>IF((N121/AI121&gt;'Parámetros Proyección'!$G$12),0,D121*'Parámetros Proyección'!$G$12/(IF((H121/AI121&gt;'Parámetros Proyección'!$G$11),0,'Parámetros Proyección'!$G$11)+IF((N121/AI121&gt;'Parámetros Proyección'!$G$12),0,'Parámetros Proyección'!$G$12)+IF((T121/AI121&gt;'Parámetros Proyección'!$G$13),0,'Parámetros Proyección'!$G$13)+IF((Z121/AI121&gt;'Parámetros Proyección'!$G$14),0,'Parámetros Proyección'!$G$14)+IF((AF121/AI121&gt;'Parámetros Proyección'!$G$15),0,'Parámetros Proyección'!$G$15)))</f>
        <v/>
      </c>
      <c r="P121" s="35">
        <f>N121+O121</f>
        <v/>
      </c>
      <c r="Q121" s="35">
        <f>V120</f>
        <v/>
      </c>
      <c r="R121" s="35">
        <f>Q121*(1+'Parámetros Proyección'!$E$13)</f>
        <v/>
      </c>
      <c r="S121" s="35">
        <f>R121*'Parámetros Proyección'!$F$13</f>
        <v/>
      </c>
      <c r="T121" s="35">
        <f>R121+S121</f>
        <v/>
      </c>
      <c r="U121" s="35">
        <f>IF((T121/AI121&gt;'Parámetros Proyección'!$G$13),0,D121*'Parámetros Proyección'!$G$13/(IF((H121/AI121&gt;'Parámetros Proyección'!$G$11),0,'Parámetros Proyección'!$G$11)+IF((N121/AI121&gt;'Parámetros Proyección'!$G$12),0,'Parámetros Proyección'!$G$12)+IF((T121/AI121&gt;'Parámetros Proyección'!$G$13),0,'Parámetros Proyección'!$G$13)+IF((Z121/AI121&gt;'Parámetros Proyección'!$G$14),0,'Parámetros Proyección'!$G$14)+IF((AF121/AI121&gt;'Parámetros Proyección'!$G$15),0,'Parámetros Proyección'!$G$15)))</f>
        <v/>
      </c>
      <c r="V121" s="35">
        <f>T121+U121</f>
        <v/>
      </c>
      <c r="W121" s="35">
        <f>AB120</f>
        <v/>
      </c>
      <c r="X121" s="35">
        <f>W121*(1+'Parámetros Proyección'!$E$14)</f>
        <v/>
      </c>
      <c r="Y121" s="35">
        <f>X121*'Parámetros Proyección'!$F$14</f>
        <v/>
      </c>
      <c r="Z121" s="35">
        <f>X121+Y121</f>
        <v/>
      </c>
      <c r="AA121" s="35">
        <f>IF((Z121/AI121&gt;'Parámetros Proyección'!$G$14),0,D121*'Parámetros Proyección'!$G$14/(IF((H121/AI121&gt;'Parámetros Proyección'!$G$11),0,'Parámetros Proyección'!$G$11)+IF((N121/AI121&gt;'Parámetros Proyección'!$G$12),0,'Parámetros Proyección'!$G$12)+IF((T121/AI121&gt;'Parámetros Proyección'!$G$13),0,'Parámetros Proyección'!$G$13)+IF((Z121/AI121&gt;'Parámetros Proyección'!$G$14),0,'Parámetros Proyección'!$G$14)+IF((AF121/AI121&gt;'Parámetros Proyección'!$G$15),0,'Parámetros Proyección'!$G$15)))</f>
        <v/>
      </c>
      <c r="AB121" s="35">
        <f>Z121+AA121</f>
        <v/>
      </c>
      <c r="AC121" s="35">
        <f>AH120</f>
        <v/>
      </c>
      <c r="AD121" s="35">
        <f>AC121*(1+'Parámetros Proyección'!$E$15)</f>
        <v/>
      </c>
      <c r="AE121" s="35">
        <f>AD121*'Parámetros Proyección'!$F$15</f>
        <v/>
      </c>
      <c r="AF121" s="35">
        <f>AD121+AE121</f>
        <v/>
      </c>
      <c r="AG121" s="35">
        <f>IF((AF121/AI121&gt;'Parámetros Proyección'!$G$15),0,D121*'Parámetros Proyección'!$G$15/(IF((H121/AI121&gt;'Parámetros Proyección'!$G$11),0,'Parámetros Proyección'!$G$11)+IF((N121/AI121&gt;'Parámetros Proyección'!$G$12),0,'Parámetros Proyección'!$G$12)+IF((T121/AI121&gt;'Parámetros Proyección'!$G$13),0,'Parámetros Proyección'!$G$13)+IF((Z121/AI121&gt;'Parámetros Proyección'!$G$14),0,'Parámetros Proyección'!$G$14)+IF((AF121/AI121&gt;'Parámetros Proyección'!$G$15),0,'Parámetros Proyección'!$G$15)))</f>
        <v/>
      </c>
      <c r="AH121" s="35">
        <f>AF121+AG121</f>
        <v/>
      </c>
      <c r="AI121" s="35">
        <f>H121+N121+T121+Z121+AF121</f>
        <v/>
      </c>
      <c r="AJ121" s="33">
        <f>AF121/AI121</f>
        <v/>
      </c>
      <c r="AK121">
        <f>IF(AJ121&gt;'Parámetros Proyección'!$B$5,1,0)</f>
        <v/>
      </c>
      <c r="AL121" s="35">
        <f>G121+M121+S121+Y121+AE121</f>
        <v/>
      </c>
      <c r="AM121" s="35">
        <f>AM120+D121</f>
        <v/>
      </c>
      <c r="AN121" s="35">
        <f>AN120+AL121</f>
        <v/>
      </c>
      <c r="AO121" s="35">
        <f>J121+P121+V121+AB121+AH121</f>
        <v/>
      </c>
    </row>
    <row r="122">
      <c r="A122" t="n">
        <v>119</v>
      </c>
      <c r="B122" s="34">
        <f>EDATE(B121,1)</f>
        <v/>
      </c>
      <c r="C122">
        <f>YEAR(B122)</f>
        <v/>
      </c>
      <c r="D122" s="35">
        <f>'Parámetros Proyección'!$B$3*(1+'Parámetros Proyección'!$B$4)^(C122-YEAR('Parámetros Proyección'!$B$6))</f>
        <v/>
      </c>
      <c r="E122" s="35">
        <f>J121</f>
        <v/>
      </c>
      <c r="F122" s="35">
        <f>E122*(1+'Parámetros Proyección'!$E$11)</f>
        <v/>
      </c>
      <c r="G122" s="35">
        <f>F122*'Parámetros Proyección'!$F$11</f>
        <v/>
      </c>
      <c r="H122" s="35">
        <f>F122+G122</f>
        <v/>
      </c>
      <c r="I122" s="35">
        <f>IF((H122/AI122&gt;'Parámetros Proyección'!$G$11),0,D122*'Parámetros Proyección'!$G$11/(IF((H122/AI122&gt;'Parámetros Proyección'!$G$11),0,'Parámetros Proyección'!$G$11)+IF((N122/AI122&gt;'Parámetros Proyección'!$G$12),0,'Parámetros Proyección'!$G$12)+IF((T122/AI122&gt;'Parámetros Proyección'!$G$13),0,'Parámetros Proyección'!$G$13)+IF((Z122/AI122&gt;'Parámetros Proyección'!$G$14),0,'Parámetros Proyección'!$G$14)+IF((AF122/AI122&gt;'Parámetros Proyección'!$G$15),0,'Parámetros Proyección'!$G$15)))</f>
        <v/>
      </c>
      <c r="J122" s="35">
        <f>H122+I122</f>
        <v/>
      </c>
      <c r="K122" s="35">
        <f>P121</f>
        <v/>
      </c>
      <c r="L122" s="35">
        <f>K122*(1+'Parámetros Proyección'!$E$12)</f>
        <v/>
      </c>
      <c r="M122" s="35">
        <f>L122*'Parámetros Proyección'!$F$12</f>
        <v/>
      </c>
      <c r="N122" s="35">
        <f>L122+M122</f>
        <v/>
      </c>
      <c r="O122" s="35">
        <f>IF((N122/AI122&gt;'Parámetros Proyección'!$G$12),0,D122*'Parámetros Proyección'!$G$12/(IF((H122/AI122&gt;'Parámetros Proyección'!$G$11),0,'Parámetros Proyección'!$G$11)+IF((N122/AI122&gt;'Parámetros Proyección'!$G$12),0,'Parámetros Proyección'!$G$12)+IF((T122/AI122&gt;'Parámetros Proyección'!$G$13),0,'Parámetros Proyección'!$G$13)+IF((Z122/AI122&gt;'Parámetros Proyección'!$G$14),0,'Parámetros Proyección'!$G$14)+IF((AF122/AI122&gt;'Parámetros Proyección'!$G$15),0,'Parámetros Proyección'!$G$15)))</f>
        <v/>
      </c>
      <c r="P122" s="35">
        <f>N122+O122</f>
        <v/>
      </c>
      <c r="Q122" s="35">
        <f>V121</f>
        <v/>
      </c>
      <c r="R122" s="35">
        <f>Q122*(1+'Parámetros Proyección'!$E$13)</f>
        <v/>
      </c>
      <c r="S122" s="35">
        <f>R122*'Parámetros Proyección'!$F$13</f>
        <v/>
      </c>
      <c r="T122" s="35">
        <f>R122+S122</f>
        <v/>
      </c>
      <c r="U122" s="35">
        <f>IF((T122/AI122&gt;'Parámetros Proyección'!$G$13),0,D122*'Parámetros Proyección'!$G$13/(IF((H122/AI122&gt;'Parámetros Proyección'!$G$11),0,'Parámetros Proyección'!$G$11)+IF((N122/AI122&gt;'Parámetros Proyección'!$G$12),0,'Parámetros Proyección'!$G$12)+IF((T122/AI122&gt;'Parámetros Proyección'!$G$13),0,'Parámetros Proyección'!$G$13)+IF((Z122/AI122&gt;'Parámetros Proyección'!$G$14),0,'Parámetros Proyección'!$G$14)+IF((AF122/AI122&gt;'Parámetros Proyección'!$G$15),0,'Parámetros Proyección'!$G$15)))</f>
        <v/>
      </c>
      <c r="V122" s="35">
        <f>T122+U122</f>
        <v/>
      </c>
      <c r="W122" s="35">
        <f>AB121</f>
        <v/>
      </c>
      <c r="X122" s="35">
        <f>W122*(1+'Parámetros Proyección'!$E$14)</f>
        <v/>
      </c>
      <c r="Y122" s="35">
        <f>X122*'Parámetros Proyección'!$F$14</f>
        <v/>
      </c>
      <c r="Z122" s="35">
        <f>X122+Y122</f>
        <v/>
      </c>
      <c r="AA122" s="35">
        <f>IF((Z122/AI122&gt;'Parámetros Proyección'!$G$14),0,D122*'Parámetros Proyección'!$G$14/(IF((H122/AI122&gt;'Parámetros Proyección'!$G$11),0,'Parámetros Proyección'!$G$11)+IF((N122/AI122&gt;'Parámetros Proyección'!$G$12),0,'Parámetros Proyección'!$G$12)+IF((T122/AI122&gt;'Parámetros Proyección'!$G$13),0,'Parámetros Proyección'!$G$13)+IF((Z122/AI122&gt;'Parámetros Proyección'!$G$14),0,'Parámetros Proyección'!$G$14)+IF((AF122/AI122&gt;'Parámetros Proyección'!$G$15),0,'Parámetros Proyección'!$G$15)))</f>
        <v/>
      </c>
      <c r="AB122" s="35">
        <f>Z122+AA122</f>
        <v/>
      </c>
      <c r="AC122" s="35">
        <f>AH121</f>
        <v/>
      </c>
      <c r="AD122" s="35">
        <f>AC122*(1+'Parámetros Proyección'!$E$15)</f>
        <v/>
      </c>
      <c r="AE122" s="35">
        <f>AD122*'Parámetros Proyección'!$F$15</f>
        <v/>
      </c>
      <c r="AF122" s="35">
        <f>AD122+AE122</f>
        <v/>
      </c>
      <c r="AG122" s="35">
        <f>IF((AF122/AI122&gt;'Parámetros Proyección'!$G$15),0,D122*'Parámetros Proyección'!$G$15/(IF((H122/AI122&gt;'Parámetros Proyección'!$G$11),0,'Parámetros Proyección'!$G$11)+IF((N122/AI122&gt;'Parámetros Proyección'!$G$12),0,'Parámetros Proyección'!$G$12)+IF((T122/AI122&gt;'Parámetros Proyección'!$G$13),0,'Parámetros Proyección'!$G$13)+IF((Z122/AI122&gt;'Parámetros Proyección'!$G$14),0,'Parámetros Proyección'!$G$14)+IF((AF122/AI122&gt;'Parámetros Proyección'!$G$15),0,'Parámetros Proyección'!$G$15)))</f>
        <v/>
      </c>
      <c r="AH122" s="35">
        <f>AF122+AG122</f>
        <v/>
      </c>
      <c r="AI122" s="35">
        <f>H122+N122+T122+Z122+AF122</f>
        <v/>
      </c>
      <c r="AJ122" s="33">
        <f>AF122/AI122</f>
        <v/>
      </c>
      <c r="AK122">
        <f>IF(AJ122&gt;'Parámetros Proyección'!$B$5,1,0)</f>
        <v/>
      </c>
      <c r="AL122" s="35">
        <f>G122+M122+S122+Y122+AE122</f>
        <v/>
      </c>
      <c r="AM122" s="35">
        <f>AM121+D122</f>
        <v/>
      </c>
      <c r="AN122" s="35">
        <f>AN121+AL122</f>
        <v/>
      </c>
      <c r="AO122" s="35">
        <f>J122+P122+V122+AB122+AH122</f>
        <v/>
      </c>
    </row>
    <row r="123">
      <c r="A123" t="n">
        <v>120</v>
      </c>
      <c r="B123" s="34">
        <f>EDATE(B122,1)</f>
        <v/>
      </c>
      <c r="C123">
        <f>YEAR(B123)</f>
        <v/>
      </c>
      <c r="D123" s="35">
        <f>'Parámetros Proyección'!$B$3*(1+'Parámetros Proyección'!$B$4)^(C123-YEAR('Parámetros Proyección'!$B$6))</f>
        <v/>
      </c>
      <c r="E123" s="35">
        <f>J122</f>
        <v/>
      </c>
      <c r="F123" s="35">
        <f>E123*(1+'Parámetros Proyección'!$E$11)</f>
        <v/>
      </c>
      <c r="G123" s="35">
        <f>F123*'Parámetros Proyección'!$F$11</f>
        <v/>
      </c>
      <c r="H123" s="35">
        <f>F123+G123</f>
        <v/>
      </c>
      <c r="I123" s="35">
        <f>IF((H123/AI123&gt;'Parámetros Proyección'!$G$11),0,D123*'Parámetros Proyección'!$G$11/(IF((H123/AI123&gt;'Parámetros Proyección'!$G$11),0,'Parámetros Proyección'!$G$11)+IF((N123/AI123&gt;'Parámetros Proyección'!$G$12),0,'Parámetros Proyección'!$G$12)+IF((T123/AI123&gt;'Parámetros Proyección'!$G$13),0,'Parámetros Proyección'!$G$13)+IF((Z123/AI123&gt;'Parámetros Proyección'!$G$14),0,'Parámetros Proyección'!$G$14)+IF((AF123/AI123&gt;'Parámetros Proyección'!$G$15),0,'Parámetros Proyección'!$G$15)))</f>
        <v/>
      </c>
      <c r="J123" s="35">
        <f>H123+I123</f>
        <v/>
      </c>
      <c r="K123" s="35">
        <f>P122</f>
        <v/>
      </c>
      <c r="L123" s="35">
        <f>K123*(1+'Parámetros Proyección'!$E$12)</f>
        <v/>
      </c>
      <c r="M123" s="35">
        <f>L123*'Parámetros Proyección'!$F$12</f>
        <v/>
      </c>
      <c r="N123" s="35">
        <f>L123+M123</f>
        <v/>
      </c>
      <c r="O123" s="35">
        <f>IF((N123/AI123&gt;'Parámetros Proyección'!$G$12),0,D123*'Parámetros Proyección'!$G$12/(IF((H123/AI123&gt;'Parámetros Proyección'!$G$11),0,'Parámetros Proyección'!$G$11)+IF((N123/AI123&gt;'Parámetros Proyección'!$G$12),0,'Parámetros Proyección'!$G$12)+IF((T123/AI123&gt;'Parámetros Proyección'!$G$13),0,'Parámetros Proyección'!$G$13)+IF((Z123/AI123&gt;'Parámetros Proyección'!$G$14),0,'Parámetros Proyección'!$G$14)+IF((AF123/AI123&gt;'Parámetros Proyección'!$G$15),0,'Parámetros Proyección'!$G$15)))</f>
        <v/>
      </c>
      <c r="P123" s="35">
        <f>N123+O123</f>
        <v/>
      </c>
      <c r="Q123" s="35">
        <f>V122</f>
        <v/>
      </c>
      <c r="R123" s="35">
        <f>Q123*(1+'Parámetros Proyección'!$E$13)</f>
        <v/>
      </c>
      <c r="S123" s="35">
        <f>R123*'Parámetros Proyección'!$F$13</f>
        <v/>
      </c>
      <c r="T123" s="35">
        <f>R123+S123</f>
        <v/>
      </c>
      <c r="U123" s="35">
        <f>IF((T123/AI123&gt;'Parámetros Proyección'!$G$13),0,D123*'Parámetros Proyección'!$G$13/(IF((H123/AI123&gt;'Parámetros Proyección'!$G$11),0,'Parámetros Proyección'!$G$11)+IF((N123/AI123&gt;'Parámetros Proyección'!$G$12),0,'Parámetros Proyección'!$G$12)+IF((T123/AI123&gt;'Parámetros Proyección'!$G$13),0,'Parámetros Proyección'!$G$13)+IF((Z123/AI123&gt;'Parámetros Proyección'!$G$14),0,'Parámetros Proyección'!$G$14)+IF((AF123/AI123&gt;'Parámetros Proyección'!$G$15),0,'Parámetros Proyección'!$G$15)))</f>
        <v/>
      </c>
      <c r="V123" s="35">
        <f>T123+U123</f>
        <v/>
      </c>
      <c r="W123" s="35">
        <f>AB122</f>
        <v/>
      </c>
      <c r="X123" s="35">
        <f>W123*(1+'Parámetros Proyección'!$E$14)</f>
        <v/>
      </c>
      <c r="Y123" s="35">
        <f>X123*'Parámetros Proyección'!$F$14</f>
        <v/>
      </c>
      <c r="Z123" s="35">
        <f>X123+Y123</f>
        <v/>
      </c>
      <c r="AA123" s="35">
        <f>IF((Z123/AI123&gt;'Parámetros Proyección'!$G$14),0,D123*'Parámetros Proyección'!$G$14/(IF((H123/AI123&gt;'Parámetros Proyección'!$G$11),0,'Parámetros Proyección'!$G$11)+IF((N123/AI123&gt;'Parámetros Proyección'!$G$12),0,'Parámetros Proyección'!$G$12)+IF((T123/AI123&gt;'Parámetros Proyección'!$G$13),0,'Parámetros Proyección'!$G$13)+IF((Z123/AI123&gt;'Parámetros Proyección'!$G$14),0,'Parámetros Proyección'!$G$14)+IF((AF123/AI123&gt;'Parámetros Proyección'!$G$15),0,'Parámetros Proyección'!$G$15)))</f>
        <v/>
      </c>
      <c r="AB123" s="35">
        <f>Z123+AA123</f>
        <v/>
      </c>
      <c r="AC123" s="35">
        <f>AH122</f>
        <v/>
      </c>
      <c r="AD123" s="35">
        <f>AC123*(1+'Parámetros Proyección'!$E$15)</f>
        <v/>
      </c>
      <c r="AE123" s="35">
        <f>AD123*'Parámetros Proyección'!$F$15</f>
        <v/>
      </c>
      <c r="AF123" s="35">
        <f>AD123+AE123</f>
        <v/>
      </c>
      <c r="AG123" s="35">
        <f>IF((AF123/AI123&gt;'Parámetros Proyección'!$G$15),0,D123*'Parámetros Proyección'!$G$15/(IF((H123/AI123&gt;'Parámetros Proyección'!$G$11),0,'Parámetros Proyección'!$G$11)+IF((N123/AI123&gt;'Parámetros Proyección'!$G$12),0,'Parámetros Proyección'!$G$12)+IF((T123/AI123&gt;'Parámetros Proyección'!$G$13),0,'Parámetros Proyección'!$G$13)+IF((Z123/AI123&gt;'Parámetros Proyección'!$G$14),0,'Parámetros Proyección'!$G$14)+IF((AF123/AI123&gt;'Parámetros Proyección'!$G$15),0,'Parámetros Proyección'!$G$15)))</f>
        <v/>
      </c>
      <c r="AH123" s="35">
        <f>AF123+AG123</f>
        <v/>
      </c>
      <c r="AI123" s="35">
        <f>H123+N123+T123+Z123+AF123</f>
        <v/>
      </c>
      <c r="AJ123" s="33">
        <f>AF123/AI123</f>
        <v/>
      </c>
      <c r="AK123">
        <f>IF(AJ123&gt;'Parámetros Proyección'!$B$5,1,0)</f>
        <v/>
      </c>
      <c r="AL123" s="35">
        <f>G123+M123+S123+Y123+AE123</f>
        <v/>
      </c>
      <c r="AM123" s="35">
        <f>AM122+D123</f>
        <v/>
      </c>
      <c r="AN123" s="35">
        <f>AN122+AL123</f>
        <v/>
      </c>
      <c r="AO123" s="35">
        <f>J123+P123+V123+AB123+AH123</f>
        <v/>
      </c>
    </row>
    <row r="124">
      <c r="A124" t="n">
        <v>121</v>
      </c>
      <c r="B124" s="34">
        <f>EDATE(B123,1)</f>
        <v/>
      </c>
      <c r="C124">
        <f>YEAR(B124)</f>
        <v/>
      </c>
      <c r="D124" s="35">
        <f>'Parámetros Proyección'!$B$3*(1+'Parámetros Proyección'!$B$4)^(C124-YEAR('Parámetros Proyección'!$B$6))</f>
        <v/>
      </c>
      <c r="E124" s="35">
        <f>J123</f>
        <v/>
      </c>
      <c r="F124" s="35">
        <f>E124*(1+'Parámetros Proyección'!$E$11)</f>
        <v/>
      </c>
      <c r="G124" s="35">
        <f>F124*'Parámetros Proyección'!$F$11</f>
        <v/>
      </c>
      <c r="H124" s="35">
        <f>F124+G124</f>
        <v/>
      </c>
      <c r="I124" s="35">
        <f>IF((H124/AI124&gt;'Parámetros Proyección'!$G$11),0,D124*'Parámetros Proyección'!$G$11/(IF((H124/AI124&gt;'Parámetros Proyección'!$G$11),0,'Parámetros Proyección'!$G$11)+IF((N124/AI124&gt;'Parámetros Proyección'!$G$12),0,'Parámetros Proyección'!$G$12)+IF((T124/AI124&gt;'Parámetros Proyección'!$G$13),0,'Parámetros Proyección'!$G$13)+IF((Z124/AI124&gt;'Parámetros Proyección'!$G$14),0,'Parámetros Proyección'!$G$14)+IF((AF124/AI124&gt;'Parámetros Proyección'!$G$15),0,'Parámetros Proyección'!$G$15)))</f>
        <v/>
      </c>
      <c r="J124" s="35">
        <f>H124+I124</f>
        <v/>
      </c>
      <c r="K124" s="35">
        <f>P123</f>
        <v/>
      </c>
      <c r="L124" s="35">
        <f>K124*(1+'Parámetros Proyección'!$E$12)</f>
        <v/>
      </c>
      <c r="M124" s="35">
        <f>L124*'Parámetros Proyección'!$F$12</f>
        <v/>
      </c>
      <c r="N124" s="35">
        <f>L124+M124</f>
        <v/>
      </c>
      <c r="O124" s="35">
        <f>IF((N124/AI124&gt;'Parámetros Proyección'!$G$12),0,D124*'Parámetros Proyección'!$G$12/(IF((H124/AI124&gt;'Parámetros Proyección'!$G$11),0,'Parámetros Proyección'!$G$11)+IF((N124/AI124&gt;'Parámetros Proyección'!$G$12),0,'Parámetros Proyección'!$G$12)+IF((T124/AI124&gt;'Parámetros Proyección'!$G$13),0,'Parámetros Proyección'!$G$13)+IF((Z124/AI124&gt;'Parámetros Proyección'!$G$14),0,'Parámetros Proyección'!$G$14)+IF((AF124/AI124&gt;'Parámetros Proyección'!$G$15),0,'Parámetros Proyección'!$G$15)))</f>
        <v/>
      </c>
      <c r="P124" s="35">
        <f>N124+O124</f>
        <v/>
      </c>
      <c r="Q124" s="35">
        <f>V123</f>
        <v/>
      </c>
      <c r="R124" s="35">
        <f>Q124*(1+'Parámetros Proyección'!$E$13)</f>
        <v/>
      </c>
      <c r="S124" s="35">
        <f>R124*'Parámetros Proyección'!$F$13</f>
        <v/>
      </c>
      <c r="T124" s="35">
        <f>R124+S124</f>
        <v/>
      </c>
      <c r="U124" s="35">
        <f>IF((T124/AI124&gt;'Parámetros Proyección'!$G$13),0,D124*'Parámetros Proyección'!$G$13/(IF((H124/AI124&gt;'Parámetros Proyección'!$G$11),0,'Parámetros Proyección'!$G$11)+IF((N124/AI124&gt;'Parámetros Proyección'!$G$12),0,'Parámetros Proyección'!$G$12)+IF((T124/AI124&gt;'Parámetros Proyección'!$G$13),0,'Parámetros Proyección'!$G$13)+IF((Z124/AI124&gt;'Parámetros Proyección'!$G$14),0,'Parámetros Proyección'!$G$14)+IF((AF124/AI124&gt;'Parámetros Proyección'!$G$15),0,'Parámetros Proyección'!$G$15)))</f>
        <v/>
      </c>
      <c r="V124" s="35">
        <f>T124+U124</f>
        <v/>
      </c>
      <c r="W124" s="35">
        <f>AB123</f>
        <v/>
      </c>
      <c r="X124" s="35">
        <f>W124*(1+'Parámetros Proyección'!$E$14)</f>
        <v/>
      </c>
      <c r="Y124" s="35">
        <f>X124*'Parámetros Proyección'!$F$14</f>
        <v/>
      </c>
      <c r="Z124" s="35">
        <f>X124+Y124</f>
        <v/>
      </c>
      <c r="AA124" s="35">
        <f>IF((Z124/AI124&gt;'Parámetros Proyección'!$G$14),0,D124*'Parámetros Proyección'!$G$14/(IF((H124/AI124&gt;'Parámetros Proyección'!$G$11),0,'Parámetros Proyección'!$G$11)+IF((N124/AI124&gt;'Parámetros Proyección'!$G$12),0,'Parámetros Proyección'!$G$12)+IF((T124/AI124&gt;'Parámetros Proyección'!$G$13),0,'Parámetros Proyección'!$G$13)+IF((Z124/AI124&gt;'Parámetros Proyección'!$G$14),0,'Parámetros Proyección'!$G$14)+IF((AF124/AI124&gt;'Parámetros Proyección'!$G$15),0,'Parámetros Proyección'!$G$15)))</f>
        <v/>
      </c>
      <c r="AB124" s="35">
        <f>Z124+AA124</f>
        <v/>
      </c>
      <c r="AC124" s="35">
        <f>AH123</f>
        <v/>
      </c>
      <c r="AD124" s="35">
        <f>AC124*(1+'Parámetros Proyección'!$E$15)</f>
        <v/>
      </c>
      <c r="AE124" s="35">
        <f>AD124*'Parámetros Proyección'!$F$15</f>
        <v/>
      </c>
      <c r="AF124" s="35">
        <f>AD124+AE124</f>
        <v/>
      </c>
      <c r="AG124" s="35">
        <f>IF((AF124/AI124&gt;'Parámetros Proyección'!$G$15),0,D124*'Parámetros Proyección'!$G$15/(IF((H124/AI124&gt;'Parámetros Proyección'!$G$11),0,'Parámetros Proyección'!$G$11)+IF((N124/AI124&gt;'Parámetros Proyección'!$G$12),0,'Parámetros Proyección'!$G$12)+IF((T124/AI124&gt;'Parámetros Proyección'!$G$13),0,'Parámetros Proyección'!$G$13)+IF((Z124/AI124&gt;'Parámetros Proyección'!$G$14),0,'Parámetros Proyección'!$G$14)+IF((AF124/AI124&gt;'Parámetros Proyección'!$G$15),0,'Parámetros Proyección'!$G$15)))</f>
        <v/>
      </c>
      <c r="AH124" s="35">
        <f>AF124+AG124</f>
        <v/>
      </c>
      <c r="AI124" s="35">
        <f>H124+N124+T124+Z124+AF124</f>
        <v/>
      </c>
      <c r="AJ124" s="33">
        <f>AF124/AI124</f>
        <v/>
      </c>
      <c r="AK124">
        <f>IF(AJ124&gt;'Parámetros Proyección'!$B$5,1,0)</f>
        <v/>
      </c>
      <c r="AL124" s="35">
        <f>G124+M124+S124+Y124+AE124</f>
        <v/>
      </c>
      <c r="AM124" s="35">
        <f>AM123+D124</f>
        <v/>
      </c>
      <c r="AN124" s="35">
        <f>AN123+AL124</f>
        <v/>
      </c>
      <c r="AO124" s="35">
        <f>J124+P124+V124+AB124+AH124</f>
        <v/>
      </c>
    </row>
    <row r="125">
      <c r="A125" t="n">
        <v>122</v>
      </c>
      <c r="B125" s="34">
        <f>EDATE(B124,1)</f>
        <v/>
      </c>
      <c r="C125">
        <f>YEAR(B125)</f>
        <v/>
      </c>
      <c r="D125" s="35">
        <f>'Parámetros Proyección'!$B$3*(1+'Parámetros Proyección'!$B$4)^(C125-YEAR('Parámetros Proyección'!$B$6))</f>
        <v/>
      </c>
      <c r="E125" s="35">
        <f>J124</f>
        <v/>
      </c>
      <c r="F125" s="35">
        <f>E125*(1+'Parámetros Proyección'!$E$11)</f>
        <v/>
      </c>
      <c r="G125" s="35">
        <f>F125*'Parámetros Proyección'!$F$11</f>
        <v/>
      </c>
      <c r="H125" s="35">
        <f>F125+G125</f>
        <v/>
      </c>
      <c r="I125" s="35">
        <f>IF((H125/AI125&gt;'Parámetros Proyección'!$G$11),0,D125*'Parámetros Proyección'!$G$11/(IF((H125/AI125&gt;'Parámetros Proyección'!$G$11),0,'Parámetros Proyección'!$G$11)+IF((N125/AI125&gt;'Parámetros Proyección'!$G$12),0,'Parámetros Proyección'!$G$12)+IF((T125/AI125&gt;'Parámetros Proyección'!$G$13),0,'Parámetros Proyección'!$G$13)+IF((Z125/AI125&gt;'Parámetros Proyección'!$G$14),0,'Parámetros Proyección'!$G$14)+IF((AF125/AI125&gt;'Parámetros Proyección'!$G$15),0,'Parámetros Proyección'!$G$15)))</f>
        <v/>
      </c>
      <c r="J125" s="35">
        <f>H125+I125</f>
        <v/>
      </c>
      <c r="K125" s="35">
        <f>P124</f>
        <v/>
      </c>
      <c r="L125" s="35">
        <f>K125*(1+'Parámetros Proyección'!$E$12)</f>
        <v/>
      </c>
      <c r="M125" s="35">
        <f>L125*'Parámetros Proyección'!$F$12</f>
        <v/>
      </c>
      <c r="N125" s="35">
        <f>L125+M125</f>
        <v/>
      </c>
      <c r="O125" s="35">
        <f>IF((N125/AI125&gt;'Parámetros Proyección'!$G$12),0,D125*'Parámetros Proyección'!$G$12/(IF((H125/AI125&gt;'Parámetros Proyección'!$G$11),0,'Parámetros Proyección'!$G$11)+IF((N125/AI125&gt;'Parámetros Proyección'!$G$12),0,'Parámetros Proyección'!$G$12)+IF((T125/AI125&gt;'Parámetros Proyección'!$G$13),0,'Parámetros Proyección'!$G$13)+IF((Z125/AI125&gt;'Parámetros Proyección'!$G$14),0,'Parámetros Proyección'!$G$14)+IF((AF125/AI125&gt;'Parámetros Proyección'!$G$15),0,'Parámetros Proyección'!$G$15)))</f>
        <v/>
      </c>
      <c r="P125" s="35">
        <f>N125+O125</f>
        <v/>
      </c>
      <c r="Q125" s="35">
        <f>V124</f>
        <v/>
      </c>
      <c r="R125" s="35">
        <f>Q125*(1+'Parámetros Proyección'!$E$13)</f>
        <v/>
      </c>
      <c r="S125" s="35">
        <f>R125*'Parámetros Proyección'!$F$13</f>
        <v/>
      </c>
      <c r="T125" s="35">
        <f>R125+S125</f>
        <v/>
      </c>
      <c r="U125" s="35">
        <f>IF((T125/AI125&gt;'Parámetros Proyección'!$G$13),0,D125*'Parámetros Proyección'!$G$13/(IF((H125/AI125&gt;'Parámetros Proyección'!$G$11),0,'Parámetros Proyección'!$G$11)+IF((N125/AI125&gt;'Parámetros Proyección'!$G$12),0,'Parámetros Proyección'!$G$12)+IF((T125/AI125&gt;'Parámetros Proyección'!$G$13),0,'Parámetros Proyección'!$G$13)+IF((Z125/AI125&gt;'Parámetros Proyección'!$G$14),0,'Parámetros Proyección'!$G$14)+IF((AF125/AI125&gt;'Parámetros Proyección'!$G$15),0,'Parámetros Proyección'!$G$15)))</f>
        <v/>
      </c>
      <c r="V125" s="35">
        <f>T125+U125</f>
        <v/>
      </c>
      <c r="W125" s="35">
        <f>AB124</f>
        <v/>
      </c>
      <c r="X125" s="35">
        <f>W125*(1+'Parámetros Proyección'!$E$14)</f>
        <v/>
      </c>
      <c r="Y125" s="35">
        <f>X125*'Parámetros Proyección'!$F$14</f>
        <v/>
      </c>
      <c r="Z125" s="35">
        <f>X125+Y125</f>
        <v/>
      </c>
      <c r="AA125" s="35">
        <f>IF((Z125/AI125&gt;'Parámetros Proyección'!$G$14),0,D125*'Parámetros Proyección'!$G$14/(IF((H125/AI125&gt;'Parámetros Proyección'!$G$11),0,'Parámetros Proyección'!$G$11)+IF((N125/AI125&gt;'Parámetros Proyección'!$G$12),0,'Parámetros Proyección'!$G$12)+IF((T125/AI125&gt;'Parámetros Proyección'!$G$13),0,'Parámetros Proyección'!$G$13)+IF((Z125/AI125&gt;'Parámetros Proyección'!$G$14),0,'Parámetros Proyección'!$G$14)+IF((AF125/AI125&gt;'Parámetros Proyección'!$G$15),0,'Parámetros Proyección'!$G$15)))</f>
        <v/>
      </c>
      <c r="AB125" s="35">
        <f>Z125+AA125</f>
        <v/>
      </c>
      <c r="AC125" s="35">
        <f>AH124</f>
        <v/>
      </c>
      <c r="AD125" s="35">
        <f>AC125*(1+'Parámetros Proyección'!$E$15)</f>
        <v/>
      </c>
      <c r="AE125" s="35">
        <f>AD125*'Parámetros Proyección'!$F$15</f>
        <v/>
      </c>
      <c r="AF125" s="35">
        <f>AD125+AE125</f>
        <v/>
      </c>
      <c r="AG125" s="35">
        <f>IF((AF125/AI125&gt;'Parámetros Proyección'!$G$15),0,D125*'Parámetros Proyección'!$G$15/(IF((H125/AI125&gt;'Parámetros Proyección'!$G$11),0,'Parámetros Proyección'!$G$11)+IF((N125/AI125&gt;'Parámetros Proyección'!$G$12),0,'Parámetros Proyección'!$G$12)+IF((T125/AI125&gt;'Parámetros Proyección'!$G$13),0,'Parámetros Proyección'!$G$13)+IF((Z125/AI125&gt;'Parámetros Proyección'!$G$14),0,'Parámetros Proyección'!$G$14)+IF((AF125/AI125&gt;'Parámetros Proyección'!$G$15),0,'Parámetros Proyección'!$G$15)))</f>
        <v/>
      </c>
      <c r="AH125" s="35">
        <f>AF125+AG125</f>
        <v/>
      </c>
      <c r="AI125" s="35">
        <f>H125+N125+T125+Z125+AF125</f>
        <v/>
      </c>
      <c r="AJ125" s="33">
        <f>AF125/AI125</f>
        <v/>
      </c>
      <c r="AK125">
        <f>IF(AJ125&gt;'Parámetros Proyección'!$B$5,1,0)</f>
        <v/>
      </c>
      <c r="AL125" s="35">
        <f>G125+M125+S125+Y125+AE125</f>
        <v/>
      </c>
      <c r="AM125" s="35">
        <f>AM124+D125</f>
        <v/>
      </c>
      <c r="AN125" s="35">
        <f>AN124+AL125</f>
        <v/>
      </c>
      <c r="AO125" s="35">
        <f>J125+P125+V125+AB125+AH125</f>
        <v/>
      </c>
    </row>
    <row r="126">
      <c r="A126" t="n">
        <v>123</v>
      </c>
      <c r="B126" s="34">
        <f>EDATE(B125,1)</f>
        <v/>
      </c>
      <c r="C126">
        <f>YEAR(B126)</f>
        <v/>
      </c>
      <c r="D126" s="35">
        <f>'Parámetros Proyección'!$B$3*(1+'Parámetros Proyección'!$B$4)^(C126-YEAR('Parámetros Proyección'!$B$6))</f>
        <v/>
      </c>
      <c r="E126" s="35">
        <f>J125</f>
        <v/>
      </c>
      <c r="F126" s="35">
        <f>E126*(1+'Parámetros Proyección'!$E$11)</f>
        <v/>
      </c>
      <c r="G126" s="35">
        <f>F126*'Parámetros Proyección'!$F$11</f>
        <v/>
      </c>
      <c r="H126" s="35">
        <f>F126+G126</f>
        <v/>
      </c>
      <c r="I126" s="35">
        <f>IF((H126/AI126&gt;'Parámetros Proyección'!$G$11),0,D126*'Parámetros Proyección'!$G$11/(IF((H126/AI126&gt;'Parámetros Proyección'!$G$11),0,'Parámetros Proyección'!$G$11)+IF((N126/AI126&gt;'Parámetros Proyección'!$G$12),0,'Parámetros Proyección'!$G$12)+IF((T126/AI126&gt;'Parámetros Proyección'!$G$13),0,'Parámetros Proyección'!$G$13)+IF((Z126/AI126&gt;'Parámetros Proyección'!$G$14),0,'Parámetros Proyección'!$G$14)+IF((AF126/AI126&gt;'Parámetros Proyección'!$G$15),0,'Parámetros Proyección'!$G$15)))</f>
        <v/>
      </c>
      <c r="J126" s="35">
        <f>H126+I126</f>
        <v/>
      </c>
      <c r="K126" s="35">
        <f>P125</f>
        <v/>
      </c>
      <c r="L126" s="35">
        <f>K126*(1+'Parámetros Proyección'!$E$12)</f>
        <v/>
      </c>
      <c r="M126" s="35">
        <f>L126*'Parámetros Proyección'!$F$12</f>
        <v/>
      </c>
      <c r="N126" s="35">
        <f>L126+M126</f>
        <v/>
      </c>
      <c r="O126" s="35">
        <f>IF((N126/AI126&gt;'Parámetros Proyección'!$G$12),0,D126*'Parámetros Proyección'!$G$12/(IF((H126/AI126&gt;'Parámetros Proyección'!$G$11),0,'Parámetros Proyección'!$G$11)+IF((N126/AI126&gt;'Parámetros Proyección'!$G$12),0,'Parámetros Proyección'!$G$12)+IF((T126/AI126&gt;'Parámetros Proyección'!$G$13),0,'Parámetros Proyección'!$G$13)+IF((Z126/AI126&gt;'Parámetros Proyección'!$G$14),0,'Parámetros Proyección'!$G$14)+IF((AF126/AI126&gt;'Parámetros Proyección'!$G$15),0,'Parámetros Proyección'!$G$15)))</f>
        <v/>
      </c>
      <c r="P126" s="35">
        <f>N126+O126</f>
        <v/>
      </c>
      <c r="Q126" s="35">
        <f>V125</f>
        <v/>
      </c>
      <c r="R126" s="35">
        <f>Q126*(1+'Parámetros Proyección'!$E$13)</f>
        <v/>
      </c>
      <c r="S126" s="35">
        <f>R126*'Parámetros Proyección'!$F$13</f>
        <v/>
      </c>
      <c r="T126" s="35">
        <f>R126+S126</f>
        <v/>
      </c>
      <c r="U126" s="35">
        <f>IF((T126/AI126&gt;'Parámetros Proyección'!$G$13),0,D126*'Parámetros Proyección'!$G$13/(IF((H126/AI126&gt;'Parámetros Proyección'!$G$11),0,'Parámetros Proyección'!$G$11)+IF((N126/AI126&gt;'Parámetros Proyección'!$G$12),0,'Parámetros Proyección'!$G$12)+IF((T126/AI126&gt;'Parámetros Proyección'!$G$13),0,'Parámetros Proyección'!$G$13)+IF((Z126/AI126&gt;'Parámetros Proyección'!$G$14),0,'Parámetros Proyección'!$G$14)+IF((AF126/AI126&gt;'Parámetros Proyección'!$G$15),0,'Parámetros Proyección'!$G$15)))</f>
        <v/>
      </c>
      <c r="V126" s="35">
        <f>T126+U126</f>
        <v/>
      </c>
      <c r="W126" s="35">
        <f>AB125</f>
        <v/>
      </c>
      <c r="X126" s="35">
        <f>W126*(1+'Parámetros Proyección'!$E$14)</f>
        <v/>
      </c>
      <c r="Y126" s="35">
        <f>X126*'Parámetros Proyección'!$F$14</f>
        <v/>
      </c>
      <c r="Z126" s="35">
        <f>X126+Y126</f>
        <v/>
      </c>
      <c r="AA126" s="35">
        <f>IF((Z126/AI126&gt;'Parámetros Proyección'!$G$14),0,D126*'Parámetros Proyección'!$G$14/(IF((H126/AI126&gt;'Parámetros Proyección'!$G$11),0,'Parámetros Proyección'!$G$11)+IF((N126/AI126&gt;'Parámetros Proyección'!$G$12),0,'Parámetros Proyección'!$G$12)+IF((T126/AI126&gt;'Parámetros Proyección'!$G$13),0,'Parámetros Proyección'!$G$13)+IF((Z126/AI126&gt;'Parámetros Proyección'!$G$14),0,'Parámetros Proyección'!$G$14)+IF((AF126/AI126&gt;'Parámetros Proyección'!$G$15),0,'Parámetros Proyección'!$G$15)))</f>
        <v/>
      </c>
      <c r="AB126" s="35">
        <f>Z126+AA126</f>
        <v/>
      </c>
      <c r="AC126" s="35">
        <f>AH125</f>
        <v/>
      </c>
      <c r="AD126" s="35">
        <f>AC126*(1+'Parámetros Proyección'!$E$15)</f>
        <v/>
      </c>
      <c r="AE126" s="35">
        <f>AD126*'Parámetros Proyección'!$F$15</f>
        <v/>
      </c>
      <c r="AF126" s="35">
        <f>AD126+AE126</f>
        <v/>
      </c>
      <c r="AG126" s="35">
        <f>IF((AF126/AI126&gt;'Parámetros Proyección'!$G$15),0,D126*'Parámetros Proyección'!$G$15/(IF((H126/AI126&gt;'Parámetros Proyección'!$G$11),0,'Parámetros Proyección'!$G$11)+IF((N126/AI126&gt;'Parámetros Proyección'!$G$12),0,'Parámetros Proyección'!$G$12)+IF((T126/AI126&gt;'Parámetros Proyección'!$G$13),0,'Parámetros Proyección'!$G$13)+IF((Z126/AI126&gt;'Parámetros Proyección'!$G$14),0,'Parámetros Proyección'!$G$14)+IF((AF126/AI126&gt;'Parámetros Proyección'!$G$15),0,'Parámetros Proyección'!$G$15)))</f>
        <v/>
      </c>
      <c r="AH126" s="35">
        <f>AF126+AG126</f>
        <v/>
      </c>
      <c r="AI126" s="35">
        <f>H126+N126+T126+Z126+AF126</f>
        <v/>
      </c>
      <c r="AJ126" s="33">
        <f>AF126/AI126</f>
        <v/>
      </c>
      <c r="AK126">
        <f>IF(AJ126&gt;'Parámetros Proyección'!$B$5,1,0)</f>
        <v/>
      </c>
      <c r="AL126" s="35">
        <f>G126+M126+S126+Y126+AE126</f>
        <v/>
      </c>
      <c r="AM126" s="35">
        <f>AM125+D126</f>
        <v/>
      </c>
      <c r="AN126" s="35">
        <f>AN125+AL126</f>
        <v/>
      </c>
      <c r="AO126" s="35">
        <f>J126+P126+V126+AB126+AH126</f>
        <v/>
      </c>
    </row>
    <row r="127">
      <c r="A127" t="n">
        <v>124</v>
      </c>
      <c r="B127" s="34">
        <f>EDATE(B126,1)</f>
        <v/>
      </c>
      <c r="C127">
        <f>YEAR(B127)</f>
        <v/>
      </c>
      <c r="D127" s="35">
        <f>'Parámetros Proyección'!$B$3*(1+'Parámetros Proyección'!$B$4)^(C127-YEAR('Parámetros Proyección'!$B$6))</f>
        <v/>
      </c>
      <c r="E127" s="35">
        <f>J126</f>
        <v/>
      </c>
      <c r="F127" s="35">
        <f>E127*(1+'Parámetros Proyección'!$E$11)</f>
        <v/>
      </c>
      <c r="G127" s="35">
        <f>F127*'Parámetros Proyección'!$F$11</f>
        <v/>
      </c>
      <c r="H127" s="35">
        <f>F127+G127</f>
        <v/>
      </c>
      <c r="I127" s="35">
        <f>IF((H127/AI127&gt;'Parámetros Proyección'!$G$11),0,D127*'Parámetros Proyección'!$G$11/(IF((H127/AI127&gt;'Parámetros Proyección'!$G$11),0,'Parámetros Proyección'!$G$11)+IF((N127/AI127&gt;'Parámetros Proyección'!$G$12),0,'Parámetros Proyección'!$G$12)+IF((T127/AI127&gt;'Parámetros Proyección'!$G$13),0,'Parámetros Proyección'!$G$13)+IF((Z127/AI127&gt;'Parámetros Proyección'!$G$14),0,'Parámetros Proyección'!$G$14)+IF((AF127/AI127&gt;'Parámetros Proyección'!$G$15),0,'Parámetros Proyección'!$G$15)))</f>
        <v/>
      </c>
      <c r="J127" s="35">
        <f>H127+I127</f>
        <v/>
      </c>
      <c r="K127" s="35">
        <f>P126</f>
        <v/>
      </c>
      <c r="L127" s="35">
        <f>K127*(1+'Parámetros Proyección'!$E$12)</f>
        <v/>
      </c>
      <c r="M127" s="35">
        <f>L127*'Parámetros Proyección'!$F$12</f>
        <v/>
      </c>
      <c r="N127" s="35">
        <f>L127+M127</f>
        <v/>
      </c>
      <c r="O127" s="35">
        <f>IF((N127/AI127&gt;'Parámetros Proyección'!$G$12),0,D127*'Parámetros Proyección'!$G$12/(IF((H127/AI127&gt;'Parámetros Proyección'!$G$11),0,'Parámetros Proyección'!$G$11)+IF((N127/AI127&gt;'Parámetros Proyección'!$G$12),0,'Parámetros Proyección'!$G$12)+IF((T127/AI127&gt;'Parámetros Proyección'!$G$13),0,'Parámetros Proyección'!$G$13)+IF((Z127/AI127&gt;'Parámetros Proyección'!$G$14),0,'Parámetros Proyección'!$G$14)+IF((AF127/AI127&gt;'Parámetros Proyección'!$G$15),0,'Parámetros Proyección'!$G$15)))</f>
        <v/>
      </c>
      <c r="P127" s="35">
        <f>N127+O127</f>
        <v/>
      </c>
      <c r="Q127" s="35">
        <f>V126</f>
        <v/>
      </c>
      <c r="R127" s="35">
        <f>Q127*(1+'Parámetros Proyección'!$E$13)</f>
        <v/>
      </c>
      <c r="S127" s="35">
        <f>R127*'Parámetros Proyección'!$F$13</f>
        <v/>
      </c>
      <c r="T127" s="35">
        <f>R127+S127</f>
        <v/>
      </c>
      <c r="U127" s="35">
        <f>IF((T127/AI127&gt;'Parámetros Proyección'!$G$13),0,D127*'Parámetros Proyección'!$G$13/(IF((H127/AI127&gt;'Parámetros Proyección'!$G$11),0,'Parámetros Proyección'!$G$11)+IF((N127/AI127&gt;'Parámetros Proyección'!$G$12),0,'Parámetros Proyección'!$G$12)+IF((T127/AI127&gt;'Parámetros Proyección'!$G$13),0,'Parámetros Proyección'!$G$13)+IF((Z127/AI127&gt;'Parámetros Proyección'!$G$14),0,'Parámetros Proyección'!$G$14)+IF((AF127/AI127&gt;'Parámetros Proyección'!$G$15),0,'Parámetros Proyección'!$G$15)))</f>
        <v/>
      </c>
      <c r="V127" s="35">
        <f>T127+U127</f>
        <v/>
      </c>
      <c r="W127" s="35">
        <f>AB126</f>
        <v/>
      </c>
      <c r="X127" s="35">
        <f>W127*(1+'Parámetros Proyección'!$E$14)</f>
        <v/>
      </c>
      <c r="Y127" s="35">
        <f>X127*'Parámetros Proyección'!$F$14</f>
        <v/>
      </c>
      <c r="Z127" s="35">
        <f>X127+Y127</f>
        <v/>
      </c>
      <c r="AA127" s="35">
        <f>IF((Z127/AI127&gt;'Parámetros Proyección'!$G$14),0,D127*'Parámetros Proyección'!$G$14/(IF((H127/AI127&gt;'Parámetros Proyección'!$G$11),0,'Parámetros Proyección'!$G$11)+IF((N127/AI127&gt;'Parámetros Proyección'!$G$12),0,'Parámetros Proyección'!$G$12)+IF((T127/AI127&gt;'Parámetros Proyección'!$G$13),0,'Parámetros Proyección'!$G$13)+IF((Z127/AI127&gt;'Parámetros Proyección'!$G$14),0,'Parámetros Proyección'!$G$14)+IF((AF127/AI127&gt;'Parámetros Proyección'!$G$15),0,'Parámetros Proyección'!$G$15)))</f>
        <v/>
      </c>
      <c r="AB127" s="35">
        <f>Z127+AA127</f>
        <v/>
      </c>
      <c r="AC127" s="35">
        <f>AH126</f>
        <v/>
      </c>
      <c r="AD127" s="35">
        <f>AC127*(1+'Parámetros Proyección'!$E$15)</f>
        <v/>
      </c>
      <c r="AE127" s="35">
        <f>AD127*'Parámetros Proyección'!$F$15</f>
        <v/>
      </c>
      <c r="AF127" s="35">
        <f>AD127+AE127</f>
        <v/>
      </c>
      <c r="AG127" s="35">
        <f>IF((AF127/AI127&gt;'Parámetros Proyección'!$G$15),0,D127*'Parámetros Proyección'!$G$15/(IF((H127/AI127&gt;'Parámetros Proyección'!$G$11),0,'Parámetros Proyección'!$G$11)+IF((N127/AI127&gt;'Parámetros Proyección'!$G$12),0,'Parámetros Proyección'!$G$12)+IF((T127/AI127&gt;'Parámetros Proyección'!$G$13),0,'Parámetros Proyección'!$G$13)+IF((Z127/AI127&gt;'Parámetros Proyección'!$G$14),0,'Parámetros Proyección'!$G$14)+IF((AF127/AI127&gt;'Parámetros Proyección'!$G$15),0,'Parámetros Proyección'!$G$15)))</f>
        <v/>
      </c>
      <c r="AH127" s="35">
        <f>AF127+AG127</f>
        <v/>
      </c>
      <c r="AI127" s="35">
        <f>H127+N127+T127+Z127+AF127</f>
        <v/>
      </c>
      <c r="AJ127" s="33">
        <f>AF127/AI127</f>
        <v/>
      </c>
      <c r="AK127">
        <f>IF(AJ127&gt;'Parámetros Proyección'!$B$5,1,0)</f>
        <v/>
      </c>
      <c r="AL127" s="35">
        <f>G127+M127+S127+Y127+AE127</f>
        <v/>
      </c>
      <c r="AM127" s="35">
        <f>AM126+D127</f>
        <v/>
      </c>
      <c r="AN127" s="35">
        <f>AN126+AL127</f>
        <v/>
      </c>
      <c r="AO127" s="35">
        <f>J127+P127+V127+AB127+AH127</f>
        <v/>
      </c>
    </row>
    <row r="128">
      <c r="A128" t="n">
        <v>125</v>
      </c>
      <c r="B128" s="34">
        <f>EDATE(B127,1)</f>
        <v/>
      </c>
      <c r="C128">
        <f>YEAR(B128)</f>
        <v/>
      </c>
      <c r="D128" s="35">
        <f>'Parámetros Proyección'!$B$3*(1+'Parámetros Proyección'!$B$4)^(C128-YEAR('Parámetros Proyección'!$B$6))</f>
        <v/>
      </c>
      <c r="E128" s="35">
        <f>J127</f>
        <v/>
      </c>
      <c r="F128" s="35">
        <f>E128*(1+'Parámetros Proyección'!$E$11)</f>
        <v/>
      </c>
      <c r="G128" s="35">
        <f>F128*'Parámetros Proyección'!$F$11</f>
        <v/>
      </c>
      <c r="H128" s="35">
        <f>F128+G128</f>
        <v/>
      </c>
      <c r="I128" s="35">
        <f>IF((H128/AI128&gt;'Parámetros Proyección'!$G$11),0,D128*'Parámetros Proyección'!$G$11/(IF((H128/AI128&gt;'Parámetros Proyección'!$G$11),0,'Parámetros Proyección'!$G$11)+IF((N128/AI128&gt;'Parámetros Proyección'!$G$12),0,'Parámetros Proyección'!$G$12)+IF((T128/AI128&gt;'Parámetros Proyección'!$G$13),0,'Parámetros Proyección'!$G$13)+IF((Z128/AI128&gt;'Parámetros Proyección'!$G$14),0,'Parámetros Proyección'!$G$14)+IF((AF128/AI128&gt;'Parámetros Proyección'!$G$15),0,'Parámetros Proyección'!$G$15)))</f>
        <v/>
      </c>
      <c r="J128" s="35">
        <f>H128+I128</f>
        <v/>
      </c>
      <c r="K128" s="35">
        <f>P127</f>
        <v/>
      </c>
      <c r="L128" s="35">
        <f>K128*(1+'Parámetros Proyección'!$E$12)</f>
        <v/>
      </c>
      <c r="M128" s="35">
        <f>L128*'Parámetros Proyección'!$F$12</f>
        <v/>
      </c>
      <c r="N128" s="35">
        <f>L128+M128</f>
        <v/>
      </c>
      <c r="O128" s="35">
        <f>IF((N128/AI128&gt;'Parámetros Proyección'!$G$12),0,D128*'Parámetros Proyección'!$G$12/(IF((H128/AI128&gt;'Parámetros Proyección'!$G$11),0,'Parámetros Proyección'!$G$11)+IF((N128/AI128&gt;'Parámetros Proyección'!$G$12),0,'Parámetros Proyección'!$G$12)+IF((T128/AI128&gt;'Parámetros Proyección'!$G$13),0,'Parámetros Proyección'!$G$13)+IF((Z128/AI128&gt;'Parámetros Proyección'!$G$14),0,'Parámetros Proyección'!$G$14)+IF((AF128/AI128&gt;'Parámetros Proyección'!$G$15),0,'Parámetros Proyección'!$G$15)))</f>
        <v/>
      </c>
      <c r="P128" s="35">
        <f>N128+O128</f>
        <v/>
      </c>
      <c r="Q128" s="35">
        <f>V127</f>
        <v/>
      </c>
      <c r="R128" s="35">
        <f>Q128*(1+'Parámetros Proyección'!$E$13)</f>
        <v/>
      </c>
      <c r="S128" s="35">
        <f>R128*'Parámetros Proyección'!$F$13</f>
        <v/>
      </c>
      <c r="T128" s="35">
        <f>R128+S128</f>
        <v/>
      </c>
      <c r="U128" s="35">
        <f>IF((T128/AI128&gt;'Parámetros Proyección'!$G$13),0,D128*'Parámetros Proyección'!$G$13/(IF((H128/AI128&gt;'Parámetros Proyección'!$G$11),0,'Parámetros Proyección'!$G$11)+IF((N128/AI128&gt;'Parámetros Proyección'!$G$12),0,'Parámetros Proyección'!$G$12)+IF((T128/AI128&gt;'Parámetros Proyección'!$G$13),0,'Parámetros Proyección'!$G$13)+IF((Z128/AI128&gt;'Parámetros Proyección'!$G$14),0,'Parámetros Proyección'!$G$14)+IF((AF128/AI128&gt;'Parámetros Proyección'!$G$15),0,'Parámetros Proyección'!$G$15)))</f>
        <v/>
      </c>
      <c r="V128" s="35">
        <f>T128+U128</f>
        <v/>
      </c>
      <c r="W128" s="35">
        <f>AB127</f>
        <v/>
      </c>
      <c r="X128" s="35">
        <f>W128*(1+'Parámetros Proyección'!$E$14)</f>
        <v/>
      </c>
      <c r="Y128" s="35">
        <f>X128*'Parámetros Proyección'!$F$14</f>
        <v/>
      </c>
      <c r="Z128" s="35">
        <f>X128+Y128</f>
        <v/>
      </c>
      <c r="AA128" s="35">
        <f>IF((Z128/AI128&gt;'Parámetros Proyección'!$G$14),0,D128*'Parámetros Proyección'!$G$14/(IF((H128/AI128&gt;'Parámetros Proyección'!$G$11),0,'Parámetros Proyección'!$G$11)+IF((N128/AI128&gt;'Parámetros Proyección'!$G$12),0,'Parámetros Proyección'!$G$12)+IF((T128/AI128&gt;'Parámetros Proyección'!$G$13),0,'Parámetros Proyección'!$G$13)+IF((Z128/AI128&gt;'Parámetros Proyección'!$G$14),0,'Parámetros Proyección'!$G$14)+IF((AF128/AI128&gt;'Parámetros Proyección'!$G$15),0,'Parámetros Proyección'!$G$15)))</f>
        <v/>
      </c>
      <c r="AB128" s="35">
        <f>Z128+AA128</f>
        <v/>
      </c>
      <c r="AC128" s="35">
        <f>AH127</f>
        <v/>
      </c>
      <c r="AD128" s="35">
        <f>AC128*(1+'Parámetros Proyección'!$E$15)</f>
        <v/>
      </c>
      <c r="AE128" s="35">
        <f>AD128*'Parámetros Proyección'!$F$15</f>
        <v/>
      </c>
      <c r="AF128" s="35">
        <f>AD128+AE128</f>
        <v/>
      </c>
      <c r="AG128" s="35">
        <f>IF((AF128/AI128&gt;'Parámetros Proyección'!$G$15),0,D128*'Parámetros Proyección'!$G$15/(IF((H128/AI128&gt;'Parámetros Proyección'!$G$11),0,'Parámetros Proyección'!$G$11)+IF((N128/AI128&gt;'Parámetros Proyección'!$G$12),0,'Parámetros Proyección'!$G$12)+IF((T128/AI128&gt;'Parámetros Proyección'!$G$13),0,'Parámetros Proyección'!$G$13)+IF((Z128/AI128&gt;'Parámetros Proyección'!$G$14),0,'Parámetros Proyección'!$G$14)+IF((AF128/AI128&gt;'Parámetros Proyección'!$G$15),0,'Parámetros Proyección'!$G$15)))</f>
        <v/>
      </c>
      <c r="AH128" s="35">
        <f>AF128+AG128</f>
        <v/>
      </c>
      <c r="AI128" s="35">
        <f>H128+N128+T128+Z128+AF128</f>
        <v/>
      </c>
      <c r="AJ128" s="33">
        <f>AF128/AI128</f>
        <v/>
      </c>
      <c r="AK128">
        <f>IF(AJ128&gt;'Parámetros Proyección'!$B$5,1,0)</f>
        <v/>
      </c>
      <c r="AL128" s="35">
        <f>G128+M128+S128+Y128+AE128</f>
        <v/>
      </c>
      <c r="AM128" s="35">
        <f>AM127+D128</f>
        <v/>
      </c>
      <c r="AN128" s="35">
        <f>AN127+AL128</f>
        <v/>
      </c>
      <c r="AO128" s="35">
        <f>J128+P128+V128+AB128+AH128</f>
        <v/>
      </c>
    </row>
    <row r="129">
      <c r="A129" t="n">
        <v>126</v>
      </c>
      <c r="B129" s="34">
        <f>EDATE(B128,1)</f>
        <v/>
      </c>
      <c r="C129">
        <f>YEAR(B129)</f>
        <v/>
      </c>
      <c r="D129" s="35">
        <f>'Parámetros Proyección'!$B$3*(1+'Parámetros Proyección'!$B$4)^(C129-YEAR('Parámetros Proyección'!$B$6))</f>
        <v/>
      </c>
      <c r="E129" s="35">
        <f>J128</f>
        <v/>
      </c>
      <c r="F129" s="35">
        <f>E129*(1+'Parámetros Proyección'!$E$11)</f>
        <v/>
      </c>
      <c r="G129" s="35">
        <f>F129*'Parámetros Proyección'!$F$11</f>
        <v/>
      </c>
      <c r="H129" s="35">
        <f>F129+G129</f>
        <v/>
      </c>
      <c r="I129" s="35">
        <f>IF((H129/AI129&gt;'Parámetros Proyección'!$G$11),0,D129*'Parámetros Proyección'!$G$11/(IF((H129/AI129&gt;'Parámetros Proyección'!$G$11),0,'Parámetros Proyección'!$G$11)+IF((N129/AI129&gt;'Parámetros Proyección'!$G$12),0,'Parámetros Proyección'!$G$12)+IF((T129/AI129&gt;'Parámetros Proyección'!$G$13),0,'Parámetros Proyección'!$G$13)+IF((Z129/AI129&gt;'Parámetros Proyección'!$G$14),0,'Parámetros Proyección'!$G$14)+IF((AF129/AI129&gt;'Parámetros Proyección'!$G$15),0,'Parámetros Proyección'!$G$15)))</f>
        <v/>
      </c>
      <c r="J129" s="35">
        <f>H129+I129</f>
        <v/>
      </c>
      <c r="K129" s="35">
        <f>P128</f>
        <v/>
      </c>
      <c r="L129" s="35">
        <f>K129*(1+'Parámetros Proyección'!$E$12)</f>
        <v/>
      </c>
      <c r="M129" s="35">
        <f>L129*'Parámetros Proyección'!$F$12</f>
        <v/>
      </c>
      <c r="N129" s="35">
        <f>L129+M129</f>
        <v/>
      </c>
      <c r="O129" s="35">
        <f>IF((N129/AI129&gt;'Parámetros Proyección'!$G$12),0,D129*'Parámetros Proyección'!$G$12/(IF((H129/AI129&gt;'Parámetros Proyección'!$G$11),0,'Parámetros Proyección'!$G$11)+IF((N129/AI129&gt;'Parámetros Proyección'!$G$12),0,'Parámetros Proyección'!$G$12)+IF((T129/AI129&gt;'Parámetros Proyección'!$G$13),0,'Parámetros Proyección'!$G$13)+IF((Z129/AI129&gt;'Parámetros Proyección'!$G$14),0,'Parámetros Proyección'!$G$14)+IF((AF129/AI129&gt;'Parámetros Proyección'!$G$15),0,'Parámetros Proyección'!$G$15)))</f>
        <v/>
      </c>
      <c r="P129" s="35">
        <f>N129+O129</f>
        <v/>
      </c>
      <c r="Q129" s="35">
        <f>V128</f>
        <v/>
      </c>
      <c r="R129" s="35">
        <f>Q129*(1+'Parámetros Proyección'!$E$13)</f>
        <v/>
      </c>
      <c r="S129" s="35">
        <f>R129*'Parámetros Proyección'!$F$13</f>
        <v/>
      </c>
      <c r="T129" s="35">
        <f>R129+S129</f>
        <v/>
      </c>
      <c r="U129" s="35">
        <f>IF((T129/AI129&gt;'Parámetros Proyección'!$G$13),0,D129*'Parámetros Proyección'!$G$13/(IF((H129/AI129&gt;'Parámetros Proyección'!$G$11),0,'Parámetros Proyección'!$G$11)+IF((N129/AI129&gt;'Parámetros Proyección'!$G$12),0,'Parámetros Proyección'!$G$12)+IF((T129/AI129&gt;'Parámetros Proyección'!$G$13),0,'Parámetros Proyección'!$G$13)+IF((Z129/AI129&gt;'Parámetros Proyección'!$G$14),0,'Parámetros Proyección'!$G$14)+IF((AF129/AI129&gt;'Parámetros Proyección'!$G$15),0,'Parámetros Proyección'!$G$15)))</f>
        <v/>
      </c>
      <c r="V129" s="35">
        <f>T129+U129</f>
        <v/>
      </c>
      <c r="W129" s="35">
        <f>AB128</f>
        <v/>
      </c>
      <c r="X129" s="35">
        <f>W129*(1+'Parámetros Proyección'!$E$14)</f>
        <v/>
      </c>
      <c r="Y129" s="35">
        <f>X129*'Parámetros Proyección'!$F$14</f>
        <v/>
      </c>
      <c r="Z129" s="35">
        <f>X129+Y129</f>
        <v/>
      </c>
      <c r="AA129" s="35">
        <f>IF((Z129/AI129&gt;'Parámetros Proyección'!$G$14),0,D129*'Parámetros Proyección'!$G$14/(IF((H129/AI129&gt;'Parámetros Proyección'!$G$11),0,'Parámetros Proyección'!$G$11)+IF((N129/AI129&gt;'Parámetros Proyección'!$G$12),0,'Parámetros Proyección'!$G$12)+IF((T129/AI129&gt;'Parámetros Proyección'!$G$13),0,'Parámetros Proyección'!$G$13)+IF((Z129/AI129&gt;'Parámetros Proyección'!$G$14),0,'Parámetros Proyección'!$G$14)+IF((AF129/AI129&gt;'Parámetros Proyección'!$G$15),0,'Parámetros Proyección'!$G$15)))</f>
        <v/>
      </c>
      <c r="AB129" s="35">
        <f>Z129+AA129</f>
        <v/>
      </c>
      <c r="AC129" s="35">
        <f>AH128</f>
        <v/>
      </c>
      <c r="AD129" s="35">
        <f>AC129*(1+'Parámetros Proyección'!$E$15)</f>
        <v/>
      </c>
      <c r="AE129" s="35">
        <f>AD129*'Parámetros Proyección'!$F$15</f>
        <v/>
      </c>
      <c r="AF129" s="35">
        <f>AD129+AE129</f>
        <v/>
      </c>
      <c r="AG129" s="35">
        <f>IF((AF129/AI129&gt;'Parámetros Proyección'!$G$15),0,D129*'Parámetros Proyección'!$G$15/(IF((H129/AI129&gt;'Parámetros Proyección'!$G$11),0,'Parámetros Proyección'!$G$11)+IF((N129/AI129&gt;'Parámetros Proyección'!$G$12),0,'Parámetros Proyección'!$G$12)+IF((T129/AI129&gt;'Parámetros Proyección'!$G$13),0,'Parámetros Proyección'!$G$13)+IF((Z129/AI129&gt;'Parámetros Proyección'!$G$14),0,'Parámetros Proyección'!$G$14)+IF((AF129/AI129&gt;'Parámetros Proyección'!$G$15),0,'Parámetros Proyección'!$G$15)))</f>
        <v/>
      </c>
      <c r="AH129" s="35">
        <f>AF129+AG129</f>
        <v/>
      </c>
      <c r="AI129" s="35">
        <f>H129+N129+T129+Z129+AF129</f>
        <v/>
      </c>
      <c r="AJ129" s="33">
        <f>AF129/AI129</f>
        <v/>
      </c>
      <c r="AK129">
        <f>IF(AJ129&gt;'Parámetros Proyección'!$B$5,1,0)</f>
        <v/>
      </c>
      <c r="AL129" s="35">
        <f>G129+M129+S129+Y129+AE129</f>
        <v/>
      </c>
      <c r="AM129" s="35">
        <f>AM128+D129</f>
        <v/>
      </c>
      <c r="AN129" s="35">
        <f>AN128+AL129</f>
        <v/>
      </c>
      <c r="AO129" s="35">
        <f>J129+P129+V129+AB129+AH129</f>
        <v/>
      </c>
    </row>
    <row r="130">
      <c r="A130" t="n">
        <v>127</v>
      </c>
      <c r="B130" s="34">
        <f>EDATE(B129,1)</f>
        <v/>
      </c>
      <c r="C130">
        <f>YEAR(B130)</f>
        <v/>
      </c>
      <c r="D130" s="35">
        <f>'Parámetros Proyección'!$B$3*(1+'Parámetros Proyección'!$B$4)^(C130-YEAR('Parámetros Proyección'!$B$6))</f>
        <v/>
      </c>
      <c r="E130" s="35">
        <f>J129</f>
        <v/>
      </c>
      <c r="F130" s="35">
        <f>E130*(1+'Parámetros Proyección'!$E$11)</f>
        <v/>
      </c>
      <c r="G130" s="35">
        <f>F130*'Parámetros Proyección'!$F$11</f>
        <v/>
      </c>
      <c r="H130" s="35">
        <f>F130+G130</f>
        <v/>
      </c>
      <c r="I130" s="35">
        <f>IF((H130/AI130&gt;'Parámetros Proyección'!$G$11),0,D130*'Parámetros Proyección'!$G$11/(IF((H130/AI130&gt;'Parámetros Proyección'!$G$11),0,'Parámetros Proyección'!$G$11)+IF((N130/AI130&gt;'Parámetros Proyección'!$G$12),0,'Parámetros Proyección'!$G$12)+IF((T130/AI130&gt;'Parámetros Proyección'!$G$13),0,'Parámetros Proyección'!$G$13)+IF((Z130/AI130&gt;'Parámetros Proyección'!$G$14),0,'Parámetros Proyección'!$G$14)+IF((AF130/AI130&gt;'Parámetros Proyección'!$G$15),0,'Parámetros Proyección'!$G$15)))</f>
        <v/>
      </c>
      <c r="J130" s="35">
        <f>H130+I130</f>
        <v/>
      </c>
      <c r="K130" s="35">
        <f>P129</f>
        <v/>
      </c>
      <c r="L130" s="35">
        <f>K130*(1+'Parámetros Proyección'!$E$12)</f>
        <v/>
      </c>
      <c r="M130" s="35">
        <f>L130*'Parámetros Proyección'!$F$12</f>
        <v/>
      </c>
      <c r="N130" s="35">
        <f>L130+M130</f>
        <v/>
      </c>
      <c r="O130" s="35">
        <f>IF((N130/AI130&gt;'Parámetros Proyección'!$G$12),0,D130*'Parámetros Proyección'!$G$12/(IF((H130/AI130&gt;'Parámetros Proyección'!$G$11),0,'Parámetros Proyección'!$G$11)+IF((N130/AI130&gt;'Parámetros Proyección'!$G$12),0,'Parámetros Proyección'!$G$12)+IF((T130/AI130&gt;'Parámetros Proyección'!$G$13),0,'Parámetros Proyección'!$G$13)+IF((Z130/AI130&gt;'Parámetros Proyección'!$G$14),0,'Parámetros Proyección'!$G$14)+IF((AF130/AI130&gt;'Parámetros Proyección'!$G$15),0,'Parámetros Proyección'!$G$15)))</f>
        <v/>
      </c>
      <c r="P130" s="35">
        <f>N130+O130</f>
        <v/>
      </c>
      <c r="Q130" s="35">
        <f>V129</f>
        <v/>
      </c>
      <c r="R130" s="35">
        <f>Q130*(1+'Parámetros Proyección'!$E$13)</f>
        <v/>
      </c>
      <c r="S130" s="35">
        <f>R130*'Parámetros Proyección'!$F$13</f>
        <v/>
      </c>
      <c r="T130" s="35">
        <f>R130+S130</f>
        <v/>
      </c>
      <c r="U130" s="35">
        <f>IF((T130/AI130&gt;'Parámetros Proyección'!$G$13),0,D130*'Parámetros Proyección'!$G$13/(IF((H130/AI130&gt;'Parámetros Proyección'!$G$11),0,'Parámetros Proyección'!$G$11)+IF((N130/AI130&gt;'Parámetros Proyección'!$G$12),0,'Parámetros Proyección'!$G$12)+IF((T130/AI130&gt;'Parámetros Proyección'!$G$13),0,'Parámetros Proyección'!$G$13)+IF((Z130/AI130&gt;'Parámetros Proyección'!$G$14),0,'Parámetros Proyección'!$G$14)+IF((AF130/AI130&gt;'Parámetros Proyección'!$G$15),0,'Parámetros Proyección'!$G$15)))</f>
        <v/>
      </c>
      <c r="V130" s="35">
        <f>T130+U130</f>
        <v/>
      </c>
      <c r="W130" s="35">
        <f>AB129</f>
        <v/>
      </c>
      <c r="X130" s="35">
        <f>W130*(1+'Parámetros Proyección'!$E$14)</f>
        <v/>
      </c>
      <c r="Y130" s="35">
        <f>X130*'Parámetros Proyección'!$F$14</f>
        <v/>
      </c>
      <c r="Z130" s="35">
        <f>X130+Y130</f>
        <v/>
      </c>
      <c r="AA130" s="35">
        <f>IF((Z130/AI130&gt;'Parámetros Proyección'!$G$14),0,D130*'Parámetros Proyección'!$G$14/(IF((H130/AI130&gt;'Parámetros Proyección'!$G$11),0,'Parámetros Proyección'!$G$11)+IF((N130/AI130&gt;'Parámetros Proyección'!$G$12),0,'Parámetros Proyección'!$G$12)+IF((T130/AI130&gt;'Parámetros Proyección'!$G$13),0,'Parámetros Proyección'!$G$13)+IF((Z130/AI130&gt;'Parámetros Proyección'!$G$14),0,'Parámetros Proyección'!$G$14)+IF((AF130/AI130&gt;'Parámetros Proyección'!$G$15),0,'Parámetros Proyección'!$G$15)))</f>
        <v/>
      </c>
      <c r="AB130" s="35">
        <f>Z130+AA130</f>
        <v/>
      </c>
      <c r="AC130" s="35">
        <f>AH129</f>
        <v/>
      </c>
      <c r="AD130" s="35">
        <f>AC130*(1+'Parámetros Proyección'!$E$15)</f>
        <v/>
      </c>
      <c r="AE130" s="35">
        <f>AD130*'Parámetros Proyección'!$F$15</f>
        <v/>
      </c>
      <c r="AF130" s="35">
        <f>AD130+AE130</f>
        <v/>
      </c>
      <c r="AG130" s="35">
        <f>IF((AF130/AI130&gt;'Parámetros Proyección'!$G$15),0,D130*'Parámetros Proyección'!$G$15/(IF((H130/AI130&gt;'Parámetros Proyección'!$G$11),0,'Parámetros Proyección'!$G$11)+IF((N130/AI130&gt;'Parámetros Proyección'!$G$12),0,'Parámetros Proyección'!$G$12)+IF((T130/AI130&gt;'Parámetros Proyección'!$G$13),0,'Parámetros Proyección'!$G$13)+IF((Z130/AI130&gt;'Parámetros Proyección'!$G$14),0,'Parámetros Proyección'!$G$14)+IF((AF130/AI130&gt;'Parámetros Proyección'!$G$15),0,'Parámetros Proyección'!$G$15)))</f>
        <v/>
      </c>
      <c r="AH130" s="35">
        <f>AF130+AG130</f>
        <v/>
      </c>
      <c r="AI130" s="35">
        <f>H130+N130+T130+Z130+AF130</f>
        <v/>
      </c>
      <c r="AJ130" s="33">
        <f>AF130/AI130</f>
        <v/>
      </c>
      <c r="AK130">
        <f>IF(AJ130&gt;'Parámetros Proyección'!$B$5,1,0)</f>
        <v/>
      </c>
      <c r="AL130" s="35">
        <f>G130+M130+S130+Y130+AE130</f>
        <v/>
      </c>
      <c r="AM130" s="35">
        <f>AM129+D130</f>
        <v/>
      </c>
      <c r="AN130" s="35">
        <f>AN129+AL130</f>
        <v/>
      </c>
      <c r="AO130" s="35">
        <f>J130+P130+V130+AB130+AH130</f>
        <v/>
      </c>
    </row>
    <row r="131">
      <c r="A131" t="n">
        <v>128</v>
      </c>
      <c r="B131" s="34">
        <f>EDATE(B130,1)</f>
        <v/>
      </c>
      <c r="C131">
        <f>YEAR(B131)</f>
        <v/>
      </c>
      <c r="D131" s="35">
        <f>'Parámetros Proyección'!$B$3*(1+'Parámetros Proyección'!$B$4)^(C131-YEAR('Parámetros Proyección'!$B$6))</f>
        <v/>
      </c>
      <c r="E131" s="35">
        <f>J130</f>
        <v/>
      </c>
      <c r="F131" s="35">
        <f>E131*(1+'Parámetros Proyección'!$E$11)</f>
        <v/>
      </c>
      <c r="G131" s="35">
        <f>F131*'Parámetros Proyección'!$F$11</f>
        <v/>
      </c>
      <c r="H131" s="35">
        <f>F131+G131</f>
        <v/>
      </c>
      <c r="I131" s="35">
        <f>IF((H131/AI131&gt;'Parámetros Proyección'!$G$11),0,D131*'Parámetros Proyección'!$G$11/(IF((H131/AI131&gt;'Parámetros Proyección'!$G$11),0,'Parámetros Proyección'!$G$11)+IF((N131/AI131&gt;'Parámetros Proyección'!$G$12),0,'Parámetros Proyección'!$G$12)+IF((T131/AI131&gt;'Parámetros Proyección'!$G$13),0,'Parámetros Proyección'!$G$13)+IF((Z131/AI131&gt;'Parámetros Proyección'!$G$14),0,'Parámetros Proyección'!$G$14)+IF((AF131/AI131&gt;'Parámetros Proyección'!$G$15),0,'Parámetros Proyección'!$G$15)))</f>
        <v/>
      </c>
      <c r="J131" s="35">
        <f>H131+I131</f>
        <v/>
      </c>
      <c r="K131" s="35">
        <f>P130</f>
        <v/>
      </c>
      <c r="L131" s="35">
        <f>K131*(1+'Parámetros Proyección'!$E$12)</f>
        <v/>
      </c>
      <c r="M131" s="35">
        <f>L131*'Parámetros Proyección'!$F$12</f>
        <v/>
      </c>
      <c r="N131" s="35">
        <f>L131+M131</f>
        <v/>
      </c>
      <c r="O131" s="35">
        <f>IF((N131/AI131&gt;'Parámetros Proyección'!$G$12),0,D131*'Parámetros Proyección'!$G$12/(IF((H131/AI131&gt;'Parámetros Proyección'!$G$11),0,'Parámetros Proyección'!$G$11)+IF((N131/AI131&gt;'Parámetros Proyección'!$G$12),0,'Parámetros Proyección'!$G$12)+IF((T131/AI131&gt;'Parámetros Proyección'!$G$13),0,'Parámetros Proyección'!$G$13)+IF((Z131/AI131&gt;'Parámetros Proyección'!$G$14),0,'Parámetros Proyección'!$G$14)+IF((AF131/AI131&gt;'Parámetros Proyección'!$G$15),0,'Parámetros Proyección'!$G$15)))</f>
        <v/>
      </c>
      <c r="P131" s="35">
        <f>N131+O131</f>
        <v/>
      </c>
      <c r="Q131" s="35">
        <f>V130</f>
        <v/>
      </c>
      <c r="R131" s="35">
        <f>Q131*(1+'Parámetros Proyección'!$E$13)</f>
        <v/>
      </c>
      <c r="S131" s="35">
        <f>R131*'Parámetros Proyección'!$F$13</f>
        <v/>
      </c>
      <c r="T131" s="35">
        <f>R131+S131</f>
        <v/>
      </c>
      <c r="U131" s="35">
        <f>IF((T131/AI131&gt;'Parámetros Proyección'!$G$13),0,D131*'Parámetros Proyección'!$G$13/(IF((H131/AI131&gt;'Parámetros Proyección'!$G$11),0,'Parámetros Proyección'!$G$11)+IF((N131/AI131&gt;'Parámetros Proyección'!$G$12),0,'Parámetros Proyección'!$G$12)+IF((T131/AI131&gt;'Parámetros Proyección'!$G$13),0,'Parámetros Proyección'!$G$13)+IF((Z131/AI131&gt;'Parámetros Proyección'!$G$14),0,'Parámetros Proyección'!$G$14)+IF((AF131/AI131&gt;'Parámetros Proyección'!$G$15),0,'Parámetros Proyección'!$G$15)))</f>
        <v/>
      </c>
      <c r="V131" s="35">
        <f>T131+U131</f>
        <v/>
      </c>
      <c r="W131" s="35">
        <f>AB130</f>
        <v/>
      </c>
      <c r="X131" s="35">
        <f>W131*(1+'Parámetros Proyección'!$E$14)</f>
        <v/>
      </c>
      <c r="Y131" s="35">
        <f>X131*'Parámetros Proyección'!$F$14</f>
        <v/>
      </c>
      <c r="Z131" s="35">
        <f>X131+Y131</f>
        <v/>
      </c>
      <c r="AA131" s="35">
        <f>IF((Z131/AI131&gt;'Parámetros Proyección'!$G$14),0,D131*'Parámetros Proyección'!$G$14/(IF((H131/AI131&gt;'Parámetros Proyección'!$G$11),0,'Parámetros Proyección'!$G$11)+IF((N131/AI131&gt;'Parámetros Proyección'!$G$12),0,'Parámetros Proyección'!$G$12)+IF((T131/AI131&gt;'Parámetros Proyección'!$G$13),0,'Parámetros Proyección'!$G$13)+IF((Z131/AI131&gt;'Parámetros Proyección'!$G$14),0,'Parámetros Proyección'!$G$14)+IF((AF131/AI131&gt;'Parámetros Proyección'!$G$15),0,'Parámetros Proyección'!$G$15)))</f>
        <v/>
      </c>
      <c r="AB131" s="35">
        <f>Z131+AA131</f>
        <v/>
      </c>
      <c r="AC131" s="35">
        <f>AH130</f>
        <v/>
      </c>
      <c r="AD131" s="35">
        <f>AC131*(1+'Parámetros Proyección'!$E$15)</f>
        <v/>
      </c>
      <c r="AE131" s="35">
        <f>AD131*'Parámetros Proyección'!$F$15</f>
        <v/>
      </c>
      <c r="AF131" s="35">
        <f>AD131+AE131</f>
        <v/>
      </c>
      <c r="AG131" s="35">
        <f>IF((AF131/AI131&gt;'Parámetros Proyección'!$G$15),0,D131*'Parámetros Proyección'!$G$15/(IF((H131/AI131&gt;'Parámetros Proyección'!$G$11),0,'Parámetros Proyección'!$G$11)+IF((N131/AI131&gt;'Parámetros Proyección'!$G$12),0,'Parámetros Proyección'!$G$12)+IF((T131/AI131&gt;'Parámetros Proyección'!$G$13),0,'Parámetros Proyección'!$G$13)+IF((Z131/AI131&gt;'Parámetros Proyección'!$G$14),0,'Parámetros Proyección'!$G$14)+IF((AF131/AI131&gt;'Parámetros Proyección'!$G$15),0,'Parámetros Proyección'!$G$15)))</f>
        <v/>
      </c>
      <c r="AH131" s="35">
        <f>AF131+AG131</f>
        <v/>
      </c>
      <c r="AI131" s="35">
        <f>H131+N131+T131+Z131+AF131</f>
        <v/>
      </c>
      <c r="AJ131" s="33">
        <f>AF131/AI131</f>
        <v/>
      </c>
      <c r="AK131">
        <f>IF(AJ131&gt;'Parámetros Proyección'!$B$5,1,0)</f>
        <v/>
      </c>
      <c r="AL131" s="35">
        <f>G131+M131+S131+Y131+AE131</f>
        <v/>
      </c>
      <c r="AM131" s="35">
        <f>AM130+D131</f>
        <v/>
      </c>
      <c r="AN131" s="35">
        <f>AN130+AL131</f>
        <v/>
      </c>
      <c r="AO131" s="35">
        <f>J131+P131+V131+AB131+AH131</f>
        <v/>
      </c>
    </row>
    <row r="132">
      <c r="A132" t="n">
        <v>129</v>
      </c>
      <c r="B132" s="34">
        <f>EDATE(B131,1)</f>
        <v/>
      </c>
      <c r="C132">
        <f>YEAR(B132)</f>
        <v/>
      </c>
      <c r="D132" s="35">
        <f>'Parámetros Proyección'!$B$3*(1+'Parámetros Proyección'!$B$4)^(C132-YEAR('Parámetros Proyección'!$B$6))</f>
        <v/>
      </c>
      <c r="E132" s="35">
        <f>J131</f>
        <v/>
      </c>
      <c r="F132" s="35">
        <f>E132*(1+'Parámetros Proyección'!$E$11)</f>
        <v/>
      </c>
      <c r="G132" s="35">
        <f>F132*'Parámetros Proyección'!$F$11</f>
        <v/>
      </c>
      <c r="H132" s="35">
        <f>F132+G132</f>
        <v/>
      </c>
      <c r="I132" s="35">
        <f>IF((H132/AI132&gt;'Parámetros Proyección'!$G$11),0,D132*'Parámetros Proyección'!$G$11/(IF((H132/AI132&gt;'Parámetros Proyección'!$G$11),0,'Parámetros Proyección'!$G$11)+IF((N132/AI132&gt;'Parámetros Proyección'!$G$12),0,'Parámetros Proyección'!$G$12)+IF((T132/AI132&gt;'Parámetros Proyección'!$G$13),0,'Parámetros Proyección'!$G$13)+IF((Z132/AI132&gt;'Parámetros Proyección'!$G$14),0,'Parámetros Proyección'!$G$14)+IF((AF132/AI132&gt;'Parámetros Proyección'!$G$15),0,'Parámetros Proyección'!$G$15)))</f>
        <v/>
      </c>
      <c r="J132" s="35">
        <f>H132+I132</f>
        <v/>
      </c>
      <c r="K132" s="35">
        <f>P131</f>
        <v/>
      </c>
      <c r="L132" s="35">
        <f>K132*(1+'Parámetros Proyección'!$E$12)</f>
        <v/>
      </c>
      <c r="M132" s="35">
        <f>L132*'Parámetros Proyección'!$F$12</f>
        <v/>
      </c>
      <c r="N132" s="35">
        <f>L132+M132</f>
        <v/>
      </c>
      <c r="O132" s="35">
        <f>IF((N132/AI132&gt;'Parámetros Proyección'!$G$12),0,D132*'Parámetros Proyección'!$G$12/(IF((H132/AI132&gt;'Parámetros Proyección'!$G$11),0,'Parámetros Proyección'!$G$11)+IF((N132/AI132&gt;'Parámetros Proyección'!$G$12),0,'Parámetros Proyección'!$G$12)+IF((T132/AI132&gt;'Parámetros Proyección'!$G$13),0,'Parámetros Proyección'!$G$13)+IF((Z132/AI132&gt;'Parámetros Proyección'!$G$14),0,'Parámetros Proyección'!$G$14)+IF((AF132/AI132&gt;'Parámetros Proyección'!$G$15),0,'Parámetros Proyección'!$G$15)))</f>
        <v/>
      </c>
      <c r="P132" s="35">
        <f>N132+O132</f>
        <v/>
      </c>
      <c r="Q132" s="35">
        <f>V131</f>
        <v/>
      </c>
      <c r="R132" s="35">
        <f>Q132*(1+'Parámetros Proyección'!$E$13)</f>
        <v/>
      </c>
      <c r="S132" s="35">
        <f>R132*'Parámetros Proyección'!$F$13</f>
        <v/>
      </c>
      <c r="T132" s="35">
        <f>R132+S132</f>
        <v/>
      </c>
      <c r="U132" s="35">
        <f>IF((T132/AI132&gt;'Parámetros Proyección'!$G$13),0,D132*'Parámetros Proyección'!$G$13/(IF((H132/AI132&gt;'Parámetros Proyección'!$G$11),0,'Parámetros Proyección'!$G$11)+IF((N132/AI132&gt;'Parámetros Proyección'!$G$12),0,'Parámetros Proyección'!$G$12)+IF((T132/AI132&gt;'Parámetros Proyección'!$G$13),0,'Parámetros Proyección'!$G$13)+IF((Z132/AI132&gt;'Parámetros Proyección'!$G$14),0,'Parámetros Proyección'!$G$14)+IF((AF132/AI132&gt;'Parámetros Proyección'!$G$15),0,'Parámetros Proyección'!$G$15)))</f>
        <v/>
      </c>
      <c r="V132" s="35">
        <f>T132+U132</f>
        <v/>
      </c>
      <c r="W132" s="35">
        <f>AB131</f>
        <v/>
      </c>
      <c r="X132" s="35">
        <f>W132*(1+'Parámetros Proyección'!$E$14)</f>
        <v/>
      </c>
      <c r="Y132" s="35">
        <f>X132*'Parámetros Proyección'!$F$14</f>
        <v/>
      </c>
      <c r="Z132" s="35">
        <f>X132+Y132</f>
        <v/>
      </c>
      <c r="AA132" s="35">
        <f>IF((Z132/AI132&gt;'Parámetros Proyección'!$G$14),0,D132*'Parámetros Proyección'!$G$14/(IF((H132/AI132&gt;'Parámetros Proyección'!$G$11),0,'Parámetros Proyección'!$G$11)+IF((N132/AI132&gt;'Parámetros Proyección'!$G$12),0,'Parámetros Proyección'!$G$12)+IF((T132/AI132&gt;'Parámetros Proyección'!$G$13),0,'Parámetros Proyección'!$G$13)+IF((Z132/AI132&gt;'Parámetros Proyección'!$G$14),0,'Parámetros Proyección'!$G$14)+IF((AF132/AI132&gt;'Parámetros Proyección'!$G$15),0,'Parámetros Proyección'!$G$15)))</f>
        <v/>
      </c>
      <c r="AB132" s="35">
        <f>Z132+AA132</f>
        <v/>
      </c>
      <c r="AC132" s="35">
        <f>AH131</f>
        <v/>
      </c>
      <c r="AD132" s="35">
        <f>AC132*(1+'Parámetros Proyección'!$E$15)</f>
        <v/>
      </c>
      <c r="AE132" s="35">
        <f>AD132*'Parámetros Proyección'!$F$15</f>
        <v/>
      </c>
      <c r="AF132" s="35">
        <f>AD132+AE132</f>
        <v/>
      </c>
      <c r="AG132" s="35">
        <f>IF((AF132/AI132&gt;'Parámetros Proyección'!$G$15),0,D132*'Parámetros Proyección'!$G$15/(IF((H132/AI132&gt;'Parámetros Proyección'!$G$11),0,'Parámetros Proyección'!$G$11)+IF((N132/AI132&gt;'Parámetros Proyección'!$G$12),0,'Parámetros Proyección'!$G$12)+IF((T132/AI132&gt;'Parámetros Proyección'!$G$13),0,'Parámetros Proyección'!$G$13)+IF((Z132/AI132&gt;'Parámetros Proyección'!$G$14),0,'Parámetros Proyección'!$G$14)+IF((AF132/AI132&gt;'Parámetros Proyección'!$G$15),0,'Parámetros Proyección'!$G$15)))</f>
        <v/>
      </c>
      <c r="AH132" s="35">
        <f>AF132+AG132</f>
        <v/>
      </c>
      <c r="AI132" s="35">
        <f>H132+N132+T132+Z132+AF132</f>
        <v/>
      </c>
      <c r="AJ132" s="33">
        <f>AF132/AI132</f>
        <v/>
      </c>
      <c r="AK132">
        <f>IF(AJ132&gt;'Parámetros Proyección'!$B$5,1,0)</f>
        <v/>
      </c>
      <c r="AL132" s="35">
        <f>G132+M132+S132+Y132+AE132</f>
        <v/>
      </c>
      <c r="AM132" s="35">
        <f>AM131+D132</f>
        <v/>
      </c>
      <c r="AN132" s="35">
        <f>AN131+AL132</f>
        <v/>
      </c>
      <c r="AO132" s="35">
        <f>J132+P132+V132+AB132+AH132</f>
        <v/>
      </c>
    </row>
    <row r="133">
      <c r="A133" t="n">
        <v>130</v>
      </c>
      <c r="B133" s="34">
        <f>EDATE(B132,1)</f>
        <v/>
      </c>
      <c r="C133">
        <f>YEAR(B133)</f>
        <v/>
      </c>
      <c r="D133" s="35">
        <f>'Parámetros Proyección'!$B$3*(1+'Parámetros Proyección'!$B$4)^(C133-YEAR('Parámetros Proyección'!$B$6))</f>
        <v/>
      </c>
      <c r="E133" s="35">
        <f>J132</f>
        <v/>
      </c>
      <c r="F133" s="35">
        <f>E133*(1+'Parámetros Proyección'!$E$11)</f>
        <v/>
      </c>
      <c r="G133" s="35">
        <f>F133*'Parámetros Proyección'!$F$11</f>
        <v/>
      </c>
      <c r="H133" s="35">
        <f>F133+G133</f>
        <v/>
      </c>
      <c r="I133" s="35">
        <f>IF((H133/AI133&gt;'Parámetros Proyección'!$G$11),0,D133*'Parámetros Proyección'!$G$11/(IF((H133/AI133&gt;'Parámetros Proyección'!$G$11),0,'Parámetros Proyección'!$G$11)+IF((N133/AI133&gt;'Parámetros Proyección'!$G$12),0,'Parámetros Proyección'!$G$12)+IF((T133/AI133&gt;'Parámetros Proyección'!$G$13),0,'Parámetros Proyección'!$G$13)+IF((Z133/AI133&gt;'Parámetros Proyección'!$G$14),0,'Parámetros Proyección'!$G$14)+IF((AF133/AI133&gt;'Parámetros Proyección'!$G$15),0,'Parámetros Proyección'!$G$15)))</f>
        <v/>
      </c>
      <c r="J133" s="35">
        <f>H133+I133</f>
        <v/>
      </c>
      <c r="K133" s="35">
        <f>P132</f>
        <v/>
      </c>
      <c r="L133" s="35">
        <f>K133*(1+'Parámetros Proyección'!$E$12)</f>
        <v/>
      </c>
      <c r="M133" s="35">
        <f>L133*'Parámetros Proyección'!$F$12</f>
        <v/>
      </c>
      <c r="N133" s="35">
        <f>L133+M133</f>
        <v/>
      </c>
      <c r="O133" s="35">
        <f>IF((N133/AI133&gt;'Parámetros Proyección'!$G$12),0,D133*'Parámetros Proyección'!$G$12/(IF((H133/AI133&gt;'Parámetros Proyección'!$G$11),0,'Parámetros Proyección'!$G$11)+IF((N133/AI133&gt;'Parámetros Proyección'!$G$12),0,'Parámetros Proyección'!$G$12)+IF((T133/AI133&gt;'Parámetros Proyección'!$G$13),0,'Parámetros Proyección'!$G$13)+IF((Z133/AI133&gt;'Parámetros Proyección'!$G$14),0,'Parámetros Proyección'!$G$14)+IF((AF133/AI133&gt;'Parámetros Proyección'!$G$15),0,'Parámetros Proyección'!$G$15)))</f>
        <v/>
      </c>
      <c r="P133" s="35">
        <f>N133+O133</f>
        <v/>
      </c>
      <c r="Q133" s="35">
        <f>V132</f>
        <v/>
      </c>
      <c r="R133" s="35">
        <f>Q133*(1+'Parámetros Proyección'!$E$13)</f>
        <v/>
      </c>
      <c r="S133" s="35">
        <f>R133*'Parámetros Proyección'!$F$13</f>
        <v/>
      </c>
      <c r="T133" s="35">
        <f>R133+S133</f>
        <v/>
      </c>
      <c r="U133" s="35">
        <f>IF((T133/AI133&gt;'Parámetros Proyección'!$G$13),0,D133*'Parámetros Proyección'!$G$13/(IF((H133/AI133&gt;'Parámetros Proyección'!$G$11),0,'Parámetros Proyección'!$G$11)+IF((N133/AI133&gt;'Parámetros Proyección'!$G$12),0,'Parámetros Proyección'!$G$12)+IF((T133/AI133&gt;'Parámetros Proyección'!$G$13),0,'Parámetros Proyección'!$G$13)+IF((Z133/AI133&gt;'Parámetros Proyección'!$G$14),0,'Parámetros Proyección'!$G$14)+IF((AF133/AI133&gt;'Parámetros Proyección'!$G$15),0,'Parámetros Proyección'!$G$15)))</f>
        <v/>
      </c>
      <c r="V133" s="35">
        <f>T133+U133</f>
        <v/>
      </c>
      <c r="W133" s="35">
        <f>AB132</f>
        <v/>
      </c>
      <c r="X133" s="35">
        <f>W133*(1+'Parámetros Proyección'!$E$14)</f>
        <v/>
      </c>
      <c r="Y133" s="35">
        <f>X133*'Parámetros Proyección'!$F$14</f>
        <v/>
      </c>
      <c r="Z133" s="35">
        <f>X133+Y133</f>
        <v/>
      </c>
      <c r="AA133" s="35">
        <f>IF((Z133/AI133&gt;'Parámetros Proyección'!$G$14),0,D133*'Parámetros Proyección'!$G$14/(IF((H133/AI133&gt;'Parámetros Proyección'!$G$11),0,'Parámetros Proyección'!$G$11)+IF((N133/AI133&gt;'Parámetros Proyección'!$G$12),0,'Parámetros Proyección'!$G$12)+IF((T133/AI133&gt;'Parámetros Proyección'!$G$13),0,'Parámetros Proyección'!$G$13)+IF((Z133/AI133&gt;'Parámetros Proyección'!$G$14),0,'Parámetros Proyección'!$G$14)+IF((AF133/AI133&gt;'Parámetros Proyección'!$G$15),0,'Parámetros Proyección'!$G$15)))</f>
        <v/>
      </c>
      <c r="AB133" s="35">
        <f>Z133+AA133</f>
        <v/>
      </c>
      <c r="AC133" s="35">
        <f>AH132</f>
        <v/>
      </c>
      <c r="AD133" s="35">
        <f>AC133*(1+'Parámetros Proyección'!$E$15)</f>
        <v/>
      </c>
      <c r="AE133" s="35">
        <f>AD133*'Parámetros Proyección'!$F$15</f>
        <v/>
      </c>
      <c r="AF133" s="35">
        <f>AD133+AE133</f>
        <v/>
      </c>
      <c r="AG133" s="35">
        <f>IF((AF133/AI133&gt;'Parámetros Proyección'!$G$15),0,D133*'Parámetros Proyección'!$G$15/(IF((H133/AI133&gt;'Parámetros Proyección'!$G$11),0,'Parámetros Proyección'!$G$11)+IF((N133/AI133&gt;'Parámetros Proyección'!$G$12),0,'Parámetros Proyección'!$G$12)+IF((T133/AI133&gt;'Parámetros Proyección'!$G$13),0,'Parámetros Proyección'!$G$13)+IF((Z133/AI133&gt;'Parámetros Proyección'!$G$14),0,'Parámetros Proyección'!$G$14)+IF((AF133/AI133&gt;'Parámetros Proyección'!$G$15),0,'Parámetros Proyección'!$G$15)))</f>
        <v/>
      </c>
      <c r="AH133" s="35">
        <f>AF133+AG133</f>
        <v/>
      </c>
      <c r="AI133" s="35">
        <f>H133+N133+T133+Z133+AF133</f>
        <v/>
      </c>
      <c r="AJ133" s="33">
        <f>AF133/AI133</f>
        <v/>
      </c>
      <c r="AK133">
        <f>IF(AJ133&gt;'Parámetros Proyección'!$B$5,1,0)</f>
        <v/>
      </c>
      <c r="AL133" s="35">
        <f>G133+M133+S133+Y133+AE133</f>
        <v/>
      </c>
      <c r="AM133" s="35">
        <f>AM132+D133</f>
        <v/>
      </c>
      <c r="AN133" s="35">
        <f>AN132+AL133</f>
        <v/>
      </c>
      <c r="AO133" s="35">
        <f>J133+P133+V133+AB133+AH133</f>
        <v/>
      </c>
    </row>
    <row r="134">
      <c r="A134" t="n">
        <v>131</v>
      </c>
      <c r="B134" s="34">
        <f>EDATE(B133,1)</f>
        <v/>
      </c>
      <c r="C134">
        <f>YEAR(B134)</f>
        <v/>
      </c>
      <c r="D134" s="35">
        <f>'Parámetros Proyección'!$B$3*(1+'Parámetros Proyección'!$B$4)^(C134-YEAR('Parámetros Proyección'!$B$6))</f>
        <v/>
      </c>
      <c r="E134" s="35">
        <f>J133</f>
        <v/>
      </c>
      <c r="F134" s="35">
        <f>E134*(1+'Parámetros Proyección'!$E$11)</f>
        <v/>
      </c>
      <c r="G134" s="35">
        <f>F134*'Parámetros Proyección'!$F$11</f>
        <v/>
      </c>
      <c r="H134" s="35">
        <f>F134+G134</f>
        <v/>
      </c>
      <c r="I134" s="35">
        <f>IF((H134/AI134&gt;'Parámetros Proyección'!$G$11),0,D134*'Parámetros Proyección'!$G$11/(IF((H134/AI134&gt;'Parámetros Proyección'!$G$11),0,'Parámetros Proyección'!$G$11)+IF((N134/AI134&gt;'Parámetros Proyección'!$G$12),0,'Parámetros Proyección'!$G$12)+IF((T134/AI134&gt;'Parámetros Proyección'!$G$13),0,'Parámetros Proyección'!$G$13)+IF((Z134/AI134&gt;'Parámetros Proyección'!$G$14),0,'Parámetros Proyección'!$G$14)+IF((AF134/AI134&gt;'Parámetros Proyección'!$G$15),0,'Parámetros Proyección'!$G$15)))</f>
        <v/>
      </c>
      <c r="J134" s="35">
        <f>H134+I134</f>
        <v/>
      </c>
      <c r="K134" s="35">
        <f>P133</f>
        <v/>
      </c>
      <c r="L134" s="35">
        <f>K134*(1+'Parámetros Proyección'!$E$12)</f>
        <v/>
      </c>
      <c r="M134" s="35">
        <f>L134*'Parámetros Proyección'!$F$12</f>
        <v/>
      </c>
      <c r="N134" s="35">
        <f>L134+M134</f>
        <v/>
      </c>
      <c r="O134" s="35">
        <f>IF((N134/AI134&gt;'Parámetros Proyección'!$G$12),0,D134*'Parámetros Proyección'!$G$12/(IF((H134/AI134&gt;'Parámetros Proyección'!$G$11),0,'Parámetros Proyección'!$G$11)+IF((N134/AI134&gt;'Parámetros Proyección'!$G$12),0,'Parámetros Proyección'!$G$12)+IF((T134/AI134&gt;'Parámetros Proyección'!$G$13),0,'Parámetros Proyección'!$G$13)+IF((Z134/AI134&gt;'Parámetros Proyección'!$G$14),0,'Parámetros Proyección'!$G$14)+IF((AF134/AI134&gt;'Parámetros Proyección'!$G$15),0,'Parámetros Proyección'!$G$15)))</f>
        <v/>
      </c>
      <c r="P134" s="35">
        <f>N134+O134</f>
        <v/>
      </c>
      <c r="Q134" s="35">
        <f>V133</f>
        <v/>
      </c>
      <c r="R134" s="35">
        <f>Q134*(1+'Parámetros Proyección'!$E$13)</f>
        <v/>
      </c>
      <c r="S134" s="35">
        <f>R134*'Parámetros Proyección'!$F$13</f>
        <v/>
      </c>
      <c r="T134" s="35">
        <f>R134+S134</f>
        <v/>
      </c>
      <c r="U134" s="35">
        <f>IF((T134/AI134&gt;'Parámetros Proyección'!$G$13),0,D134*'Parámetros Proyección'!$G$13/(IF((H134/AI134&gt;'Parámetros Proyección'!$G$11),0,'Parámetros Proyección'!$G$11)+IF((N134/AI134&gt;'Parámetros Proyección'!$G$12),0,'Parámetros Proyección'!$G$12)+IF((T134/AI134&gt;'Parámetros Proyección'!$G$13),0,'Parámetros Proyección'!$G$13)+IF((Z134/AI134&gt;'Parámetros Proyección'!$G$14),0,'Parámetros Proyección'!$G$14)+IF((AF134/AI134&gt;'Parámetros Proyección'!$G$15),0,'Parámetros Proyección'!$G$15)))</f>
        <v/>
      </c>
      <c r="V134" s="35">
        <f>T134+U134</f>
        <v/>
      </c>
      <c r="W134" s="35">
        <f>AB133</f>
        <v/>
      </c>
      <c r="X134" s="35">
        <f>W134*(1+'Parámetros Proyección'!$E$14)</f>
        <v/>
      </c>
      <c r="Y134" s="35">
        <f>X134*'Parámetros Proyección'!$F$14</f>
        <v/>
      </c>
      <c r="Z134" s="35">
        <f>X134+Y134</f>
        <v/>
      </c>
      <c r="AA134" s="35">
        <f>IF((Z134/AI134&gt;'Parámetros Proyección'!$G$14),0,D134*'Parámetros Proyección'!$G$14/(IF((H134/AI134&gt;'Parámetros Proyección'!$G$11),0,'Parámetros Proyección'!$G$11)+IF((N134/AI134&gt;'Parámetros Proyección'!$G$12),0,'Parámetros Proyección'!$G$12)+IF((T134/AI134&gt;'Parámetros Proyección'!$G$13),0,'Parámetros Proyección'!$G$13)+IF((Z134/AI134&gt;'Parámetros Proyección'!$G$14),0,'Parámetros Proyección'!$G$14)+IF((AF134/AI134&gt;'Parámetros Proyección'!$G$15),0,'Parámetros Proyección'!$G$15)))</f>
        <v/>
      </c>
      <c r="AB134" s="35">
        <f>Z134+AA134</f>
        <v/>
      </c>
      <c r="AC134" s="35">
        <f>AH133</f>
        <v/>
      </c>
      <c r="AD134" s="35">
        <f>AC134*(1+'Parámetros Proyección'!$E$15)</f>
        <v/>
      </c>
      <c r="AE134" s="35">
        <f>AD134*'Parámetros Proyección'!$F$15</f>
        <v/>
      </c>
      <c r="AF134" s="35">
        <f>AD134+AE134</f>
        <v/>
      </c>
      <c r="AG134" s="35">
        <f>IF((AF134/AI134&gt;'Parámetros Proyección'!$G$15),0,D134*'Parámetros Proyección'!$G$15/(IF((H134/AI134&gt;'Parámetros Proyección'!$G$11),0,'Parámetros Proyección'!$G$11)+IF((N134/AI134&gt;'Parámetros Proyección'!$G$12),0,'Parámetros Proyección'!$G$12)+IF((T134/AI134&gt;'Parámetros Proyección'!$G$13),0,'Parámetros Proyección'!$G$13)+IF((Z134/AI134&gt;'Parámetros Proyección'!$G$14),0,'Parámetros Proyección'!$G$14)+IF((AF134/AI134&gt;'Parámetros Proyección'!$G$15),0,'Parámetros Proyección'!$G$15)))</f>
        <v/>
      </c>
      <c r="AH134" s="35">
        <f>AF134+AG134</f>
        <v/>
      </c>
      <c r="AI134" s="35">
        <f>H134+N134+T134+Z134+AF134</f>
        <v/>
      </c>
      <c r="AJ134" s="33">
        <f>AF134/AI134</f>
        <v/>
      </c>
      <c r="AK134">
        <f>IF(AJ134&gt;'Parámetros Proyección'!$B$5,1,0)</f>
        <v/>
      </c>
      <c r="AL134" s="35">
        <f>G134+M134+S134+Y134+AE134</f>
        <v/>
      </c>
      <c r="AM134" s="35">
        <f>AM133+D134</f>
        <v/>
      </c>
      <c r="AN134" s="35">
        <f>AN133+AL134</f>
        <v/>
      </c>
      <c r="AO134" s="35">
        <f>J134+P134+V134+AB134+AH134</f>
        <v/>
      </c>
    </row>
    <row r="135">
      <c r="A135" t="n">
        <v>132</v>
      </c>
      <c r="B135" s="34">
        <f>EDATE(B134,1)</f>
        <v/>
      </c>
      <c r="C135">
        <f>YEAR(B135)</f>
        <v/>
      </c>
      <c r="D135" s="35">
        <f>'Parámetros Proyección'!$B$3*(1+'Parámetros Proyección'!$B$4)^(C135-YEAR('Parámetros Proyección'!$B$6))</f>
        <v/>
      </c>
      <c r="E135" s="35">
        <f>J134</f>
        <v/>
      </c>
      <c r="F135" s="35">
        <f>E135*(1+'Parámetros Proyección'!$E$11)</f>
        <v/>
      </c>
      <c r="G135" s="35">
        <f>F135*'Parámetros Proyección'!$F$11</f>
        <v/>
      </c>
      <c r="H135" s="35">
        <f>F135+G135</f>
        <v/>
      </c>
      <c r="I135" s="35">
        <f>IF((H135/AI135&gt;'Parámetros Proyección'!$G$11),0,D135*'Parámetros Proyección'!$G$11/(IF((H135/AI135&gt;'Parámetros Proyección'!$G$11),0,'Parámetros Proyección'!$G$11)+IF((N135/AI135&gt;'Parámetros Proyección'!$G$12),0,'Parámetros Proyección'!$G$12)+IF((T135/AI135&gt;'Parámetros Proyección'!$G$13),0,'Parámetros Proyección'!$G$13)+IF((Z135/AI135&gt;'Parámetros Proyección'!$G$14),0,'Parámetros Proyección'!$G$14)+IF((AF135/AI135&gt;'Parámetros Proyección'!$G$15),0,'Parámetros Proyección'!$G$15)))</f>
        <v/>
      </c>
      <c r="J135" s="35">
        <f>H135+I135</f>
        <v/>
      </c>
      <c r="K135" s="35">
        <f>P134</f>
        <v/>
      </c>
      <c r="L135" s="35">
        <f>K135*(1+'Parámetros Proyección'!$E$12)</f>
        <v/>
      </c>
      <c r="M135" s="35">
        <f>L135*'Parámetros Proyección'!$F$12</f>
        <v/>
      </c>
      <c r="N135" s="35">
        <f>L135+M135</f>
        <v/>
      </c>
      <c r="O135" s="35">
        <f>IF((N135/AI135&gt;'Parámetros Proyección'!$G$12),0,D135*'Parámetros Proyección'!$G$12/(IF((H135/AI135&gt;'Parámetros Proyección'!$G$11),0,'Parámetros Proyección'!$G$11)+IF((N135/AI135&gt;'Parámetros Proyección'!$G$12),0,'Parámetros Proyección'!$G$12)+IF((T135/AI135&gt;'Parámetros Proyección'!$G$13),0,'Parámetros Proyección'!$G$13)+IF((Z135/AI135&gt;'Parámetros Proyección'!$G$14),0,'Parámetros Proyección'!$G$14)+IF((AF135/AI135&gt;'Parámetros Proyección'!$G$15),0,'Parámetros Proyección'!$G$15)))</f>
        <v/>
      </c>
      <c r="P135" s="35">
        <f>N135+O135</f>
        <v/>
      </c>
      <c r="Q135" s="35">
        <f>V134</f>
        <v/>
      </c>
      <c r="R135" s="35">
        <f>Q135*(1+'Parámetros Proyección'!$E$13)</f>
        <v/>
      </c>
      <c r="S135" s="35">
        <f>R135*'Parámetros Proyección'!$F$13</f>
        <v/>
      </c>
      <c r="T135" s="35">
        <f>R135+S135</f>
        <v/>
      </c>
      <c r="U135" s="35">
        <f>IF((T135/AI135&gt;'Parámetros Proyección'!$G$13),0,D135*'Parámetros Proyección'!$G$13/(IF((H135/AI135&gt;'Parámetros Proyección'!$G$11),0,'Parámetros Proyección'!$G$11)+IF((N135/AI135&gt;'Parámetros Proyección'!$G$12),0,'Parámetros Proyección'!$G$12)+IF((T135/AI135&gt;'Parámetros Proyección'!$G$13),0,'Parámetros Proyección'!$G$13)+IF((Z135/AI135&gt;'Parámetros Proyección'!$G$14),0,'Parámetros Proyección'!$G$14)+IF((AF135/AI135&gt;'Parámetros Proyección'!$G$15),0,'Parámetros Proyección'!$G$15)))</f>
        <v/>
      </c>
      <c r="V135" s="35">
        <f>T135+U135</f>
        <v/>
      </c>
      <c r="W135" s="35">
        <f>AB134</f>
        <v/>
      </c>
      <c r="X135" s="35">
        <f>W135*(1+'Parámetros Proyección'!$E$14)</f>
        <v/>
      </c>
      <c r="Y135" s="35">
        <f>X135*'Parámetros Proyección'!$F$14</f>
        <v/>
      </c>
      <c r="Z135" s="35">
        <f>X135+Y135</f>
        <v/>
      </c>
      <c r="AA135" s="35">
        <f>IF((Z135/AI135&gt;'Parámetros Proyección'!$G$14),0,D135*'Parámetros Proyección'!$G$14/(IF((H135/AI135&gt;'Parámetros Proyección'!$G$11),0,'Parámetros Proyección'!$G$11)+IF((N135/AI135&gt;'Parámetros Proyección'!$G$12),0,'Parámetros Proyección'!$G$12)+IF((T135/AI135&gt;'Parámetros Proyección'!$G$13),0,'Parámetros Proyección'!$G$13)+IF((Z135/AI135&gt;'Parámetros Proyección'!$G$14),0,'Parámetros Proyección'!$G$14)+IF((AF135/AI135&gt;'Parámetros Proyección'!$G$15),0,'Parámetros Proyección'!$G$15)))</f>
        <v/>
      </c>
      <c r="AB135" s="35">
        <f>Z135+AA135</f>
        <v/>
      </c>
      <c r="AC135" s="35">
        <f>AH134</f>
        <v/>
      </c>
      <c r="AD135" s="35">
        <f>AC135*(1+'Parámetros Proyección'!$E$15)</f>
        <v/>
      </c>
      <c r="AE135" s="35">
        <f>AD135*'Parámetros Proyección'!$F$15</f>
        <v/>
      </c>
      <c r="AF135" s="35">
        <f>AD135+AE135</f>
        <v/>
      </c>
      <c r="AG135" s="35">
        <f>IF((AF135/AI135&gt;'Parámetros Proyección'!$G$15),0,D135*'Parámetros Proyección'!$G$15/(IF((H135/AI135&gt;'Parámetros Proyección'!$G$11),0,'Parámetros Proyección'!$G$11)+IF((N135/AI135&gt;'Parámetros Proyección'!$G$12),0,'Parámetros Proyección'!$G$12)+IF((T135/AI135&gt;'Parámetros Proyección'!$G$13),0,'Parámetros Proyección'!$G$13)+IF((Z135/AI135&gt;'Parámetros Proyección'!$G$14),0,'Parámetros Proyección'!$G$14)+IF((AF135/AI135&gt;'Parámetros Proyección'!$G$15),0,'Parámetros Proyección'!$G$15)))</f>
        <v/>
      </c>
      <c r="AH135" s="35">
        <f>AF135+AG135</f>
        <v/>
      </c>
      <c r="AI135" s="35">
        <f>H135+N135+T135+Z135+AF135</f>
        <v/>
      </c>
      <c r="AJ135" s="33">
        <f>AF135/AI135</f>
        <v/>
      </c>
      <c r="AK135">
        <f>IF(AJ135&gt;'Parámetros Proyección'!$B$5,1,0)</f>
        <v/>
      </c>
      <c r="AL135" s="35">
        <f>G135+M135+S135+Y135+AE135</f>
        <v/>
      </c>
      <c r="AM135" s="35">
        <f>AM134+D135</f>
        <v/>
      </c>
      <c r="AN135" s="35">
        <f>AN134+AL135</f>
        <v/>
      </c>
      <c r="AO135" s="35">
        <f>J135+P135+V135+AB135+AH135</f>
        <v/>
      </c>
    </row>
    <row r="136">
      <c r="A136" t="n">
        <v>133</v>
      </c>
      <c r="B136" s="34">
        <f>EDATE(B135,1)</f>
        <v/>
      </c>
      <c r="C136">
        <f>YEAR(B136)</f>
        <v/>
      </c>
      <c r="D136" s="35">
        <f>'Parámetros Proyección'!$B$3*(1+'Parámetros Proyección'!$B$4)^(C136-YEAR('Parámetros Proyección'!$B$6))</f>
        <v/>
      </c>
      <c r="E136" s="35">
        <f>J135</f>
        <v/>
      </c>
      <c r="F136" s="35">
        <f>E136*(1+'Parámetros Proyección'!$E$11)</f>
        <v/>
      </c>
      <c r="G136" s="35">
        <f>F136*'Parámetros Proyección'!$F$11</f>
        <v/>
      </c>
      <c r="H136" s="35">
        <f>F136+G136</f>
        <v/>
      </c>
      <c r="I136" s="35">
        <f>IF((H136/AI136&gt;'Parámetros Proyección'!$G$11),0,D136*'Parámetros Proyección'!$G$11/(IF((H136/AI136&gt;'Parámetros Proyección'!$G$11),0,'Parámetros Proyección'!$G$11)+IF((N136/AI136&gt;'Parámetros Proyección'!$G$12),0,'Parámetros Proyección'!$G$12)+IF((T136/AI136&gt;'Parámetros Proyección'!$G$13),0,'Parámetros Proyección'!$G$13)+IF((Z136/AI136&gt;'Parámetros Proyección'!$G$14),0,'Parámetros Proyección'!$G$14)+IF((AF136/AI136&gt;'Parámetros Proyección'!$G$15),0,'Parámetros Proyección'!$G$15)))</f>
        <v/>
      </c>
      <c r="J136" s="35">
        <f>H136+I136</f>
        <v/>
      </c>
      <c r="K136" s="35">
        <f>P135</f>
        <v/>
      </c>
      <c r="L136" s="35">
        <f>K136*(1+'Parámetros Proyección'!$E$12)</f>
        <v/>
      </c>
      <c r="M136" s="35">
        <f>L136*'Parámetros Proyección'!$F$12</f>
        <v/>
      </c>
      <c r="N136" s="35">
        <f>L136+M136</f>
        <v/>
      </c>
      <c r="O136" s="35">
        <f>IF((N136/AI136&gt;'Parámetros Proyección'!$G$12),0,D136*'Parámetros Proyección'!$G$12/(IF((H136/AI136&gt;'Parámetros Proyección'!$G$11),0,'Parámetros Proyección'!$G$11)+IF((N136/AI136&gt;'Parámetros Proyección'!$G$12),0,'Parámetros Proyección'!$G$12)+IF((T136/AI136&gt;'Parámetros Proyección'!$G$13),0,'Parámetros Proyección'!$G$13)+IF((Z136/AI136&gt;'Parámetros Proyección'!$G$14),0,'Parámetros Proyección'!$G$14)+IF((AF136/AI136&gt;'Parámetros Proyección'!$G$15),0,'Parámetros Proyección'!$G$15)))</f>
        <v/>
      </c>
      <c r="P136" s="35">
        <f>N136+O136</f>
        <v/>
      </c>
      <c r="Q136" s="35">
        <f>V135</f>
        <v/>
      </c>
      <c r="R136" s="35">
        <f>Q136*(1+'Parámetros Proyección'!$E$13)</f>
        <v/>
      </c>
      <c r="S136" s="35">
        <f>R136*'Parámetros Proyección'!$F$13</f>
        <v/>
      </c>
      <c r="T136" s="35">
        <f>R136+S136</f>
        <v/>
      </c>
      <c r="U136" s="35">
        <f>IF((T136/AI136&gt;'Parámetros Proyección'!$G$13),0,D136*'Parámetros Proyección'!$G$13/(IF((H136/AI136&gt;'Parámetros Proyección'!$G$11),0,'Parámetros Proyección'!$G$11)+IF((N136/AI136&gt;'Parámetros Proyección'!$G$12),0,'Parámetros Proyección'!$G$12)+IF((T136/AI136&gt;'Parámetros Proyección'!$G$13),0,'Parámetros Proyección'!$G$13)+IF((Z136/AI136&gt;'Parámetros Proyección'!$G$14),0,'Parámetros Proyección'!$G$14)+IF((AF136/AI136&gt;'Parámetros Proyección'!$G$15),0,'Parámetros Proyección'!$G$15)))</f>
        <v/>
      </c>
      <c r="V136" s="35">
        <f>T136+U136</f>
        <v/>
      </c>
      <c r="W136" s="35">
        <f>AB135</f>
        <v/>
      </c>
      <c r="X136" s="35">
        <f>W136*(1+'Parámetros Proyección'!$E$14)</f>
        <v/>
      </c>
      <c r="Y136" s="35">
        <f>X136*'Parámetros Proyección'!$F$14</f>
        <v/>
      </c>
      <c r="Z136" s="35">
        <f>X136+Y136</f>
        <v/>
      </c>
      <c r="AA136" s="35">
        <f>IF((Z136/AI136&gt;'Parámetros Proyección'!$G$14),0,D136*'Parámetros Proyección'!$G$14/(IF((H136/AI136&gt;'Parámetros Proyección'!$G$11),0,'Parámetros Proyección'!$G$11)+IF((N136/AI136&gt;'Parámetros Proyección'!$G$12),0,'Parámetros Proyección'!$G$12)+IF((T136/AI136&gt;'Parámetros Proyección'!$G$13),0,'Parámetros Proyección'!$G$13)+IF((Z136/AI136&gt;'Parámetros Proyección'!$G$14),0,'Parámetros Proyección'!$G$14)+IF((AF136/AI136&gt;'Parámetros Proyección'!$G$15),0,'Parámetros Proyección'!$G$15)))</f>
        <v/>
      </c>
      <c r="AB136" s="35">
        <f>Z136+AA136</f>
        <v/>
      </c>
      <c r="AC136" s="35">
        <f>AH135</f>
        <v/>
      </c>
      <c r="AD136" s="35">
        <f>AC136*(1+'Parámetros Proyección'!$E$15)</f>
        <v/>
      </c>
      <c r="AE136" s="35">
        <f>AD136*'Parámetros Proyección'!$F$15</f>
        <v/>
      </c>
      <c r="AF136" s="35">
        <f>AD136+AE136</f>
        <v/>
      </c>
      <c r="AG136" s="35">
        <f>IF((AF136/AI136&gt;'Parámetros Proyección'!$G$15),0,D136*'Parámetros Proyección'!$G$15/(IF((H136/AI136&gt;'Parámetros Proyección'!$G$11),0,'Parámetros Proyección'!$G$11)+IF((N136/AI136&gt;'Parámetros Proyección'!$G$12),0,'Parámetros Proyección'!$G$12)+IF((T136/AI136&gt;'Parámetros Proyección'!$G$13),0,'Parámetros Proyección'!$G$13)+IF((Z136/AI136&gt;'Parámetros Proyección'!$G$14),0,'Parámetros Proyección'!$G$14)+IF((AF136/AI136&gt;'Parámetros Proyección'!$G$15),0,'Parámetros Proyección'!$G$15)))</f>
        <v/>
      </c>
      <c r="AH136" s="35">
        <f>AF136+AG136</f>
        <v/>
      </c>
      <c r="AI136" s="35">
        <f>H136+N136+T136+Z136+AF136</f>
        <v/>
      </c>
      <c r="AJ136" s="33">
        <f>AF136/AI136</f>
        <v/>
      </c>
      <c r="AK136">
        <f>IF(AJ136&gt;'Parámetros Proyección'!$B$5,1,0)</f>
        <v/>
      </c>
      <c r="AL136" s="35">
        <f>G136+M136+S136+Y136+AE136</f>
        <v/>
      </c>
      <c r="AM136" s="35">
        <f>AM135+D136</f>
        <v/>
      </c>
      <c r="AN136" s="35">
        <f>AN135+AL136</f>
        <v/>
      </c>
      <c r="AO136" s="35">
        <f>J136+P136+V136+AB136+AH136</f>
        <v/>
      </c>
    </row>
    <row r="137">
      <c r="A137" t="n">
        <v>134</v>
      </c>
      <c r="B137" s="34">
        <f>EDATE(B136,1)</f>
        <v/>
      </c>
      <c r="C137">
        <f>YEAR(B137)</f>
        <v/>
      </c>
      <c r="D137" s="35">
        <f>'Parámetros Proyección'!$B$3*(1+'Parámetros Proyección'!$B$4)^(C137-YEAR('Parámetros Proyección'!$B$6))</f>
        <v/>
      </c>
      <c r="E137" s="35">
        <f>J136</f>
        <v/>
      </c>
      <c r="F137" s="35">
        <f>E137*(1+'Parámetros Proyección'!$E$11)</f>
        <v/>
      </c>
      <c r="G137" s="35">
        <f>F137*'Parámetros Proyección'!$F$11</f>
        <v/>
      </c>
      <c r="H137" s="35">
        <f>F137+G137</f>
        <v/>
      </c>
      <c r="I137" s="35">
        <f>IF((H137/AI137&gt;'Parámetros Proyección'!$G$11),0,D137*'Parámetros Proyección'!$G$11/(IF((H137/AI137&gt;'Parámetros Proyección'!$G$11),0,'Parámetros Proyección'!$G$11)+IF((N137/AI137&gt;'Parámetros Proyección'!$G$12),0,'Parámetros Proyección'!$G$12)+IF((T137/AI137&gt;'Parámetros Proyección'!$G$13),0,'Parámetros Proyección'!$G$13)+IF((Z137/AI137&gt;'Parámetros Proyección'!$G$14),0,'Parámetros Proyección'!$G$14)+IF((AF137/AI137&gt;'Parámetros Proyección'!$G$15),0,'Parámetros Proyección'!$G$15)))</f>
        <v/>
      </c>
      <c r="J137" s="35">
        <f>H137+I137</f>
        <v/>
      </c>
      <c r="K137" s="35">
        <f>P136</f>
        <v/>
      </c>
      <c r="L137" s="35">
        <f>K137*(1+'Parámetros Proyección'!$E$12)</f>
        <v/>
      </c>
      <c r="M137" s="35">
        <f>L137*'Parámetros Proyección'!$F$12</f>
        <v/>
      </c>
      <c r="N137" s="35">
        <f>L137+M137</f>
        <v/>
      </c>
      <c r="O137" s="35">
        <f>IF((N137/AI137&gt;'Parámetros Proyección'!$G$12),0,D137*'Parámetros Proyección'!$G$12/(IF((H137/AI137&gt;'Parámetros Proyección'!$G$11),0,'Parámetros Proyección'!$G$11)+IF((N137/AI137&gt;'Parámetros Proyección'!$G$12),0,'Parámetros Proyección'!$G$12)+IF((T137/AI137&gt;'Parámetros Proyección'!$G$13),0,'Parámetros Proyección'!$G$13)+IF((Z137/AI137&gt;'Parámetros Proyección'!$G$14),0,'Parámetros Proyección'!$G$14)+IF((AF137/AI137&gt;'Parámetros Proyección'!$G$15),0,'Parámetros Proyección'!$G$15)))</f>
        <v/>
      </c>
      <c r="P137" s="35">
        <f>N137+O137</f>
        <v/>
      </c>
      <c r="Q137" s="35">
        <f>V136</f>
        <v/>
      </c>
      <c r="R137" s="35">
        <f>Q137*(1+'Parámetros Proyección'!$E$13)</f>
        <v/>
      </c>
      <c r="S137" s="35">
        <f>R137*'Parámetros Proyección'!$F$13</f>
        <v/>
      </c>
      <c r="T137" s="35">
        <f>R137+S137</f>
        <v/>
      </c>
      <c r="U137" s="35">
        <f>IF((T137/AI137&gt;'Parámetros Proyección'!$G$13),0,D137*'Parámetros Proyección'!$G$13/(IF((H137/AI137&gt;'Parámetros Proyección'!$G$11),0,'Parámetros Proyección'!$G$11)+IF((N137/AI137&gt;'Parámetros Proyección'!$G$12),0,'Parámetros Proyección'!$G$12)+IF((T137/AI137&gt;'Parámetros Proyección'!$G$13),0,'Parámetros Proyección'!$G$13)+IF((Z137/AI137&gt;'Parámetros Proyección'!$G$14),0,'Parámetros Proyección'!$G$14)+IF((AF137/AI137&gt;'Parámetros Proyección'!$G$15),0,'Parámetros Proyección'!$G$15)))</f>
        <v/>
      </c>
      <c r="V137" s="35">
        <f>T137+U137</f>
        <v/>
      </c>
      <c r="W137" s="35">
        <f>AB136</f>
        <v/>
      </c>
      <c r="X137" s="35">
        <f>W137*(1+'Parámetros Proyección'!$E$14)</f>
        <v/>
      </c>
      <c r="Y137" s="35">
        <f>X137*'Parámetros Proyección'!$F$14</f>
        <v/>
      </c>
      <c r="Z137" s="35">
        <f>X137+Y137</f>
        <v/>
      </c>
      <c r="AA137" s="35">
        <f>IF((Z137/AI137&gt;'Parámetros Proyección'!$G$14),0,D137*'Parámetros Proyección'!$G$14/(IF((H137/AI137&gt;'Parámetros Proyección'!$G$11),0,'Parámetros Proyección'!$G$11)+IF((N137/AI137&gt;'Parámetros Proyección'!$G$12),0,'Parámetros Proyección'!$G$12)+IF((T137/AI137&gt;'Parámetros Proyección'!$G$13),0,'Parámetros Proyección'!$G$13)+IF((Z137/AI137&gt;'Parámetros Proyección'!$G$14),0,'Parámetros Proyección'!$G$14)+IF((AF137/AI137&gt;'Parámetros Proyección'!$G$15),0,'Parámetros Proyección'!$G$15)))</f>
        <v/>
      </c>
      <c r="AB137" s="35">
        <f>Z137+AA137</f>
        <v/>
      </c>
      <c r="AC137" s="35">
        <f>AH136</f>
        <v/>
      </c>
      <c r="AD137" s="35">
        <f>AC137*(1+'Parámetros Proyección'!$E$15)</f>
        <v/>
      </c>
      <c r="AE137" s="35">
        <f>AD137*'Parámetros Proyección'!$F$15</f>
        <v/>
      </c>
      <c r="AF137" s="35">
        <f>AD137+AE137</f>
        <v/>
      </c>
      <c r="AG137" s="35">
        <f>IF((AF137/AI137&gt;'Parámetros Proyección'!$G$15),0,D137*'Parámetros Proyección'!$G$15/(IF((H137/AI137&gt;'Parámetros Proyección'!$G$11),0,'Parámetros Proyección'!$G$11)+IF((N137/AI137&gt;'Parámetros Proyección'!$G$12),0,'Parámetros Proyección'!$G$12)+IF((T137/AI137&gt;'Parámetros Proyección'!$G$13),0,'Parámetros Proyección'!$G$13)+IF((Z137/AI137&gt;'Parámetros Proyección'!$G$14),0,'Parámetros Proyección'!$G$14)+IF((AF137/AI137&gt;'Parámetros Proyección'!$G$15),0,'Parámetros Proyección'!$G$15)))</f>
        <v/>
      </c>
      <c r="AH137" s="35">
        <f>AF137+AG137</f>
        <v/>
      </c>
      <c r="AI137" s="35">
        <f>H137+N137+T137+Z137+AF137</f>
        <v/>
      </c>
      <c r="AJ137" s="33">
        <f>AF137/AI137</f>
        <v/>
      </c>
      <c r="AK137">
        <f>IF(AJ137&gt;'Parámetros Proyección'!$B$5,1,0)</f>
        <v/>
      </c>
      <c r="AL137" s="35">
        <f>G137+M137+S137+Y137+AE137</f>
        <v/>
      </c>
      <c r="AM137" s="35">
        <f>AM136+D137</f>
        <v/>
      </c>
      <c r="AN137" s="35">
        <f>AN136+AL137</f>
        <v/>
      </c>
      <c r="AO137" s="35">
        <f>J137+P137+V137+AB137+AH137</f>
        <v/>
      </c>
    </row>
    <row r="138">
      <c r="A138" t="n">
        <v>135</v>
      </c>
      <c r="B138" s="34">
        <f>EDATE(B137,1)</f>
        <v/>
      </c>
      <c r="C138">
        <f>YEAR(B138)</f>
        <v/>
      </c>
      <c r="D138" s="35">
        <f>'Parámetros Proyección'!$B$3*(1+'Parámetros Proyección'!$B$4)^(C138-YEAR('Parámetros Proyección'!$B$6))</f>
        <v/>
      </c>
      <c r="E138" s="35">
        <f>J137</f>
        <v/>
      </c>
      <c r="F138" s="35">
        <f>E138*(1+'Parámetros Proyección'!$E$11)</f>
        <v/>
      </c>
      <c r="G138" s="35">
        <f>F138*'Parámetros Proyección'!$F$11</f>
        <v/>
      </c>
      <c r="H138" s="35">
        <f>F138+G138</f>
        <v/>
      </c>
      <c r="I138" s="35">
        <f>IF((H138/AI138&gt;'Parámetros Proyección'!$G$11),0,D138*'Parámetros Proyección'!$G$11/(IF((H138/AI138&gt;'Parámetros Proyección'!$G$11),0,'Parámetros Proyección'!$G$11)+IF((N138/AI138&gt;'Parámetros Proyección'!$G$12),0,'Parámetros Proyección'!$G$12)+IF((T138/AI138&gt;'Parámetros Proyección'!$G$13),0,'Parámetros Proyección'!$G$13)+IF((Z138/AI138&gt;'Parámetros Proyección'!$G$14),0,'Parámetros Proyección'!$G$14)+IF((AF138/AI138&gt;'Parámetros Proyección'!$G$15),0,'Parámetros Proyección'!$G$15)))</f>
        <v/>
      </c>
      <c r="J138" s="35">
        <f>H138+I138</f>
        <v/>
      </c>
      <c r="K138" s="35">
        <f>P137</f>
        <v/>
      </c>
      <c r="L138" s="35">
        <f>K138*(1+'Parámetros Proyección'!$E$12)</f>
        <v/>
      </c>
      <c r="M138" s="35">
        <f>L138*'Parámetros Proyección'!$F$12</f>
        <v/>
      </c>
      <c r="N138" s="35">
        <f>L138+M138</f>
        <v/>
      </c>
      <c r="O138" s="35">
        <f>IF((N138/AI138&gt;'Parámetros Proyección'!$G$12),0,D138*'Parámetros Proyección'!$G$12/(IF((H138/AI138&gt;'Parámetros Proyección'!$G$11),0,'Parámetros Proyección'!$G$11)+IF((N138/AI138&gt;'Parámetros Proyección'!$G$12),0,'Parámetros Proyección'!$G$12)+IF((T138/AI138&gt;'Parámetros Proyección'!$G$13),0,'Parámetros Proyección'!$G$13)+IF((Z138/AI138&gt;'Parámetros Proyección'!$G$14),0,'Parámetros Proyección'!$G$14)+IF((AF138/AI138&gt;'Parámetros Proyección'!$G$15),0,'Parámetros Proyección'!$G$15)))</f>
        <v/>
      </c>
      <c r="P138" s="35">
        <f>N138+O138</f>
        <v/>
      </c>
      <c r="Q138" s="35">
        <f>V137</f>
        <v/>
      </c>
      <c r="R138" s="35">
        <f>Q138*(1+'Parámetros Proyección'!$E$13)</f>
        <v/>
      </c>
      <c r="S138" s="35">
        <f>R138*'Parámetros Proyección'!$F$13</f>
        <v/>
      </c>
      <c r="T138" s="35">
        <f>R138+S138</f>
        <v/>
      </c>
      <c r="U138" s="35">
        <f>IF((T138/AI138&gt;'Parámetros Proyección'!$G$13),0,D138*'Parámetros Proyección'!$G$13/(IF((H138/AI138&gt;'Parámetros Proyección'!$G$11),0,'Parámetros Proyección'!$G$11)+IF((N138/AI138&gt;'Parámetros Proyección'!$G$12),0,'Parámetros Proyección'!$G$12)+IF((T138/AI138&gt;'Parámetros Proyección'!$G$13),0,'Parámetros Proyección'!$G$13)+IF((Z138/AI138&gt;'Parámetros Proyección'!$G$14),0,'Parámetros Proyección'!$G$14)+IF((AF138/AI138&gt;'Parámetros Proyección'!$G$15),0,'Parámetros Proyección'!$G$15)))</f>
        <v/>
      </c>
      <c r="V138" s="35">
        <f>T138+U138</f>
        <v/>
      </c>
      <c r="W138" s="35">
        <f>AB137</f>
        <v/>
      </c>
      <c r="X138" s="35">
        <f>W138*(1+'Parámetros Proyección'!$E$14)</f>
        <v/>
      </c>
      <c r="Y138" s="35">
        <f>X138*'Parámetros Proyección'!$F$14</f>
        <v/>
      </c>
      <c r="Z138" s="35">
        <f>X138+Y138</f>
        <v/>
      </c>
      <c r="AA138" s="35">
        <f>IF((Z138/AI138&gt;'Parámetros Proyección'!$G$14),0,D138*'Parámetros Proyección'!$G$14/(IF((H138/AI138&gt;'Parámetros Proyección'!$G$11),0,'Parámetros Proyección'!$G$11)+IF((N138/AI138&gt;'Parámetros Proyección'!$G$12),0,'Parámetros Proyección'!$G$12)+IF((T138/AI138&gt;'Parámetros Proyección'!$G$13),0,'Parámetros Proyección'!$G$13)+IF((Z138/AI138&gt;'Parámetros Proyección'!$G$14),0,'Parámetros Proyección'!$G$14)+IF((AF138/AI138&gt;'Parámetros Proyección'!$G$15),0,'Parámetros Proyección'!$G$15)))</f>
        <v/>
      </c>
      <c r="AB138" s="35">
        <f>Z138+AA138</f>
        <v/>
      </c>
      <c r="AC138" s="35">
        <f>AH137</f>
        <v/>
      </c>
      <c r="AD138" s="35">
        <f>AC138*(1+'Parámetros Proyección'!$E$15)</f>
        <v/>
      </c>
      <c r="AE138" s="35">
        <f>AD138*'Parámetros Proyección'!$F$15</f>
        <v/>
      </c>
      <c r="AF138" s="35">
        <f>AD138+AE138</f>
        <v/>
      </c>
      <c r="AG138" s="35">
        <f>IF((AF138/AI138&gt;'Parámetros Proyección'!$G$15),0,D138*'Parámetros Proyección'!$G$15/(IF((H138/AI138&gt;'Parámetros Proyección'!$G$11),0,'Parámetros Proyección'!$G$11)+IF((N138/AI138&gt;'Parámetros Proyección'!$G$12),0,'Parámetros Proyección'!$G$12)+IF((T138/AI138&gt;'Parámetros Proyección'!$G$13),0,'Parámetros Proyección'!$G$13)+IF((Z138/AI138&gt;'Parámetros Proyección'!$G$14),0,'Parámetros Proyección'!$G$14)+IF((AF138/AI138&gt;'Parámetros Proyección'!$G$15),0,'Parámetros Proyección'!$G$15)))</f>
        <v/>
      </c>
      <c r="AH138" s="35">
        <f>AF138+AG138</f>
        <v/>
      </c>
      <c r="AI138" s="35">
        <f>H138+N138+T138+Z138+AF138</f>
        <v/>
      </c>
      <c r="AJ138" s="33">
        <f>AF138/AI138</f>
        <v/>
      </c>
      <c r="AK138">
        <f>IF(AJ138&gt;'Parámetros Proyección'!$B$5,1,0)</f>
        <v/>
      </c>
      <c r="AL138" s="35">
        <f>G138+M138+S138+Y138+AE138</f>
        <v/>
      </c>
      <c r="AM138" s="35">
        <f>AM137+D138</f>
        <v/>
      </c>
      <c r="AN138" s="35">
        <f>AN137+AL138</f>
        <v/>
      </c>
      <c r="AO138" s="35">
        <f>J138+P138+V138+AB138+AH138</f>
        <v/>
      </c>
    </row>
    <row r="139">
      <c r="A139" t="n">
        <v>136</v>
      </c>
      <c r="B139" s="34">
        <f>EDATE(B138,1)</f>
        <v/>
      </c>
      <c r="C139">
        <f>YEAR(B139)</f>
        <v/>
      </c>
      <c r="D139" s="35">
        <f>'Parámetros Proyección'!$B$3*(1+'Parámetros Proyección'!$B$4)^(C139-YEAR('Parámetros Proyección'!$B$6))</f>
        <v/>
      </c>
      <c r="E139" s="35">
        <f>J138</f>
        <v/>
      </c>
      <c r="F139" s="35">
        <f>E139*(1+'Parámetros Proyección'!$E$11)</f>
        <v/>
      </c>
      <c r="G139" s="35">
        <f>F139*'Parámetros Proyección'!$F$11</f>
        <v/>
      </c>
      <c r="H139" s="35">
        <f>F139+G139</f>
        <v/>
      </c>
      <c r="I139" s="35">
        <f>IF((H139/AI139&gt;'Parámetros Proyección'!$G$11),0,D139*'Parámetros Proyección'!$G$11/(IF((H139/AI139&gt;'Parámetros Proyección'!$G$11),0,'Parámetros Proyección'!$G$11)+IF((N139/AI139&gt;'Parámetros Proyección'!$G$12),0,'Parámetros Proyección'!$G$12)+IF((T139/AI139&gt;'Parámetros Proyección'!$G$13),0,'Parámetros Proyección'!$G$13)+IF((Z139/AI139&gt;'Parámetros Proyección'!$G$14),0,'Parámetros Proyección'!$G$14)+IF((AF139/AI139&gt;'Parámetros Proyección'!$G$15),0,'Parámetros Proyección'!$G$15)))</f>
        <v/>
      </c>
      <c r="J139" s="35">
        <f>H139+I139</f>
        <v/>
      </c>
      <c r="K139" s="35">
        <f>P138</f>
        <v/>
      </c>
      <c r="L139" s="35">
        <f>K139*(1+'Parámetros Proyección'!$E$12)</f>
        <v/>
      </c>
      <c r="M139" s="35">
        <f>L139*'Parámetros Proyección'!$F$12</f>
        <v/>
      </c>
      <c r="N139" s="35">
        <f>L139+M139</f>
        <v/>
      </c>
      <c r="O139" s="35">
        <f>IF((N139/AI139&gt;'Parámetros Proyección'!$G$12),0,D139*'Parámetros Proyección'!$G$12/(IF((H139/AI139&gt;'Parámetros Proyección'!$G$11),0,'Parámetros Proyección'!$G$11)+IF((N139/AI139&gt;'Parámetros Proyección'!$G$12),0,'Parámetros Proyección'!$G$12)+IF((T139/AI139&gt;'Parámetros Proyección'!$G$13),0,'Parámetros Proyección'!$G$13)+IF((Z139/AI139&gt;'Parámetros Proyección'!$G$14),0,'Parámetros Proyección'!$G$14)+IF((AF139/AI139&gt;'Parámetros Proyección'!$G$15),0,'Parámetros Proyección'!$G$15)))</f>
        <v/>
      </c>
      <c r="P139" s="35">
        <f>N139+O139</f>
        <v/>
      </c>
      <c r="Q139" s="35">
        <f>V138</f>
        <v/>
      </c>
      <c r="R139" s="35">
        <f>Q139*(1+'Parámetros Proyección'!$E$13)</f>
        <v/>
      </c>
      <c r="S139" s="35">
        <f>R139*'Parámetros Proyección'!$F$13</f>
        <v/>
      </c>
      <c r="T139" s="35">
        <f>R139+S139</f>
        <v/>
      </c>
      <c r="U139" s="35">
        <f>IF((T139/AI139&gt;'Parámetros Proyección'!$G$13),0,D139*'Parámetros Proyección'!$G$13/(IF((H139/AI139&gt;'Parámetros Proyección'!$G$11),0,'Parámetros Proyección'!$G$11)+IF((N139/AI139&gt;'Parámetros Proyección'!$G$12),0,'Parámetros Proyección'!$G$12)+IF((T139/AI139&gt;'Parámetros Proyección'!$G$13),0,'Parámetros Proyección'!$G$13)+IF((Z139/AI139&gt;'Parámetros Proyección'!$G$14),0,'Parámetros Proyección'!$G$14)+IF((AF139/AI139&gt;'Parámetros Proyección'!$G$15),0,'Parámetros Proyección'!$G$15)))</f>
        <v/>
      </c>
      <c r="V139" s="35">
        <f>T139+U139</f>
        <v/>
      </c>
      <c r="W139" s="35">
        <f>AB138</f>
        <v/>
      </c>
      <c r="X139" s="35">
        <f>W139*(1+'Parámetros Proyección'!$E$14)</f>
        <v/>
      </c>
      <c r="Y139" s="35">
        <f>X139*'Parámetros Proyección'!$F$14</f>
        <v/>
      </c>
      <c r="Z139" s="35">
        <f>X139+Y139</f>
        <v/>
      </c>
      <c r="AA139" s="35">
        <f>IF((Z139/AI139&gt;'Parámetros Proyección'!$G$14),0,D139*'Parámetros Proyección'!$G$14/(IF((H139/AI139&gt;'Parámetros Proyección'!$G$11),0,'Parámetros Proyección'!$G$11)+IF((N139/AI139&gt;'Parámetros Proyección'!$G$12),0,'Parámetros Proyección'!$G$12)+IF((T139/AI139&gt;'Parámetros Proyección'!$G$13),0,'Parámetros Proyección'!$G$13)+IF((Z139/AI139&gt;'Parámetros Proyección'!$G$14),0,'Parámetros Proyección'!$G$14)+IF((AF139/AI139&gt;'Parámetros Proyección'!$G$15),0,'Parámetros Proyección'!$G$15)))</f>
        <v/>
      </c>
      <c r="AB139" s="35">
        <f>Z139+AA139</f>
        <v/>
      </c>
      <c r="AC139" s="35">
        <f>AH138</f>
        <v/>
      </c>
      <c r="AD139" s="35">
        <f>AC139*(1+'Parámetros Proyección'!$E$15)</f>
        <v/>
      </c>
      <c r="AE139" s="35">
        <f>AD139*'Parámetros Proyección'!$F$15</f>
        <v/>
      </c>
      <c r="AF139" s="35">
        <f>AD139+AE139</f>
        <v/>
      </c>
      <c r="AG139" s="35">
        <f>IF((AF139/AI139&gt;'Parámetros Proyección'!$G$15),0,D139*'Parámetros Proyección'!$G$15/(IF((H139/AI139&gt;'Parámetros Proyección'!$G$11),0,'Parámetros Proyección'!$G$11)+IF((N139/AI139&gt;'Parámetros Proyección'!$G$12),0,'Parámetros Proyección'!$G$12)+IF((T139/AI139&gt;'Parámetros Proyección'!$G$13),0,'Parámetros Proyección'!$G$13)+IF((Z139/AI139&gt;'Parámetros Proyección'!$G$14),0,'Parámetros Proyección'!$G$14)+IF((AF139/AI139&gt;'Parámetros Proyección'!$G$15),0,'Parámetros Proyección'!$G$15)))</f>
        <v/>
      </c>
      <c r="AH139" s="35">
        <f>AF139+AG139</f>
        <v/>
      </c>
      <c r="AI139" s="35">
        <f>H139+N139+T139+Z139+AF139</f>
        <v/>
      </c>
      <c r="AJ139" s="33">
        <f>AF139/AI139</f>
        <v/>
      </c>
      <c r="AK139">
        <f>IF(AJ139&gt;'Parámetros Proyección'!$B$5,1,0)</f>
        <v/>
      </c>
      <c r="AL139" s="35">
        <f>G139+M139+S139+Y139+AE139</f>
        <v/>
      </c>
      <c r="AM139" s="35">
        <f>AM138+D139</f>
        <v/>
      </c>
      <c r="AN139" s="35">
        <f>AN138+AL139</f>
        <v/>
      </c>
      <c r="AO139" s="35">
        <f>J139+P139+V139+AB139+AH139</f>
        <v/>
      </c>
    </row>
    <row r="140">
      <c r="A140" t="n">
        <v>137</v>
      </c>
      <c r="B140" s="34">
        <f>EDATE(B139,1)</f>
        <v/>
      </c>
      <c r="C140">
        <f>YEAR(B140)</f>
        <v/>
      </c>
      <c r="D140" s="35">
        <f>'Parámetros Proyección'!$B$3*(1+'Parámetros Proyección'!$B$4)^(C140-YEAR('Parámetros Proyección'!$B$6))</f>
        <v/>
      </c>
      <c r="E140" s="35">
        <f>J139</f>
        <v/>
      </c>
      <c r="F140" s="35">
        <f>E140*(1+'Parámetros Proyección'!$E$11)</f>
        <v/>
      </c>
      <c r="G140" s="35">
        <f>F140*'Parámetros Proyección'!$F$11</f>
        <v/>
      </c>
      <c r="H140" s="35">
        <f>F140+G140</f>
        <v/>
      </c>
      <c r="I140" s="35">
        <f>IF((H140/AI140&gt;'Parámetros Proyección'!$G$11),0,D140*'Parámetros Proyección'!$G$11/(IF((H140/AI140&gt;'Parámetros Proyección'!$G$11),0,'Parámetros Proyección'!$G$11)+IF((N140/AI140&gt;'Parámetros Proyección'!$G$12),0,'Parámetros Proyección'!$G$12)+IF((T140/AI140&gt;'Parámetros Proyección'!$G$13),0,'Parámetros Proyección'!$G$13)+IF((Z140/AI140&gt;'Parámetros Proyección'!$G$14),0,'Parámetros Proyección'!$G$14)+IF((AF140/AI140&gt;'Parámetros Proyección'!$G$15),0,'Parámetros Proyección'!$G$15)))</f>
        <v/>
      </c>
      <c r="J140" s="35">
        <f>H140+I140</f>
        <v/>
      </c>
      <c r="K140" s="35">
        <f>P139</f>
        <v/>
      </c>
      <c r="L140" s="35">
        <f>K140*(1+'Parámetros Proyección'!$E$12)</f>
        <v/>
      </c>
      <c r="M140" s="35">
        <f>L140*'Parámetros Proyección'!$F$12</f>
        <v/>
      </c>
      <c r="N140" s="35">
        <f>L140+M140</f>
        <v/>
      </c>
      <c r="O140" s="35">
        <f>IF((N140/AI140&gt;'Parámetros Proyección'!$G$12),0,D140*'Parámetros Proyección'!$G$12/(IF((H140/AI140&gt;'Parámetros Proyección'!$G$11),0,'Parámetros Proyección'!$G$11)+IF((N140/AI140&gt;'Parámetros Proyección'!$G$12),0,'Parámetros Proyección'!$G$12)+IF((T140/AI140&gt;'Parámetros Proyección'!$G$13),0,'Parámetros Proyección'!$G$13)+IF((Z140/AI140&gt;'Parámetros Proyección'!$G$14),0,'Parámetros Proyección'!$G$14)+IF((AF140/AI140&gt;'Parámetros Proyección'!$G$15),0,'Parámetros Proyección'!$G$15)))</f>
        <v/>
      </c>
      <c r="P140" s="35">
        <f>N140+O140</f>
        <v/>
      </c>
      <c r="Q140" s="35">
        <f>V139</f>
        <v/>
      </c>
      <c r="R140" s="35">
        <f>Q140*(1+'Parámetros Proyección'!$E$13)</f>
        <v/>
      </c>
      <c r="S140" s="35">
        <f>R140*'Parámetros Proyección'!$F$13</f>
        <v/>
      </c>
      <c r="T140" s="35">
        <f>R140+S140</f>
        <v/>
      </c>
      <c r="U140" s="35">
        <f>IF((T140/AI140&gt;'Parámetros Proyección'!$G$13),0,D140*'Parámetros Proyección'!$G$13/(IF((H140/AI140&gt;'Parámetros Proyección'!$G$11),0,'Parámetros Proyección'!$G$11)+IF((N140/AI140&gt;'Parámetros Proyección'!$G$12),0,'Parámetros Proyección'!$G$12)+IF((T140/AI140&gt;'Parámetros Proyección'!$G$13),0,'Parámetros Proyección'!$G$13)+IF((Z140/AI140&gt;'Parámetros Proyección'!$G$14),0,'Parámetros Proyección'!$G$14)+IF((AF140/AI140&gt;'Parámetros Proyección'!$G$15),0,'Parámetros Proyección'!$G$15)))</f>
        <v/>
      </c>
      <c r="V140" s="35">
        <f>T140+U140</f>
        <v/>
      </c>
      <c r="W140" s="35">
        <f>AB139</f>
        <v/>
      </c>
      <c r="X140" s="35">
        <f>W140*(1+'Parámetros Proyección'!$E$14)</f>
        <v/>
      </c>
      <c r="Y140" s="35">
        <f>X140*'Parámetros Proyección'!$F$14</f>
        <v/>
      </c>
      <c r="Z140" s="35">
        <f>X140+Y140</f>
        <v/>
      </c>
      <c r="AA140" s="35">
        <f>IF((Z140/AI140&gt;'Parámetros Proyección'!$G$14),0,D140*'Parámetros Proyección'!$G$14/(IF((H140/AI140&gt;'Parámetros Proyección'!$G$11),0,'Parámetros Proyección'!$G$11)+IF((N140/AI140&gt;'Parámetros Proyección'!$G$12),0,'Parámetros Proyección'!$G$12)+IF((T140/AI140&gt;'Parámetros Proyección'!$G$13),0,'Parámetros Proyección'!$G$13)+IF((Z140/AI140&gt;'Parámetros Proyección'!$G$14),0,'Parámetros Proyección'!$G$14)+IF((AF140/AI140&gt;'Parámetros Proyección'!$G$15),0,'Parámetros Proyección'!$G$15)))</f>
        <v/>
      </c>
      <c r="AB140" s="35">
        <f>Z140+AA140</f>
        <v/>
      </c>
      <c r="AC140" s="35">
        <f>AH139</f>
        <v/>
      </c>
      <c r="AD140" s="35">
        <f>AC140*(1+'Parámetros Proyección'!$E$15)</f>
        <v/>
      </c>
      <c r="AE140" s="35">
        <f>AD140*'Parámetros Proyección'!$F$15</f>
        <v/>
      </c>
      <c r="AF140" s="35">
        <f>AD140+AE140</f>
        <v/>
      </c>
      <c r="AG140" s="35">
        <f>IF((AF140/AI140&gt;'Parámetros Proyección'!$G$15),0,D140*'Parámetros Proyección'!$G$15/(IF((H140/AI140&gt;'Parámetros Proyección'!$G$11),0,'Parámetros Proyección'!$G$11)+IF((N140/AI140&gt;'Parámetros Proyección'!$G$12),0,'Parámetros Proyección'!$G$12)+IF((T140/AI140&gt;'Parámetros Proyección'!$G$13),0,'Parámetros Proyección'!$G$13)+IF((Z140/AI140&gt;'Parámetros Proyección'!$G$14),0,'Parámetros Proyección'!$G$14)+IF((AF140/AI140&gt;'Parámetros Proyección'!$G$15),0,'Parámetros Proyección'!$G$15)))</f>
        <v/>
      </c>
      <c r="AH140" s="35">
        <f>AF140+AG140</f>
        <v/>
      </c>
      <c r="AI140" s="35">
        <f>H140+N140+T140+Z140+AF140</f>
        <v/>
      </c>
      <c r="AJ140" s="33">
        <f>AF140/AI140</f>
        <v/>
      </c>
      <c r="AK140">
        <f>IF(AJ140&gt;'Parámetros Proyección'!$B$5,1,0)</f>
        <v/>
      </c>
      <c r="AL140" s="35">
        <f>G140+M140+S140+Y140+AE140</f>
        <v/>
      </c>
      <c r="AM140" s="35">
        <f>AM139+D140</f>
        <v/>
      </c>
      <c r="AN140" s="35">
        <f>AN139+AL140</f>
        <v/>
      </c>
      <c r="AO140" s="35">
        <f>J140+P140+V140+AB140+AH140</f>
        <v/>
      </c>
    </row>
    <row r="141">
      <c r="A141" t="n">
        <v>138</v>
      </c>
      <c r="B141" s="34">
        <f>EDATE(B140,1)</f>
        <v/>
      </c>
      <c r="C141">
        <f>YEAR(B141)</f>
        <v/>
      </c>
      <c r="D141" s="35">
        <f>'Parámetros Proyección'!$B$3*(1+'Parámetros Proyección'!$B$4)^(C141-YEAR('Parámetros Proyección'!$B$6))</f>
        <v/>
      </c>
      <c r="E141" s="35">
        <f>J140</f>
        <v/>
      </c>
      <c r="F141" s="35">
        <f>E141*(1+'Parámetros Proyección'!$E$11)</f>
        <v/>
      </c>
      <c r="G141" s="35">
        <f>F141*'Parámetros Proyección'!$F$11</f>
        <v/>
      </c>
      <c r="H141" s="35">
        <f>F141+G141</f>
        <v/>
      </c>
      <c r="I141" s="35">
        <f>IF((H141/AI141&gt;'Parámetros Proyección'!$G$11),0,D141*'Parámetros Proyección'!$G$11/(IF((H141/AI141&gt;'Parámetros Proyección'!$G$11),0,'Parámetros Proyección'!$G$11)+IF((N141/AI141&gt;'Parámetros Proyección'!$G$12),0,'Parámetros Proyección'!$G$12)+IF((T141/AI141&gt;'Parámetros Proyección'!$G$13),0,'Parámetros Proyección'!$G$13)+IF((Z141/AI141&gt;'Parámetros Proyección'!$G$14),0,'Parámetros Proyección'!$G$14)+IF((AF141/AI141&gt;'Parámetros Proyección'!$G$15),0,'Parámetros Proyección'!$G$15)))</f>
        <v/>
      </c>
      <c r="J141" s="35">
        <f>H141+I141</f>
        <v/>
      </c>
      <c r="K141" s="35">
        <f>P140</f>
        <v/>
      </c>
      <c r="L141" s="35">
        <f>K141*(1+'Parámetros Proyección'!$E$12)</f>
        <v/>
      </c>
      <c r="M141" s="35">
        <f>L141*'Parámetros Proyección'!$F$12</f>
        <v/>
      </c>
      <c r="N141" s="35">
        <f>L141+M141</f>
        <v/>
      </c>
      <c r="O141" s="35">
        <f>IF((N141/AI141&gt;'Parámetros Proyección'!$G$12),0,D141*'Parámetros Proyección'!$G$12/(IF((H141/AI141&gt;'Parámetros Proyección'!$G$11),0,'Parámetros Proyección'!$G$11)+IF((N141/AI141&gt;'Parámetros Proyección'!$G$12),0,'Parámetros Proyección'!$G$12)+IF((T141/AI141&gt;'Parámetros Proyección'!$G$13),0,'Parámetros Proyección'!$G$13)+IF((Z141/AI141&gt;'Parámetros Proyección'!$G$14),0,'Parámetros Proyección'!$G$14)+IF((AF141/AI141&gt;'Parámetros Proyección'!$G$15),0,'Parámetros Proyección'!$G$15)))</f>
        <v/>
      </c>
      <c r="P141" s="35">
        <f>N141+O141</f>
        <v/>
      </c>
      <c r="Q141" s="35">
        <f>V140</f>
        <v/>
      </c>
      <c r="R141" s="35">
        <f>Q141*(1+'Parámetros Proyección'!$E$13)</f>
        <v/>
      </c>
      <c r="S141" s="35">
        <f>R141*'Parámetros Proyección'!$F$13</f>
        <v/>
      </c>
      <c r="T141" s="35">
        <f>R141+S141</f>
        <v/>
      </c>
      <c r="U141" s="35">
        <f>IF((T141/AI141&gt;'Parámetros Proyección'!$G$13),0,D141*'Parámetros Proyección'!$G$13/(IF((H141/AI141&gt;'Parámetros Proyección'!$G$11),0,'Parámetros Proyección'!$G$11)+IF((N141/AI141&gt;'Parámetros Proyección'!$G$12),0,'Parámetros Proyección'!$G$12)+IF((T141/AI141&gt;'Parámetros Proyección'!$G$13),0,'Parámetros Proyección'!$G$13)+IF((Z141/AI141&gt;'Parámetros Proyección'!$G$14),0,'Parámetros Proyección'!$G$14)+IF((AF141/AI141&gt;'Parámetros Proyección'!$G$15),0,'Parámetros Proyección'!$G$15)))</f>
        <v/>
      </c>
      <c r="V141" s="35">
        <f>T141+U141</f>
        <v/>
      </c>
      <c r="W141" s="35">
        <f>AB140</f>
        <v/>
      </c>
      <c r="X141" s="35">
        <f>W141*(1+'Parámetros Proyección'!$E$14)</f>
        <v/>
      </c>
      <c r="Y141" s="35">
        <f>X141*'Parámetros Proyección'!$F$14</f>
        <v/>
      </c>
      <c r="Z141" s="35">
        <f>X141+Y141</f>
        <v/>
      </c>
      <c r="AA141" s="35">
        <f>IF((Z141/AI141&gt;'Parámetros Proyección'!$G$14),0,D141*'Parámetros Proyección'!$G$14/(IF((H141/AI141&gt;'Parámetros Proyección'!$G$11),0,'Parámetros Proyección'!$G$11)+IF((N141/AI141&gt;'Parámetros Proyección'!$G$12),0,'Parámetros Proyección'!$G$12)+IF((T141/AI141&gt;'Parámetros Proyección'!$G$13),0,'Parámetros Proyección'!$G$13)+IF((Z141/AI141&gt;'Parámetros Proyección'!$G$14),0,'Parámetros Proyección'!$G$14)+IF((AF141/AI141&gt;'Parámetros Proyección'!$G$15),0,'Parámetros Proyección'!$G$15)))</f>
        <v/>
      </c>
      <c r="AB141" s="35">
        <f>Z141+AA141</f>
        <v/>
      </c>
      <c r="AC141" s="35">
        <f>AH140</f>
        <v/>
      </c>
      <c r="AD141" s="35">
        <f>AC141*(1+'Parámetros Proyección'!$E$15)</f>
        <v/>
      </c>
      <c r="AE141" s="35">
        <f>AD141*'Parámetros Proyección'!$F$15</f>
        <v/>
      </c>
      <c r="AF141" s="35">
        <f>AD141+AE141</f>
        <v/>
      </c>
      <c r="AG141" s="35">
        <f>IF((AF141/AI141&gt;'Parámetros Proyección'!$G$15),0,D141*'Parámetros Proyección'!$G$15/(IF((H141/AI141&gt;'Parámetros Proyección'!$G$11),0,'Parámetros Proyección'!$G$11)+IF((N141/AI141&gt;'Parámetros Proyección'!$G$12),0,'Parámetros Proyección'!$G$12)+IF((T141/AI141&gt;'Parámetros Proyección'!$G$13),0,'Parámetros Proyección'!$G$13)+IF((Z141/AI141&gt;'Parámetros Proyección'!$G$14),0,'Parámetros Proyección'!$G$14)+IF((AF141/AI141&gt;'Parámetros Proyección'!$G$15),0,'Parámetros Proyección'!$G$15)))</f>
        <v/>
      </c>
      <c r="AH141" s="35">
        <f>AF141+AG141</f>
        <v/>
      </c>
      <c r="AI141" s="35">
        <f>H141+N141+T141+Z141+AF141</f>
        <v/>
      </c>
      <c r="AJ141" s="33">
        <f>AF141/AI141</f>
        <v/>
      </c>
      <c r="AK141">
        <f>IF(AJ141&gt;'Parámetros Proyección'!$B$5,1,0)</f>
        <v/>
      </c>
      <c r="AL141" s="35">
        <f>G141+M141+S141+Y141+AE141</f>
        <v/>
      </c>
      <c r="AM141" s="35">
        <f>AM140+D141</f>
        <v/>
      </c>
      <c r="AN141" s="35">
        <f>AN140+AL141</f>
        <v/>
      </c>
      <c r="AO141" s="35">
        <f>J141+P141+V141+AB141+AH141</f>
        <v/>
      </c>
    </row>
    <row r="142">
      <c r="A142" t="n">
        <v>139</v>
      </c>
      <c r="B142" s="34">
        <f>EDATE(B141,1)</f>
        <v/>
      </c>
      <c r="C142">
        <f>YEAR(B142)</f>
        <v/>
      </c>
      <c r="D142" s="35">
        <f>'Parámetros Proyección'!$B$3*(1+'Parámetros Proyección'!$B$4)^(C142-YEAR('Parámetros Proyección'!$B$6))</f>
        <v/>
      </c>
      <c r="E142" s="35">
        <f>J141</f>
        <v/>
      </c>
      <c r="F142" s="35">
        <f>E142*(1+'Parámetros Proyección'!$E$11)</f>
        <v/>
      </c>
      <c r="G142" s="35">
        <f>F142*'Parámetros Proyección'!$F$11</f>
        <v/>
      </c>
      <c r="H142" s="35">
        <f>F142+G142</f>
        <v/>
      </c>
      <c r="I142" s="35">
        <f>IF((H142/AI142&gt;'Parámetros Proyección'!$G$11),0,D142*'Parámetros Proyección'!$G$11/(IF((H142/AI142&gt;'Parámetros Proyección'!$G$11),0,'Parámetros Proyección'!$G$11)+IF((N142/AI142&gt;'Parámetros Proyección'!$G$12),0,'Parámetros Proyección'!$G$12)+IF((T142/AI142&gt;'Parámetros Proyección'!$G$13),0,'Parámetros Proyección'!$G$13)+IF((Z142/AI142&gt;'Parámetros Proyección'!$G$14),0,'Parámetros Proyección'!$G$14)+IF((AF142/AI142&gt;'Parámetros Proyección'!$G$15),0,'Parámetros Proyección'!$G$15)))</f>
        <v/>
      </c>
      <c r="J142" s="35">
        <f>H142+I142</f>
        <v/>
      </c>
      <c r="K142" s="35">
        <f>P141</f>
        <v/>
      </c>
      <c r="L142" s="35">
        <f>K142*(1+'Parámetros Proyección'!$E$12)</f>
        <v/>
      </c>
      <c r="M142" s="35">
        <f>L142*'Parámetros Proyección'!$F$12</f>
        <v/>
      </c>
      <c r="N142" s="35">
        <f>L142+M142</f>
        <v/>
      </c>
      <c r="O142" s="35">
        <f>IF((N142/AI142&gt;'Parámetros Proyección'!$G$12),0,D142*'Parámetros Proyección'!$G$12/(IF((H142/AI142&gt;'Parámetros Proyección'!$G$11),0,'Parámetros Proyección'!$G$11)+IF((N142/AI142&gt;'Parámetros Proyección'!$G$12),0,'Parámetros Proyección'!$G$12)+IF((T142/AI142&gt;'Parámetros Proyección'!$G$13),0,'Parámetros Proyección'!$G$13)+IF((Z142/AI142&gt;'Parámetros Proyección'!$G$14),0,'Parámetros Proyección'!$G$14)+IF((AF142/AI142&gt;'Parámetros Proyección'!$G$15),0,'Parámetros Proyección'!$G$15)))</f>
        <v/>
      </c>
      <c r="P142" s="35">
        <f>N142+O142</f>
        <v/>
      </c>
      <c r="Q142" s="35">
        <f>V141</f>
        <v/>
      </c>
      <c r="R142" s="35">
        <f>Q142*(1+'Parámetros Proyección'!$E$13)</f>
        <v/>
      </c>
      <c r="S142" s="35">
        <f>R142*'Parámetros Proyección'!$F$13</f>
        <v/>
      </c>
      <c r="T142" s="35">
        <f>R142+S142</f>
        <v/>
      </c>
      <c r="U142" s="35">
        <f>IF((T142/AI142&gt;'Parámetros Proyección'!$G$13),0,D142*'Parámetros Proyección'!$G$13/(IF((H142/AI142&gt;'Parámetros Proyección'!$G$11),0,'Parámetros Proyección'!$G$11)+IF((N142/AI142&gt;'Parámetros Proyección'!$G$12),0,'Parámetros Proyección'!$G$12)+IF((T142/AI142&gt;'Parámetros Proyección'!$G$13),0,'Parámetros Proyección'!$G$13)+IF((Z142/AI142&gt;'Parámetros Proyección'!$G$14),0,'Parámetros Proyección'!$G$14)+IF((AF142/AI142&gt;'Parámetros Proyección'!$G$15),0,'Parámetros Proyección'!$G$15)))</f>
        <v/>
      </c>
      <c r="V142" s="35">
        <f>T142+U142</f>
        <v/>
      </c>
      <c r="W142" s="35">
        <f>AB141</f>
        <v/>
      </c>
      <c r="X142" s="35">
        <f>W142*(1+'Parámetros Proyección'!$E$14)</f>
        <v/>
      </c>
      <c r="Y142" s="35">
        <f>X142*'Parámetros Proyección'!$F$14</f>
        <v/>
      </c>
      <c r="Z142" s="35">
        <f>X142+Y142</f>
        <v/>
      </c>
      <c r="AA142" s="35">
        <f>IF((Z142/AI142&gt;'Parámetros Proyección'!$G$14),0,D142*'Parámetros Proyección'!$G$14/(IF((H142/AI142&gt;'Parámetros Proyección'!$G$11),0,'Parámetros Proyección'!$G$11)+IF((N142/AI142&gt;'Parámetros Proyección'!$G$12),0,'Parámetros Proyección'!$G$12)+IF((T142/AI142&gt;'Parámetros Proyección'!$G$13),0,'Parámetros Proyección'!$G$13)+IF((Z142/AI142&gt;'Parámetros Proyección'!$G$14),0,'Parámetros Proyección'!$G$14)+IF((AF142/AI142&gt;'Parámetros Proyección'!$G$15),0,'Parámetros Proyección'!$G$15)))</f>
        <v/>
      </c>
      <c r="AB142" s="35">
        <f>Z142+AA142</f>
        <v/>
      </c>
      <c r="AC142" s="35">
        <f>AH141</f>
        <v/>
      </c>
      <c r="AD142" s="35">
        <f>AC142*(1+'Parámetros Proyección'!$E$15)</f>
        <v/>
      </c>
      <c r="AE142" s="35">
        <f>AD142*'Parámetros Proyección'!$F$15</f>
        <v/>
      </c>
      <c r="AF142" s="35">
        <f>AD142+AE142</f>
        <v/>
      </c>
      <c r="AG142" s="35">
        <f>IF((AF142/AI142&gt;'Parámetros Proyección'!$G$15),0,D142*'Parámetros Proyección'!$G$15/(IF((H142/AI142&gt;'Parámetros Proyección'!$G$11),0,'Parámetros Proyección'!$G$11)+IF((N142/AI142&gt;'Parámetros Proyección'!$G$12),0,'Parámetros Proyección'!$G$12)+IF((T142/AI142&gt;'Parámetros Proyección'!$G$13),0,'Parámetros Proyección'!$G$13)+IF((Z142/AI142&gt;'Parámetros Proyección'!$G$14),0,'Parámetros Proyección'!$G$14)+IF((AF142/AI142&gt;'Parámetros Proyección'!$G$15),0,'Parámetros Proyección'!$G$15)))</f>
        <v/>
      </c>
      <c r="AH142" s="35">
        <f>AF142+AG142</f>
        <v/>
      </c>
      <c r="AI142" s="35">
        <f>H142+N142+T142+Z142+AF142</f>
        <v/>
      </c>
      <c r="AJ142" s="33">
        <f>AF142/AI142</f>
        <v/>
      </c>
      <c r="AK142">
        <f>IF(AJ142&gt;'Parámetros Proyección'!$B$5,1,0)</f>
        <v/>
      </c>
      <c r="AL142" s="35">
        <f>G142+M142+S142+Y142+AE142</f>
        <v/>
      </c>
      <c r="AM142" s="35">
        <f>AM141+D142</f>
        <v/>
      </c>
      <c r="AN142" s="35">
        <f>AN141+AL142</f>
        <v/>
      </c>
      <c r="AO142" s="35">
        <f>J142+P142+V142+AB142+AH142</f>
        <v/>
      </c>
    </row>
    <row r="143">
      <c r="A143" t="n">
        <v>140</v>
      </c>
      <c r="B143" s="34">
        <f>EDATE(B142,1)</f>
        <v/>
      </c>
      <c r="C143">
        <f>YEAR(B143)</f>
        <v/>
      </c>
      <c r="D143" s="35">
        <f>'Parámetros Proyección'!$B$3*(1+'Parámetros Proyección'!$B$4)^(C143-YEAR('Parámetros Proyección'!$B$6))</f>
        <v/>
      </c>
      <c r="E143" s="35">
        <f>J142</f>
        <v/>
      </c>
      <c r="F143" s="35">
        <f>E143*(1+'Parámetros Proyección'!$E$11)</f>
        <v/>
      </c>
      <c r="G143" s="35">
        <f>F143*'Parámetros Proyección'!$F$11</f>
        <v/>
      </c>
      <c r="H143" s="35">
        <f>F143+G143</f>
        <v/>
      </c>
      <c r="I143" s="35">
        <f>IF((H143/AI143&gt;'Parámetros Proyección'!$G$11),0,D143*'Parámetros Proyección'!$G$11/(IF((H143/AI143&gt;'Parámetros Proyección'!$G$11),0,'Parámetros Proyección'!$G$11)+IF((N143/AI143&gt;'Parámetros Proyección'!$G$12),0,'Parámetros Proyección'!$G$12)+IF((T143/AI143&gt;'Parámetros Proyección'!$G$13),0,'Parámetros Proyección'!$G$13)+IF((Z143/AI143&gt;'Parámetros Proyección'!$G$14),0,'Parámetros Proyección'!$G$14)+IF((AF143/AI143&gt;'Parámetros Proyección'!$G$15),0,'Parámetros Proyección'!$G$15)))</f>
        <v/>
      </c>
      <c r="J143" s="35">
        <f>H143+I143</f>
        <v/>
      </c>
      <c r="K143" s="35">
        <f>P142</f>
        <v/>
      </c>
      <c r="L143" s="35">
        <f>K143*(1+'Parámetros Proyección'!$E$12)</f>
        <v/>
      </c>
      <c r="M143" s="35">
        <f>L143*'Parámetros Proyección'!$F$12</f>
        <v/>
      </c>
      <c r="N143" s="35">
        <f>L143+M143</f>
        <v/>
      </c>
      <c r="O143" s="35">
        <f>IF((N143/AI143&gt;'Parámetros Proyección'!$G$12),0,D143*'Parámetros Proyección'!$G$12/(IF((H143/AI143&gt;'Parámetros Proyección'!$G$11),0,'Parámetros Proyección'!$G$11)+IF((N143/AI143&gt;'Parámetros Proyección'!$G$12),0,'Parámetros Proyección'!$G$12)+IF((T143/AI143&gt;'Parámetros Proyección'!$G$13),0,'Parámetros Proyección'!$G$13)+IF((Z143/AI143&gt;'Parámetros Proyección'!$G$14),0,'Parámetros Proyección'!$G$14)+IF((AF143/AI143&gt;'Parámetros Proyección'!$G$15),0,'Parámetros Proyección'!$G$15)))</f>
        <v/>
      </c>
      <c r="P143" s="35">
        <f>N143+O143</f>
        <v/>
      </c>
      <c r="Q143" s="35">
        <f>V142</f>
        <v/>
      </c>
      <c r="R143" s="35">
        <f>Q143*(1+'Parámetros Proyección'!$E$13)</f>
        <v/>
      </c>
      <c r="S143" s="35">
        <f>R143*'Parámetros Proyección'!$F$13</f>
        <v/>
      </c>
      <c r="T143" s="35">
        <f>R143+S143</f>
        <v/>
      </c>
      <c r="U143" s="35">
        <f>IF((T143/AI143&gt;'Parámetros Proyección'!$G$13),0,D143*'Parámetros Proyección'!$G$13/(IF((H143/AI143&gt;'Parámetros Proyección'!$G$11),0,'Parámetros Proyección'!$G$11)+IF((N143/AI143&gt;'Parámetros Proyección'!$G$12),0,'Parámetros Proyección'!$G$12)+IF((T143/AI143&gt;'Parámetros Proyección'!$G$13),0,'Parámetros Proyección'!$G$13)+IF((Z143/AI143&gt;'Parámetros Proyección'!$G$14),0,'Parámetros Proyección'!$G$14)+IF((AF143/AI143&gt;'Parámetros Proyección'!$G$15),0,'Parámetros Proyección'!$G$15)))</f>
        <v/>
      </c>
      <c r="V143" s="35">
        <f>T143+U143</f>
        <v/>
      </c>
      <c r="W143" s="35">
        <f>AB142</f>
        <v/>
      </c>
      <c r="X143" s="35">
        <f>W143*(1+'Parámetros Proyección'!$E$14)</f>
        <v/>
      </c>
      <c r="Y143" s="35">
        <f>X143*'Parámetros Proyección'!$F$14</f>
        <v/>
      </c>
      <c r="Z143" s="35">
        <f>X143+Y143</f>
        <v/>
      </c>
      <c r="AA143" s="35">
        <f>IF((Z143/AI143&gt;'Parámetros Proyección'!$G$14),0,D143*'Parámetros Proyección'!$G$14/(IF((H143/AI143&gt;'Parámetros Proyección'!$G$11),0,'Parámetros Proyección'!$G$11)+IF((N143/AI143&gt;'Parámetros Proyección'!$G$12),0,'Parámetros Proyección'!$G$12)+IF((T143/AI143&gt;'Parámetros Proyección'!$G$13),0,'Parámetros Proyección'!$G$13)+IF((Z143/AI143&gt;'Parámetros Proyección'!$G$14),0,'Parámetros Proyección'!$G$14)+IF((AF143/AI143&gt;'Parámetros Proyección'!$G$15),0,'Parámetros Proyección'!$G$15)))</f>
        <v/>
      </c>
      <c r="AB143" s="35">
        <f>Z143+AA143</f>
        <v/>
      </c>
      <c r="AC143" s="35">
        <f>AH142</f>
        <v/>
      </c>
      <c r="AD143" s="35">
        <f>AC143*(1+'Parámetros Proyección'!$E$15)</f>
        <v/>
      </c>
      <c r="AE143" s="35">
        <f>AD143*'Parámetros Proyección'!$F$15</f>
        <v/>
      </c>
      <c r="AF143" s="35">
        <f>AD143+AE143</f>
        <v/>
      </c>
      <c r="AG143" s="35">
        <f>IF((AF143/AI143&gt;'Parámetros Proyección'!$G$15),0,D143*'Parámetros Proyección'!$G$15/(IF((H143/AI143&gt;'Parámetros Proyección'!$G$11),0,'Parámetros Proyección'!$G$11)+IF((N143/AI143&gt;'Parámetros Proyección'!$G$12),0,'Parámetros Proyección'!$G$12)+IF((T143/AI143&gt;'Parámetros Proyección'!$G$13),0,'Parámetros Proyección'!$G$13)+IF((Z143/AI143&gt;'Parámetros Proyección'!$G$14),0,'Parámetros Proyección'!$G$14)+IF((AF143/AI143&gt;'Parámetros Proyección'!$G$15),0,'Parámetros Proyección'!$G$15)))</f>
        <v/>
      </c>
      <c r="AH143" s="35">
        <f>AF143+AG143</f>
        <v/>
      </c>
      <c r="AI143" s="35">
        <f>H143+N143+T143+Z143+AF143</f>
        <v/>
      </c>
      <c r="AJ143" s="33">
        <f>AF143/AI143</f>
        <v/>
      </c>
      <c r="AK143">
        <f>IF(AJ143&gt;'Parámetros Proyección'!$B$5,1,0)</f>
        <v/>
      </c>
      <c r="AL143" s="35">
        <f>G143+M143+S143+Y143+AE143</f>
        <v/>
      </c>
      <c r="AM143" s="35">
        <f>AM142+D143</f>
        <v/>
      </c>
      <c r="AN143" s="35">
        <f>AN142+AL143</f>
        <v/>
      </c>
      <c r="AO143" s="35">
        <f>J143+P143+V143+AB143+AH143</f>
        <v/>
      </c>
    </row>
    <row r="144">
      <c r="A144" t="n">
        <v>141</v>
      </c>
      <c r="B144" s="34">
        <f>EDATE(B143,1)</f>
        <v/>
      </c>
      <c r="C144">
        <f>YEAR(B144)</f>
        <v/>
      </c>
      <c r="D144" s="35">
        <f>'Parámetros Proyección'!$B$3*(1+'Parámetros Proyección'!$B$4)^(C144-YEAR('Parámetros Proyección'!$B$6))</f>
        <v/>
      </c>
      <c r="E144" s="35">
        <f>J143</f>
        <v/>
      </c>
      <c r="F144" s="35">
        <f>E144*(1+'Parámetros Proyección'!$E$11)</f>
        <v/>
      </c>
      <c r="G144" s="35">
        <f>F144*'Parámetros Proyección'!$F$11</f>
        <v/>
      </c>
      <c r="H144" s="35">
        <f>F144+G144</f>
        <v/>
      </c>
      <c r="I144" s="35">
        <f>IF((H144/AI144&gt;'Parámetros Proyección'!$G$11),0,D144*'Parámetros Proyección'!$G$11/(IF((H144/AI144&gt;'Parámetros Proyección'!$G$11),0,'Parámetros Proyección'!$G$11)+IF((N144/AI144&gt;'Parámetros Proyección'!$G$12),0,'Parámetros Proyección'!$G$12)+IF((T144/AI144&gt;'Parámetros Proyección'!$G$13),0,'Parámetros Proyección'!$G$13)+IF((Z144/AI144&gt;'Parámetros Proyección'!$G$14),0,'Parámetros Proyección'!$G$14)+IF((AF144/AI144&gt;'Parámetros Proyección'!$G$15),0,'Parámetros Proyección'!$G$15)))</f>
        <v/>
      </c>
      <c r="J144" s="35">
        <f>H144+I144</f>
        <v/>
      </c>
      <c r="K144" s="35">
        <f>P143</f>
        <v/>
      </c>
      <c r="L144" s="35">
        <f>K144*(1+'Parámetros Proyección'!$E$12)</f>
        <v/>
      </c>
      <c r="M144" s="35">
        <f>L144*'Parámetros Proyección'!$F$12</f>
        <v/>
      </c>
      <c r="N144" s="35">
        <f>L144+M144</f>
        <v/>
      </c>
      <c r="O144" s="35">
        <f>IF((N144/AI144&gt;'Parámetros Proyección'!$G$12),0,D144*'Parámetros Proyección'!$G$12/(IF((H144/AI144&gt;'Parámetros Proyección'!$G$11),0,'Parámetros Proyección'!$G$11)+IF((N144/AI144&gt;'Parámetros Proyección'!$G$12),0,'Parámetros Proyección'!$G$12)+IF((T144/AI144&gt;'Parámetros Proyección'!$G$13),0,'Parámetros Proyección'!$G$13)+IF((Z144/AI144&gt;'Parámetros Proyección'!$G$14),0,'Parámetros Proyección'!$G$14)+IF((AF144/AI144&gt;'Parámetros Proyección'!$G$15),0,'Parámetros Proyección'!$G$15)))</f>
        <v/>
      </c>
      <c r="P144" s="35">
        <f>N144+O144</f>
        <v/>
      </c>
      <c r="Q144" s="35">
        <f>V143</f>
        <v/>
      </c>
      <c r="R144" s="35">
        <f>Q144*(1+'Parámetros Proyección'!$E$13)</f>
        <v/>
      </c>
      <c r="S144" s="35">
        <f>R144*'Parámetros Proyección'!$F$13</f>
        <v/>
      </c>
      <c r="T144" s="35">
        <f>R144+S144</f>
        <v/>
      </c>
      <c r="U144" s="35">
        <f>IF((T144/AI144&gt;'Parámetros Proyección'!$G$13),0,D144*'Parámetros Proyección'!$G$13/(IF((H144/AI144&gt;'Parámetros Proyección'!$G$11),0,'Parámetros Proyección'!$G$11)+IF((N144/AI144&gt;'Parámetros Proyección'!$G$12),0,'Parámetros Proyección'!$G$12)+IF((T144/AI144&gt;'Parámetros Proyección'!$G$13),0,'Parámetros Proyección'!$G$13)+IF((Z144/AI144&gt;'Parámetros Proyección'!$G$14),0,'Parámetros Proyección'!$G$14)+IF((AF144/AI144&gt;'Parámetros Proyección'!$G$15),0,'Parámetros Proyección'!$G$15)))</f>
        <v/>
      </c>
      <c r="V144" s="35">
        <f>T144+U144</f>
        <v/>
      </c>
      <c r="W144" s="35">
        <f>AB143</f>
        <v/>
      </c>
      <c r="X144" s="35">
        <f>W144*(1+'Parámetros Proyección'!$E$14)</f>
        <v/>
      </c>
      <c r="Y144" s="35">
        <f>X144*'Parámetros Proyección'!$F$14</f>
        <v/>
      </c>
      <c r="Z144" s="35">
        <f>X144+Y144</f>
        <v/>
      </c>
      <c r="AA144" s="35">
        <f>IF((Z144/AI144&gt;'Parámetros Proyección'!$G$14),0,D144*'Parámetros Proyección'!$G$14/(IF((H144/AI144&gt;'Parámetros Proyección'!$G$11),0,'Parámetros Proyección'!$G$11)+IF((N144/AI144&gt;'Parámetros Proyección'!$G$12),0,'Parámetros Proyección'!$G$12)+IF((T144/AI144&gt;'Parámetros Proyección'!$G$13),0,'Parámetros Proyección'!$G$13)+IF((Z144/AI144&gt;'Parámetros Proyección'!$G$14),0,'Parámetros Proyección'!$G$14)+IF((AF144/AI144&gt;'Parámetros Proyección'!$G$15),0,'Parámetros Proyección'!$G$15)))</f>
        <v/>
      </c>
      <c r="AB144" s="35">
        <f>Z144+AA144</f>
        <v/>
      </c>
      <c r="AC144" s="35">
        <f>AH143</f>
        <v/>
      </c>
      <c r="AD144" s="35">
        <f>AC144*(1+'Parámetros Proyección'!$E$15)</f>
        <v/>
      </c>
      <c r="AE144" s="35">
        <f>AD144*'Parámetros Proyección'!$F$15</f>
        <v/>
      </c>
      <c r="AF144" s="35">
        <f>AD144+AE144</f>
        <v/>
      </c>
      <c r="AG144" s="35">
        <f>IF((AF144/AI144&gt;'Parámetros Proyección'!$G$15),0,D144*'Parámetros Proyección'!$G$15/(IF((H144/AI144&gt;'Parámetros Proyección'!$G$11),0,'Parámetros Proyección'!$G$11)+IF((N144/AI144&gt;'Parámetros Proyección'!$G$12),0,'Parámetros Proyección'!$G$12)+IF((T144/AI144&gt;'Parámetros Proyección'!$G$13),0,'Parámetros Proyección'!$G$13)+IF((Z144/AI144&gt;'Parámetros Proyección'!$G$14),0,'Parámetros Proyección'!$G$14)+IF((AF144/AI144&gt;'Parámetros Proyección'!$G$15),0,'Parámetros Proyección'!$G$15)))</f>
        <v/>
      </c>
      <c r="AH144" s="35">
        <f>AF144+AG144</f>
        <v/>
      </c>
      <c r="AI144" s="35">
        <f>H144+N144+T144+Z144+AF144</f>
        <v/>
      </c>
      <c r="AJ144" s="33">
        <f>AF144/AI144</f>
        <v/>
      </c>
      <c r="AK144">
        <f>IF(AJ144&gt;'Parámetros Proyección'!$B$5,1,0)</f>
        <v/>
      </c>
      <c r="AL144" s="35">
        <f>G144+M144+S144+Y144+AE144</f>
        <v/>
      </c>
      <c r="AM144" s="35">
        <f>AM143+D144</f>
        <v/>
      </c>
      <c r="AN144" s="35">
        <f>AN143+AL144</f>
        <v/>
      </c>
      <c r="AO144" s="35">
        <f>J144+P144+V144+AB144+AH144</f>
        <v/>
      </c>
    </row>
    <row r="145">
      <c r="A145" t="n">
        <v>142</v>
      </c>
      <c r="B145" s="34">
        <f>EDATE(B144,1)</f>
        <v/>
      </c>
      <c r="C145">
        <f>YEAR(B145)</f>
        <v/>
      </c>
      <c r="D145" s="35">
        <f>'Parámetros Proyección'!$B$3*(1+'Parámetros Proyección'!$B$4)^(C145-YEAR('Parámetros Proyección'!$B$6))</f>
        <v/>
      </c>
      <c r="E145" s="35">
        <f>J144</f>
        <v/>
      </c>
      <c r="F145" s="35">
        <f>E145*(1+'Parámetros Proyección'!$E$11)</f>
        <v/>
      </c>
      <c r="G145" s="35">
        <f>F145*'Parámetros Proyección'!$F$11</f>
        <v/>
      </c>
      <c r="H145" s="35">
        <f>F145+G145</f>
        <v/>
      </c>
      <c r="I145" s="35">
        <f>IF((H145/AI145&gt;'Parámetros Proyección'!$G$11),0,D145*'Parámetros Proyección'!$G$11/(IF((H145/AI145&gt;'Parámetros Proyección'!$G$11),0,'Parámetros Proyección'!$G$11)+IF((N145/AI145&gt;'Parámetros Proyección'!$G$12),0,'Parámetros Proyección'!$G$12)+IF((T145/AI145&gt;'Parámetros Proyección'!$G$13),0,'Parámetros Proyección'!$G$13)+IF((Z145/AI145&gt;'Parámetros Proyección'!$G$14),0,'Parámetros Proyección'!$G$14)+IF((AF145/AI145&gt;'Parámetros Proyección'!$G$15),0,'Parámetros Proyección'!$G$15)))</f>
        <v/>
      </c>
      <c r="J145" s="35">
        <f>H145+I145</f>
        <v/>
      </c>
      <c r="K145" s="35">
        <f>P144</f>
        <v/>
      </c>
      <c r="L145" s="35">
        <f>K145*(1+'Parámetros Proyección'!$E$12)</f>
        <v/>
      </c>
      <c r="M145" s="35">
        <f>L145*'Parámetros Proyección'!$F$12</f>
        <v/>
      </c>
      <c r="N145" s="35">
        <f>L145+M145</f>
        <v/>
      </c>
      <c r="O145" s="35">
        <f>IF((N145/AI145&gt;'Parámetros Proyección'!$G$12),0,D145*'Parámetros Proyección'!$G$12/(IF((H145/AI145&gt;'Parámetros Proyección'!$G$11),0,'Parámetros Proyección'!$G$11)+IF((N145/AI145&gt;'Parámetros Proyección'!$G$12),0,'Parámetros Proyección'!$G$12)+IF((T145/AI145&gt;'Parámetros Proyección'!$G$13),0,'Parámetros Proyección'!$G$13)+IF((Z145/AI145&gt;'Parámetros Proyección'!$G$14),0,'Parámetros Proyección'!$G$14)+IF((AF145/AI145&gt;'Parámetros Proyección'!$G$15),0,'Parámetros Proyección'!$G$15)))</f>
        <v/>
      </c>
      <c r="P145" s="35">
        <f>N145+O145</f>
        <v/>
      </c>
      <c r="Q145" s="35">
        <f>V144</f>
        <v/>
      </c>
      <c r="R145" s="35">
        <f>Q145*(1+'Parámetros Proyección'!$E$13)</f>
        <v/>
      </c>
      <c r="S145" s="35">
        <f>R145*'Parámetros Proyección'!$F$13</f>
        <v/>
      </c>
      <c r="T145" s="35">
        <f>R145+S145</f>
        <v/>
      </c>
      <c r="U145" s="35">
        <f>IF((T145/AI145&gt;'Parámetros Proyección'!$G$13),0,D145*'Parámetros Proyección'!$G$13/(IF((H145/AI145&gt;'Parámetros Proyección'!$G$11),0,'Parámetros Proyección'!$G$11)+IF((N145/AI145&gt;'Parámetros Proyección'!$G$12),0,'Parámetros Proyección'!$G$12)+IF((T145/AI145&gt;'Parámetros Proyección'!$G$13),0,'Parámetros Proyección'!$G$13)+IF((Z145/AI145&gt;'Parámetros Proyección'!$G$14),0,'Parámetros Proyección'!$G$14)+IF((AF145/AI145&gt;'Parámetros Proyección'!$G$15),0,'Parámetros Proyección'!$G$15)))</f>
        <v/>
      </c>
      <c r="V145" s="35">
        <f>T145+U145</f>
        <v/>
      </c>
      <c r="W145" s="35">
        <f>AB144</f>
        <v/>
      </c>
      <c r="X145" s="35">
        <f>W145*(1+'Parámetros Proyección'!$E$14)</f>
        <v/>
      </c>
      <c r="Y145" s="35">
        <f>X145*'Parámetros Proyección'!$F$14</f>
        <v/>
      </c>
      <c r="Z145" s="35">
        <f>X145+Y145</f>
        <v/>
      </c>
      <c r="AA145" s="35">
        <f>IF((Z145/AI145&gt;'Parámetros Proyección'!$G$14),0,D145*'Parámetros Proyección'!$G$14/(IF((H145/AI145&gt;'Parámetros Proyección'!$G$11),0,'Parámetros Proyección'!$G$11)+IF((N145/AI145&gt;'Parámetros Proyección'!$G$12),0,'Parámetros Proyección'!$G$12)+IF((T145/AI145&gt;'Parámetros Proyección'!$G$13),0,'Parámetros Proyección'!$G$13)+IF((Z145/AI145&gt;'Parámetros Proyección'!$G$14),0,'Parámetros Proyección'!$G$14)+IF((AF145/AI145&gt;'Parámetros Proyección'!$G$15),0,'Parámetros Proyección'!$G$15)))</f>
        <v/>
      </c>
      <c r="AB145" s="35">
        <f>Z145+AA145</f>
        <v/>
      </c>
      <c r="AC145" s="35">
        <f>AH144</f>
        <v/>
      </c>
      <c r="AD145" s="35">
        <f>AC145*(1+'Parámetros Proyección'!$E$15)</f>
        <v/>
      </c>
      <c r="AE145" s="35">
        <f>AD145*'Parámetros Proyección'!$F$15</f>
        <v/>
      </c>
      <c r="AF145" s="35">
        <f>AD145+AE145</f>
        <v/>
      </c>
      <c r="AG145" s="35">
        <f>IF((AF145/AI145&gt;'Parámetros Proyección'!$G$15),0,D145*'Parámetros Proyección'!$G$15/(IF((H145/AI145&gt;'Parámetros Proyección'!$G$11),0,'Parámetros Proyección'!$G$11)+IF((N145/AI145&gt;'Parámetros Proyección'!$G$12),0,'Parámetros Proyección'!$G$12)+IF((T145/AI145&gt;'Parámetros Proyección'!$G$13),0,'Parámetros Proyección'!$G$13)+IF((Z145/AI145&gt;'Parámetros Proyección'!$G$14),0,'Parámetros Proyección'!$G$14)+IF((AF145/AI145&gt;'Parámetros Proyección'!$G$15),0,'Parámetros Proyección'!$G$15)))</f>
        <v/>
      </c>
      <c r="AH145" s="35">
        <f>AF145+AG145</f>
        <v/>
      </c>
      <c r="AI145" s="35">
        <f>H145+N145+T145+Z145+AF145</f>
        <v/>
      </c>
      <c r="AJ145" s="33">
        <f>AF145/AI145</f>
        <v/>
      </c>
      <c r="AK145">
        <f>IF(AJ145&gt;'Parámetros Proyección'!$B$5,1,0)</f>
        <v/>
      </c>
      <c r="AL145" s="35">
        <f>G145+M145+S145+Y145+AE145</f>
        <v/>
      </c>
      <c r="AM145" s="35">
        <f>AM144+D145</f>
        <v/>
      </c>
      <c r="AN145" s="35">
        <f>AN144+AL145</f>
        <v/>
      </c>
      <c r="AO145" s="35">
        <f>J145+P145+V145+AB145+AH145</f>
        <v/>
      </c>
    </row>
    <row r="146">
      <c r="A146" t="n">
        <v>143</v>
      </c>
      <c r="B146" s="34">
        <f>EDATE(B145,1)</f>
        <v/>
      </c>
      <c r="C146">
        <f>YEAR(B146)</f>
        <v/>
      </c>
      <c r="D146" s="35">
        <f>'Parámetros Proyección'!$B$3*(1+'Parámetros Proyección'!$B$4)^(C146-YEAR('Parámetros Proyección'!$B$6))</f>
        <v/>
      </c>
      <c r="E146" s="35">
        <f>J145</f>
        <v/>
      </c>
      <c r="F146" s="35">
        <f>E146*(1+'Parámetros Proyección'!$E$11)</f>
        <v/>
      </c>
      <c r="G146" s="35">
        <f>F146*'Parámetros Proyección'!$F$11</f>
        <v/>
      </c>
      <c r="H146" s="35">
        <f>F146+G146</f>
        <v/>
      </c>
      <c r="I146" s="35">
        <f>IF((H146/AI146&gt;'Parámetros Proyección'!$G$11),0,D146*'Parámetros Proyección'!$G$11/(IF((H146/AI146&gt;'Parámetros Proyección'!$G$11),0,'Parámetros Proyección'!$G$11)+IF((N146/AI146&gt;'Parámetros Proyección'!$G$12),0,'Parámetros Proyección'!$G$12)+IF((T146/AI146&gt;'Parámetros Proyección'!$G$13),0,'Parámetros Proyección'!$G$13)+IF((Z146/AI146&gt;'Parámetros Proyección'!$G$14),0,'Parámetros Proyección'!$G$14)+IF((AF146/AI146&gt;'Parámetros Proyección'!$G$15),0,'Parámetros Proyección'!$G$15)))</f>
        <v/>
      </c>
      <c r="J146" s="35">
        <f>H146+I146</f>
        <v/>
      </c>
      <c r="K146" s="35">
        <f>P145</f>
        <v/>
      </c>
      <c r="L146" s="35">
        <f>K146*(1+'Parámetros Proyección'!$E$12)</f>
        <v/>
      </c>
      <c r="M146" s="35">
        <f>L146*'Parámetros Proyección'!$F$12</f>
        <v/>
      </c>
      <c r="N146" s="35">
        <f>L146+M146</f>
        <v/>
      </c>
      <c r="O146" s="35">
        <f>IF((N146/AI146&gt;'Parámetros Proyección'!$G$12),0,D146*'Parámetros Proyección'!$G$12/(IF((H146/AI146&gt;'Parámetros Proyección'!$G$11),0,'Parámetros Proyección'!$G$11)+IF((N146/AI146&gt;'Parámetros Proyección'!$G$12),0,'Parámetros Proyección'!$G$12)+IF((T146/AI146&gt;'Parámetros Proyección'!$G$13),0,'Parámetros Proyección'!$G$13)+IF((Z146/AI146&gt;'Parámetros Proyección'!$G$14),0,'Parámetros Proyección'!$G$14)+IF((AF146/AI146&gt;'Parámetros Proyección'!$G$15),0,'Parámetros Proyección'!$G$15)))</f>
        <v/>
      </c>
      <c r="P146" s="35">
        <f>N146+O146</f>
        <v/>
      </c>
      <c r="Q146" s="35">
        <f>V145</f>
        <v/>
      </c>
      <c r="R146" s="35">
        <f>Q146*(1+'Parámetros Proyección'!$E$13)</f>
        <v/>
      </c>
      <c r="S146" s="35">
        <f>R146*'Parámetros Proyección'!$F$13</f>
        <v/>
      </c>
      <c r="T146" s="35">
        <f>R146+S146</f>
        <v/>
      </c>
      <c r="U146" s="35">
        <f>IF((T146/AI146&gt;'Parámetros Proyección'!$G$13),0,D146*'Parámetros Proyección'!$G$13/(IF((H146/AI146&gt;'Parámetros Proyección'!$G$11),0,'Parámetros Proyección'!$G$11)+IF((N146/AI146&gt;'Parámetros Proyección'!$G$12),0,'Parámetros Proyección'!$G$12)+IF((T146/AI146&gt;'Parámetros Proyección'!$G$13),0,'Parámetros Proyección'!$G$13)+IF((Z146/AI146&gt;'Parámetros Proyección'!$G$14),0,'Parámetros Proyección'!$G$14)+IF((AF146/AI146&gt;'Parámetros Proyección'!$G$15),0,'Parámetros Proyección'!$G$15)))</f>
        <v/>
      </c>
      <c r="V146" s="35">
        <f>T146+U146</f>
        <v/>
      </c>
      <c r="W146" s="35">
        <f>AB145</f>
        <v/>
      </c>
      <c r="X146" s="35">
        <f>W146*(1+'Parámetros Proyección'!$E$14)</f>
        <v/>
      </c>
      <c r="Y146" s="35">
        <f>X146*'Parámetros Proyección'!$F$14</f>
        <v/>
      </c>
      <c r="Z146" s="35">
        <f>X146+Y146</f>
        <v/>
      </c>
      <c r="AA146" s="35">
        <f>IF((Z146/AI146&gt;'Parámetros Proyección'!$G$14),0,D146*'Parámetros Proyección'!$G$14/(IF((H146/AI146&gt;'Parámetros Proyección'!$G$11),0,'Parámetros Proyección'!$G$11)+IF((N146/AI146&gt;'Parámetros Proyección'!$G$12),0,'Parámetros Proyección'!$G$12)+IF((T146/AI146&gt;'Parámetros Proyección'!$G$13),0,'Parámetros Proyección'!$G$13)+IF((Z146/AI146&gt;'Parámetros Proyección'!$G$14),0,'Parámetros Proyección'!$G$14)+IF((AF146/AI146&gt;'Parámetros Proyección'!$G$15),0,'Parámetros Proyección'!$G$15)))</f>
        <v/>
      </c>
      <c r="AB146" s="35">
        <f>Z146+AA146</f>
        <v/>
      </c>
      <c r="AC146" s="35">
        <f>AH145</f>
        <v/>
      </c>
      <c r="AD146" s="35">
        <f>AC146*(1+'Parámetros Proyección'!$E$15)</f>
        <v/>
      </c>
      <c r="AE146" s="35">
        <f>AD146*'Parámetros Proyección'!$F$15</f>
        <v/>
      </c>
      <c r="AF146" s="35">
        <f>AD146+AE146</f>
        <v/>
      </c>
      <c r="AG146" s="35">
        <f>IF((AF146/AI146&gt;'Parámetros Proyección'!$G$15),0,D146*'Parámetros Proyección'!$G$15/(IF((H146/AI146&gt;'Parámetros Proyección'!$G$11),0,'Parámetros Proyección'!$G$11)+IF((N146/AI146&gt;'Parámetros Proyección'!$G$12),0,'Parámetros Proyección'!$G$12)+IF((T146/AI146&gt;'Parámetros Proyección'!$G$13),0,'Parámetros Proyección'!$G$13)+IF((Z146/AI146&gt;'Parámetros Proyección'!$G$14),0,'Parámetros Proyección'!$G$14)+IF((AF146/AI146&gt;'Parámetros Proyección'!$G$15),0,'Parámetros Proyección'!$G$15)))</f>
        <v/>
      </c>
      <c r="AH146" s="35">
        <f>AF146+AG146</f>
        <v/>
      </c>
      <c r="AI146" s="35">
        <f>H146+N146+T146+Z146+AF146</f>
        <v/>
      </c>
      <c r="AJ146" s="33">
        <f>AF146/AI146</f>
        <v/>
      </c>
      <c r="AK146">
        <f>IF(AJ146&gt;'Parámetros Proyección'!$B$5,1,0)</f>
        <v/>
      </c>
      <c r="AL146" s="35">
        <f>G146+M146+S146+Y146+AE146</f>
        <v/>
      </c>
      <c r="AM146" s="35">
        <f>AM145+D146</f>
        <v/>
      </c>
      <c r="AN146" s="35">
        <f>AN145+AL146</f>
        <v/>
      </c>
      <c r="AO146" s="35">
        <f>J146+P146+V146+AB146+AH146</f>
        <v/>
      </c>
    </row>
    <row r="147">
      <c r="A147" t="n">
        <v>144</v>
      </c>
      <c r="B147" s="34">
        <f>EDATE(B146,1)</f>
        <v/>
      </c>
      <c r="C147">
        <f>YEAR(B147)</f>
        <v/>
      </c>
      <c r="D147" s="35">
        <f>'Parámetros Proyección'!$B$3*(1+'Parámetros Proyección'!$B$4)^(C147-YEAR('Parámetros Proyección'!$B$6))</f>
        <v/>
      </c>
      <c r="E147" s="35">
        <f>J146</f>
        <v/>
      </c>
      <c r="F147" s="35">
        <f>E147*(1+'Parámetros Proyección'!$E$11)</f>
        <v/>
      </c>
      <c r="G147" s="35">
        <f>F147*'Parámetros Proyección'!$F$11</f>
        <v/>
      </c>
      <c r="H147" s="35">
        <f>F147+G147</f>
        <v/>
      </c>
      <c r="I147" s="35">
        <f>IF((H147/AI147&gt;'Parámetros Proyección'!$G$11),0,D147*'Parámetros Proyección'!$G$11/(IF((H147/AI147&gt;'Parámetros Proyección'!$G$11),0,'Parámetros Proyección'!$G$11)+IF((N147/AI147&gt;'Parámetros Proyección'!$G$12),0,'Parámetros Proyección'!$G$12)+IF((T147/AI147&gt;'Parámetros Proyección'!$G$13),0,'Parámetros Proyección'!$G$13)+IF((Z147/AI147&gt;'Parámetros Proyección'!$G$14),0,'Parámetros Proyección'!$G$14)+IF((AF147/AI147&gt;'Parámetros Proyección'!$G$15),0,'Parámetros Proyección'!$G$15)))</f>
        <v/>
      </c>
      <c r="J147" s="35">
        <f>H147+I147</f>
        <v/>
      </c>
      <c r="K147" s="35">
        <f>P146</f>
        <v/>
      </c>
      <c r="L147" s="35">
        <f>K147*(1+'Parámetros Proyección'!$E$12)</f>
        <v/>
      </c>
      <c r="M147" s="35">
        <f>L147*'Parámetros Proyección'!$F$12</f>
        <v/>
      </c>
      <c r="N147" s="35">
        <f>L147+M147</f>
        <v/>
      </c>
      <c r="O147" s="35">
        <f>IF((N147/AI147&gt;'Parámetros Proyección'!$G$12),0,D147*'Parámetros Proyección'!$G$12/(IF((H147/AI147&gt;'Parámetros Proyección'!$G$11),0,'Parámetros Proyección'!$G$11)+IF((N147/AI147&gt;'Parámetros Proyección'!$G$12),0,'Parámetros Proyección'!$G$12)+IF((T147/AI147&gt;'Parámetros Proyección'!$G$13),0,'Parámetros Proyección'!$G$13)+IF((Z147/AI147&gt;'Parámetros Proyección'!$G$14),0,'Parámetros Proyección'!$G$14)+IF((AF147/AI147&gt;'Parámetros Proyección'!$G$15),0,'Parámetros Proyección'!$G$15)))</f>
        <v/>
      </c>
      <c r="P147" s="35">
        <f>N147+O147</f>
        <v/>
      </c>
      <c r="Q147" s="35">
        <f>V146</f>
        <v/>
      </c>
      <c r="R147" s="35">
        <f>Q147*(1+'Parámetros Proyección'!$E$13)</f>
        <v/>
      </c>
      <c r="S147" s="35">
        <f>R147*'Parámetros Proyección'!$F$13</f>
        <v/>
      </c>
      <c r="T147" s="35">
        <f>R147+S147</f>
        <v/>
      </c>
      <c r="U147" s="35">
        <f>IF((T147/AI147&gt;'Parámetros Proyección'!$G$13),0,D147*'Parámetros Proyección'!$G$13/(IF((H147/AI147&gt;'Parámetros Proyección'!$G$11),0,'Parámetros Proyección'!$G$11)+IF((N147/AI147&gt;'Parámetros Proyección'!$G$12),0,'Parámetros Proyección'!$G$12)+IF((T147/AI147&gt;'Parámetros Proyección'!$G$13),0,'Parámetros Proyección'!$G$13)+IF((Z147/AI147&gt;'Parámetros Proyección'!$G$14),0,'Parámetros Proyección'!$G$14)+IF((AF147/AI147&gt;'Parámetros Proyección'!$G$15),0,'Parámetros Proyección'!$G$15)))</f>
        <v/>
      </c>
      <c r="V147" s="35">
        <f>T147+U147</f>
        <v/>
      </c>
      <c r="W147" s="35">
        <f>AB146</f>
        <v/>
      </c>
      <c r="X147" s="35">
        <f>W147*(1+'Parámetros Proyección'!$E$14)</f>
        <v/>
      </c>
      <c r="Y147" s="35">
        <f>X147*'Parámetros Proyección'!$F$14</f>
        <v/>
      </c>
      <c r="Z147" s="35">
        <f>X147+Y147</f>
        <v/>
      </c>
      <c r="AA147" s="35">
        <f>IF((Z147/AI147&gt;'Parámetros Proyección'!$G$14),0,D147*'Parámetros Proyección'!$G$14/(IF((H147/AI147&gt;'Parámetros Proyección'!$G$11),0,'Parámetros Proyección'!$G$11)+IF((N147/AI147&gt;'Parámetros Proyección'!$G$12),0,'Parámetros Proyección'!$G$12)+IF((T147/AI147&gt;'Parámetros Proyección'!$G$13),0,'Parámetros Proyección'!$G$13)+IF((Z147/AI147&gt;'Parámetros Proyección'!$G$14),0,'Parámetros Proyección'!$G$14)+IF((AF147/AI147&gt;'Parámetros Proyección'!$G$15),0,'Parámetros Proyección'!$G$15)))</f>
        <v/>
      </c>
      <c r="AB147" s="35">
        <f>Z147+AA147</f>
        <v/>
      </c>
      <c r="AC147" s="35">
        <f>AH146</f>
        <v/>
      </c>
      <c r="AD147" s="35">
        <f>AC147*(1+'Parámetros Proyección'!$E$15)</f>
        <v/>
      </c>
      <c r="AE147" s="35">
        <f>AD147*'Parámetros Proyección'!$F$15</f>
        <v/>
      </c>
      <c r="AF147" s="35">
        <f>AD147+AE147</f>
        <v/>
      </c>
      <c r="AG147" s="35">
        <f>IF((AF147/AI147&gt;'Parámetros Proyección'!$G$15),0,D147*'Parámetros Proyección'!$G$15/(IF((H147/AI147&gt;'Parámetros Proyección'!$G$11),0,'Parámetros Proyección'!$G$11)+IF((N147/AI147&gt;'Parámetros Proyección'!$G$12),0,'Parámetros Proyección'!$G$12)+IF((T147/AI147&gt;'Parámetros Proyección'!$G$13),0,'Parámetros Proyección'!$G$13)+IF((Z147/AI147&gt;'Parámetros Proyección'!$G$14),0,'Parámetros Proyección'!$G$14)+IF((AF147/AI147&gt;'Parámetros Proyección'!$G$15),0,'Parámetros Proyección'!$G$15)))</f>
        <v/>
      </c>
      <c r="AH147" s="35">
        <f>AF147+AG147</f>
        <v/>
      </c>
      <c r="AI147" s="35">
        <f>H147+N147+T147+Z147+AF147</f>
        <v/>
      </c>
      <c r="AJ147" s="33">
        <f>AF147/AI147</f>
        <v/>
      </c>
      <c r="AK147">
        <f>IF(AJ147&gt;'Parámetros Proyección'!$B$5,1,0)</f>
        <v/>
      </c>
      <c r="AL147" s="35">
        <f>G147+M147+S147+Y147+AE147</f>
        <v/>
      </c>
      <c r="AM147" s="35">
        <f>AM146+D147</f>
        <v/>
      </c>
      <c r="AN147" s="35">
        <f>AN146+AL147</f>
        <v/>
      </c>
      <c r="AO147" s="35">
        <f>J147+P147+V147+AB147+AH147</f>
        <v/>
      </c>
    </row>
    <row r="148">
      <c r="A148" t="n">
        <v>145</v>
      </c>
      <c r="B148" s="34">
        <f>EDATE(B147,1)</f>
        <v/>
      </c>
      <c r="C148">
        <f>YEAR(B148)</f>
        <v/>
      </c>
      <c r="D148" s="35">
        <f>'Parámetros Proyección'!$B$3*(1+'Parámetros Proyección'!$B$4)^(C148-YEAR('Parámetros Proyección'!$B$6))</f>
        <v/>
      </c>
      <c r="E148" s="35">
        <f>J147</f>
        <v/>
      </c>
      <c r="F148" s="35">
        <f>E148*(1+'Parámetros Proyección'!$E$11)</f>
        <v/>
      </c>
      <c r="G148" s="35">
        <f>F148*'Parámetros Proyección'!$F$11</f>
        <v/>
      </c>
      <c r="H148" s="35">
        <f>F148+G148</f>
        <v/>
      </c>
      <c r="I148" s="35">
        <f>IF((H148/AI148&gt;'Parámetros Proyección'!$G$11),0,D148*'Parámetros Proyección'!$G$11/(IF((H148/AI148&gt;'Parámetros Proyección'!$G$11),0,'Parámetros Proyección'!$G$11)+IF((N148/AI148&gt;'Parámetros Proyección'!$G$12),0,'Parámetros Proyección'!$G$12)+IF((T148/AI148&gt;'Parámetros Proyección'!$G$13),0,'Parámetros Proyección'!$G$13)+IF((Z148/AI148&gt;'Parámetros Proyección'!$G$14),0,'Parámetros Proyección'!$G$14)+IF((AF148/AI148&gt;'Parámetros Proyección'!$G$15),0,'Parámetros Proyección'!$G$15)))</f>
        <v/>
      </c>
      <c r="J148" s="35">
        <f>H148+I148</f>
        <v/>
      </c>
      <c r="K148" s="35">
        <f>P147</f>
        <v/>
      </c>
      <c r="L148" s="35">
        <f>K148*(1+'Parámetros Proyección'!$E$12)</f>
        <v/>
      </c>
      <c r="M148" s="35">
        <f>L148*'Parámetros Proyección'!$F$12</f>
        <v/>
      </c>
      <c r="N148" s="35">
        <f>L148+M148</f>
        <v/>
      </c>
      <c r="O148" s="35">
        <f>IF((N148/AI148&gt;'Parámetros Proyección'!$G$12),0,D148*'Parámetros Proyección'!$G$12/(IF((H148/AI148&gt;'Parámetros Proyección'!$G$11),0,'Parámetros Proyección'!$G$11)+IF((N148/AI148&gt;'Parámetros Proyección'!$G$12),0,'Parámetros Proyección'!$G$12)+IF((T148/AI148&gt;'Parámetros Proyección'!$G$13),0,'Parámetros Proyección'!$G$13)+IF((Z148/AI148&gt;'Parámetros Proyección'!$G$14),0,'Parámetros Proyección'!$G$14)+IF((AF148/AI148&gt;'Parámetros Proyección'!$G$15),0,'Parámetros Proyección'!$G$15)))</f>
        <v/>
      </c>
      <c r="P148" s="35">
        <f>N148+O148</f>
        <v/>
      </c>
      <c r="Q148" s="35">
        <f>V147</f>
        <v/>
      </c>
      <c r="R148" s="35">
        <f>Q148*(1+'Parámetros Proyección'!$E$13)</f>
        <v/>
      </c>
      <c r="S148" s="35">
        <f>R148*'Parámetros Proyección'!$F$13</f>
        <v/>
      </c>
      <c r="T148" s="35">
        <f>R148+S148</f>
        <v/>
      </c>
      <c r="U148" s="35">
        <f>IF((T148/AI148&gt;'Parámetros Proyección'!$G$13),0,D148*'Parámetros Proyección'!$G$13/(IF((H148/AI148&gt;'Parámetros Proyección'!$G$11),0,'Parámetros Proyección'!$G$11)+IF((N148/AI148&gt;'Parámetros Proyección'!$G$12),0,'Parámetros Proyección'!$G$12)+IF((T148/AI148&gt;'Parámetros Proyección'!$G$13),0,'Parámetros Proyección'!$G$13)+IF((Z148/AI148&gt;'Parámetros Proyección'!$G$14),0,'Parámetros Proyección'!$G$14)+IF((AF148/AI148&gt;'Parámetros Proyección'!$G$15),0,'Parámetros Proyección'!$G$15)))</f>
        <v/>
      </c>
      <c r="V148" s="35">
        <f>T148+U148</f>
        <v/>
      </c>
      <c r="W148" s="35">
        <f>AB147</f>
        <v/>
      </c>
      <c r="X148" s="35">
        <f>W148*(1+'Parámetros Proyección'!$E$14)</f>
        <v/>
      </c>
      <c r="Y148" s="35">
        <f>X148*'Parámetros Proyección'!$F$14</f>
        <v/>
      </c>
      <c r="Z148" s="35">
        <f>X148+Y148</f>
        <v/>
      </c>
      <c r="AA148" s="35">
        <f>IF((Z148/AI148&gt;'Parámetros Proyección'!$G$14),0,D148*'Parámetros Proyección'!$G$14/(IF((H148/AI148&gt;'Parámetros Proyección'!$G$11),0,'Parámetros Proyección'!$G$11)+IF((N148/AI148&gt;'Parámetros Proyección'!$G$12),0,'Parámetros Proyección'!$G$12)+IF((T148/AI148&gt;'Parámetros Proyección'!$G$13),0,'Parámetros Proyección'!$G$13)+IF((Z148/AI148&gt;'Parámetros Proyección'!$G$14),0,'Parámetros Proyección'!$G$14)+IF((AF148/AI148&gt;'Parámetros Proyección'!$G$15),0,'Parámetros Proyección'!$G$15)))</f>
        <v/>
      </c>
      <c r="AB148" s="35">
        <f>Z148+AA148</f>
        <v/>
      </c>
      <c r="AC148" s="35">
        <f>AH147</f>
        <v/>
      </c>
      <c r="AD148" s="35">
        <f>AC148*(1+'Parámetros Proyección'!$E$15)</f>
        <v/>
      </c>
      <c r="AE148" s="35">
        <f>AD148*'Parámetros Proyección'!$F$15</f>
        <v/>
      </c>
      <c r="AF148" s="35">
        <f>AD148+AE148</f>
        <v/>
      </c>
      <c r="AG148" s="35">
        <f>IF((AF148/AI148&gt;'Parámetros Proyección'!$G$15),0,D148*'Parámetros Proyección'!$G$15/(IF((H148/AI148&gt;'Parámetros Proyección'!$G$11),0,'Parámetros Proyección'!$G$11)+IF((N148/AI148&gt;'Parámetros Proyección'!$G$12),0,'Parámetros Proyección'!$G$12)+IF((T148/AI148&gt;'Parámetros Proyección'!$G$13),0,'Parámetros Proyección'!$G$13)+IF((Z148/AI148&gt;'Parámetros Proyección'!$G$14),0,'Parámetros Proyección'!$G$14)+IF((AF148/AI148&gt;'Parámetros Proyección'!$G$15),0,'Parámetros Proyección'!$G$15)))</f>
        <v/>
      </c>
      <c r="AH148" s="35">
        <f>AF148+AG148</f>
        <v/>
      </c>
      <c r="AI148" s="35">
        <f>H148+N148+T148+Z148+AF148</f>
        <v/>
      </c>
      <c r="AJ148" s="33">
        <f>AF148/AI148</f>
        <v/>
      </c>
      <c r="AK148">
        <f>IF(AJ148&gt;'Parámetros Proyección'!$B$5,1,0)</f>
        <v/>
      </c>
      <c r="AL148" s="35">
        <f>G148+M148+S148+Y148+AE148</f>
        <v/>
      </c>
      <c r="AM148" s="35">
        <f>AM147+D148</f>
        <v/>
      </c>
      <c r="AN148" s="35">
        <f>AN147+AL148</f>
        <v/>
      </c>
      <c r="AO148" s="35">
        <f>J148+P148+V148+AB148+AH148</f>
        <v/>
      </c>
    </row>
    <row r="149">
      <c r="A149" t="n">
        <v>146</v>
      </c>
      <c r="B149" s="34">
        <f>EDATE(B148,1)</f>
        <v/>
      </c>
      <c r="C149">
        <f>YEAR(B149)</f>
        <v/>
      </c>
      <c r="D149" s="35">
        <f>'Parámetros Proyección'!$B$3*(1+'Parámetros Proyección'!$B$4)^(C149-YEAR('Parámetros Proyección'!$B$6))</f>
        <v/>
      </c>
      <c r="E149" s="35">
        <f>J148</f>
        <v/>
      </c>
      <c r="F149" s="35">
        <f>E149*(1+'Parámetros Proyección'!$E$11)</f>
        <v/>
      </c>
      <c r="G149" s="35">
        <f>F149*'Parámetros Proyección'!$F$11</f>
        <v/>
      </c>
      <c r="H149" s="35">
        <f>F149+G149</f>
        <v/>
      </c>
      <c r="I149" s="35">
        <f>IF((H149/AI149&gt;'Parámetros Proyección'!$G$11),0,D149*'Parámetros Proyección'!$G$11/(IF((H149/AI149&gt;'Parámetros Proyección'!$G$11),0,'Parámetros Proyección'!$G$11)+IF((N149/AI149&gt;'Parámetros Proyección'!$G$12),0,'Parámetros Proyección'!$G$12)+IF((T149/AI149&gt;'Parámetros Proyección'!$G$13),0,'Parámetros Proyección'!$G$13)+IF((Z149/AI149&gt;'Parámetros Proyección'!$G$14),0,'Parámetros Proyección'!$G$14)+IF((AF149/AI149&gt;'Parámetros Proyección'!$G$15),0,'Parámetros Proyección'!$G$15)))</f>
        <v/>
      </c>
      <c r="J149" s="35">
        <f>H149+I149</f>
        <v/>
      </c>
      <c r="K149" s="35">
        <f>P148</f>
        <v/>
      </c>
      <c r="L149" s="35">
        <f>K149*(1+'Parámetros Proyección'!$E$12)</f>
        <v/>
      </c>
      <c r="M149" s="35">
        <f>L149*'Parámetros Proyección'!$F$12</f>
        <v/>
      </c>
      <c r="N149" s="35">
        <f>L149+M149</f>
        <v/>
      </c>
      <c r="O149" s="35">
        <f>IF((N149/AI149&gt;'Parámetros Proyección'!$G$12),0,D149*'Parámetros Proyección'!$G$12/(IF((H149/AI149&gt;'Parámetros Proyección'!$G$11),0,'Parámetros Proyección'!$G$11)+IF((N149/AI149&gt;'Parámetros Proyección'!$G$12),0,'Parámetros Proyección'!$G$12)+IF((T149/AI149&gt;'Parámetros Proyección'!$G$13),0,'Parámetros Proyección'!$G$13)+IF((Z149/AI149&gt;'Parámetros Proyección'!$G$14),0,'Parámetros Proyección'!$G$14)+IF((AF149/AI149&gt;'Parámetros Proyección'!$G$15),0,'Parámetros Proyección'!$G$15)))</f>
        <v/>
      </c>
      <c r="P149" s="35">
        <f>N149+O149</f>
        <v/>
      </c>
      <c r="Q149" s="35">
        <f>V148</f>
        <v/>
      </c>
      <c r="R149" s="35">
        <f>Q149*(1+'Parámetros Proyección'!$E$13)</f>
        <v/>
      </c>
      <c r="S149" s="35">
        <f>R149*'Parámetros Proyección'!$F$13</f>
        <v/>
      </c>
      <c r="T149" s="35">
        <f>R149+S149</f>
        <v/>
      </c>
      <c r="U149" s="35">
        <f>IF((T149/AI149&gt;'Parámetros Proyección'!$G$13),0,D149*'Parámetros Proyección'!$G$13/(IF((H149/AI149&gt;'Parámetros Proyección'!$G$11),0,'Parámetros Proyección'!$G$11)+IF((N149/AI149&gt;'Parámetros Proyección'!$G$12),0,'Parámetros Proyección'!$G$12)+IF((T149/AI149&gt;'Parámetros Proyección'!$G$13),0,'Parámetros Proyección'!$G$13)+IF((Z149/AI149&gt;'Parámetros Proyección'!$G$14),0,'Parámetros Proyección'!$G$14)+IF((AF149/AI149&gt;'Parámetros Proyección'!$G$15),0,'Parámetros Proyección'!$G$15)))</f>
        <v/>
      </c>
      <c r="V149" s="35">
        <f>T149+U149</f>
        <v/>
      </c>
      <c r="W149" s="35">
        <f>AB148</f>
        <v/>
      </c>
      <c r="X149" s="35">
        <f>W149*(1+'Parámetros Proyección'!$E$14)</f>
        <v/>
      </c>
      <c r="Y149" s="35">
        <f>X149*'Parámetros Proyección'!$F$14</f>
        <v/>
      </c>
      <c r="Z149" s="35">
        <f>X149+Y149</f>
        <v/>
      </c>
      <c r="AA149" s="35">
        <f>IF((Z149/AI149&gt;'Parámetros Proyección'!$G$14),0,D149*'Parámetros Proyección'!$G$14/(IF((H149/AI149&gt;'Parámetros Proyección'!$G$11),0,'Parámetros Proyección'!$G$11)+IF((N149/AI149&gt;'Parámetros Proyección'!$G$12),0,'Parámetros Proyección'!$G$12)+IF((T149/AI149&gt;'Parámetros Proyección'!$G$13),0,'Parámetros Proyección'!$G$13)+IF((Z149/AI149&gt;'Parámetros Proyección'!$G$14),0,'Parámetros Proyección'!$G$14)+IF((AF149/AI149&gt;'Parámetros Proyección'!$G$15),0,'Parámetros Proyección'!$G$15)))</f>
        <v/>
      </c>
      <c r="AB149" s="35">
        <f>Z149+AA149</f>
        <v/>
      </c>
      <c r="AC149" s="35">
        <f>AH148</f>
        <v/>
      </c>
      <c r="AD149" s="35">
        <f>AC149*(1+'Parámetros Proyección'!$E$15)</f>
        <v/>
      </c>
      <c r="AE149" s="35">
        <f>AD149*'Parámetros Proyección'!$F$15</f>
        <v/>
      </c>
      <c r="AF149" s="35">
        <f>AD149+AE149</f>
        <v/>
      </c>
      <c r="AG149" s="35">
        <f>IF((AF149/AI149&gt;'Parámetros Proyección'!$G$15),0,D149*'Parámetros Proyección'!$G$15/(IF((H149/AI149&gt;'Parámetros Proyección'!$G$11),0,'Parámetros Proyección'!$G$11)+IF((N149/AI149&gt;'Parámetros Proyección'!$G$12),0,'Parámetros Proyección'!$G$12)+IF((T149/AI149&gt;'Parámetros Proyección'!$G$13),0,'Parámetros Proyección'!$G$13)+IF((Z149/AI149&gt;'Parámetros Proyección'!$G$14),0,'Parámetros Proyección'!$G$14)+IF((AF149/AI149&gt;'Parámetros Proyección'!$G$15),0,'Parámetros Proyección'!$G$15)))</f>
        <v/>
      </c>
      <c r="AH149" s="35">
        <f>AF149+AG149</f>
        <v/>
      </c>
      <c r="AI149" s="35">
        <f>H149+N149+T149+Z149+AF149</f>
        <v/>
      </c>
      <c r="AJ149" s="33">
        <f>AF149/AI149</f>
        <v/>
      </c>
      <c r="AK149">
        <f>IF(AJ149&gt;'Parámetros Proyección'!$B$5,1,0)</f>
        <v/>
      </c>
      <c r="AL149" s="35">
        <f>G149+M149+S149+Y149+AE149</f>
        <v/>
      </c>
      <c r="AM149" s="35">
        <f>AM148+D149</f>
        <v/>
      </c>
      <c r="AN149" s="35">
        <f>AN148+AL149</f>
        <v/>
      </c>
      <c r="AO149" s="35">
        <f>J149+P149+V149+AB149+AH149</f>
        <v/>
      </c>
    </row>
    <row r="150">
      <c r="A150" t="n">
        <v>147</v>
      </c>
      <c r="B150" s="34">
        <f>EDATE(B149,1)</f>
        <v/>
      </c>
      <c r="C150">
        <f>YEAR(B150)</f>
        <v/>
      </c>
      <c r="D150" s="35">
        <f>'Parámetros Proyección'!$B$3*(1+'Parámetros Proyección'!$B$4)^(C150-YEAR('Parámetros Proyección'!$B$6))</f>
        <v/>
      </c>
      <c r="E150" s="35">
        <f>J149</f>
        <v/>
      </c>
      <c r="F150" s="35">
        <f>E150*(1+'Parámetros Proyección'!$E$11)</f>
        <v/>
      </c>
      <c r="G150" s="35">
        <f>F150*'Parámetros Proyección'!$F$11</f>
        <v/>
      </c>
      <c r="H150" s="35">
        <f>F150+G150</f>
        <v/>
      </c>
      <c r="I150" s="35">
        <f>IF((H150/AI150&gt;'Parámetros Proyección'!$G$11),0,D150*'Parámetros Proyección'!$G$11/(IF((H150/AI150&gt;'Parámetros Proyección'!$G$11),0,'Parámetros Proyección'!$G$11)+IF((N150/AI150&gt;'Parámetros Proyección'!$G$12),0,'Parámetros Proyección'!$G$12)+IF((T150/AI150&gt;'Parámetros Proyección'!$G$13),0,'Parámetros Proyección'!$G$13)+IF((Z150/AI150&gt;'Parámetros Proyección'!$G$14),0,'Parámetros Proyección'!$G$14)+IF((AF150/AI150&gt;'Parámetros Proyección'!$G$15),0,'Parámetros Proyección'!$G$15)))</f>
        <v/>
      </c>
      <c r="J150" s="35">
        <f>H150+I150</f>
        <v/>
      </c>
      <c r="K150" s="35">
        <f>P149</f>
        <v/>
      </c>
      <c r="L150" s="35">
        <f>K150*(1+'Parámetros Proyección'!$E$12)</f>
        <v/>
      </c>
      <c r="M150" s="35">
        <f>L150*'Parámetros Proyección'!$F$12</f>
        <v/>
      </c>
      <c r="N150" s="35">
        <f>L150+M150</f>
        <v/>
      </c>
      <c r="O150" s="35">
        <f>IF((N150/AI150&gt;'Parámetros Proyección'!$G$12),0,D150*'Parámetros Proyección'!$G$12/(IF((H150/AI150&gt;'Parámetros Proyección'!$G$11),0,'Parámetros Proyección'!$G$11)+IF((N150/AI150&gt;'Parámetros Proyección'!$G$12),0,'Parámetros Proyección'!$G$12)+IF((T150/AI150&gt;'Parámetros Proyección'!$G$13),0,'Parámetros Proyección'!$G$13)+IF((Z150/AI150&gt;'Parámetros Proyección'!$G$14),0,'Parámetros Proyección'!$G$14)+IF((AF150/AI150&gt;'Parámetros Proyección'!$G$15),0,'Parámetros Proyección'!$G$15)))</f>
        <v/>
      </c>
      <c r="P150" s="35">
        <f>N150+O150</f>
        <v/>
      </c>
      <c r="Q150" s="35">
        <f>V149</f>
        <v/>
      </c>
      <c r="R150" s="35">
        <f>Q150*(1+'Parámetros Proyección'!$E$13)</f>
        <v/>
      </c>
      <c r="S150" s="35">
        <f>R150*'Parámetros Proyección'!$F$13</f>
        <v/>
      </c>
      <c r="T150" s="35">
        <f>R150+S150</f>
        <v/>
      </c>
      <c r="U150" s="35">
        <f>IF((T150/AI150&gt;'Parámetros Proyección'!$G$13),0,D150*'Parámetros Proyección'!$G$13/(IF((H150/AI150&gt;'Parámetros Proyección'!$G$11),0,'Parámetros Proyección'!$G$11)+IF((N150/AI150&gt;'Parámetros Proyección'!$G$12),0,'Parámetros Proyección'!$G$12)+IF((T150/AI150&gt;'Parámetros Proyección'!$G$13),0,'Parámetros Proyección'!$G$13)+IF((Z150/AI150&gt;'Parámetros Proyección'!$G$14),0,'Parámetros Proyección'!$G$14)+IF((AF150/AI150&gt;'Parámetros Proyección'!$G$15),0,'Parámetros Proyección'!$G$15)))</f>
        <v/>
      </c>
      <c r="V150" s="35">
        <f>T150+U150</f>
        <v/>
      </c>
      <c r="W150" s="35">
        <f>AB149</f>
        <v/>
      </c>
      <c r="X150" s="35">
        <f>W150*(1+'Parámetros Proyección'!$E$14)</f>
        <v/>
      </c>
      <c r="Y150" s="35">
        <f>X150*'Parámetros Proyección'!$F$14</f>
        <v/>
      </c>
      <c r="Z150" s="35">
        <f>X150+Y150</f>
        <v/>
      </c>
      <c r="AA150" s="35">
        <f>IF((Z150/AI150&gt;'Parámetros Proyección'!$G$14),0,D150*'Parámetros Proyección'!$G$14/(IF((H150/AI150&gt;'Parámetros Proyección'!$G$11),0,'Parámetros Proyección'!$G$11)+IF((N150/AI150&gt;'Parámetros Proyección'!$G$12),0,'Parámetros Proyección'!$G$12)+IF((T150/AI150&gt;'Parámetros Proyección'!$G$13),0,'Parámetros Proyección'!$G$13)+IF((Z150/AI150&gt;'Parámetros Proyección'!$G$14),0,'Parámetros Proyección'!$G$14)+IF((AF150/AI150&gt;'Parámetros Proyección'!$G$15),0,'Parámetros Proyección'!$G$15)))</f>
        <v/>
      </c>
      <c r="AB150" s="35">
        <f>Z150+AA150</f>
        <v/>
      </c>
      <c r="AC150" s="35">
        <f>AH149</f>
        <v/>
      </c>
      <c r="AD150" s="35">
        <f>AC150*(1+'Parámetros Proyección'!$E$15)</f>
        <v/>
      </c>
      <c r="AE150" s="35">
        <f>AD150*'Parámetros Proyección'!$F$15</f>
        <v/>
      </c>
      <c r="AF150" s="35">
        <f>AD150+AE150</f>
        <v/>
      </c>
      <c r="AG150" s="35">
        <f>IF((AF150/AI150&gt;'Parámetros Proyección'!$G$15),0,D150*'Parámetros Proyección'!$G$15/(IF((H150/AI150&gt;'Parámetros Proyección'!$G$11),0,'Parámetros Proyección'!$G$11)+IF((N150/AI150&gt;'Parámetros Proyección'!$G$12),0,'Parámetros Proyección'!$G$12)+IF((T150/AI150&gt;'Parámetros Proyección'!$G$13),0,'Parámetros Proyección'!$G$13)+IF((Z150/AI150&gt;'Parámetros Proyección'!$G$14),0,'Parámetros Proyección'!$G$14)+IF((AF150/AI150&gt;'Parámetros Proyección'!$G$15),0,'Parámetros Proyección'!$G$15)))</f>
        <v/>
      </c>
      <c r="AH150" s="35">
        <f>AF150+AG150</f>
        <v/>
      </c>
      <c r="AI150" s="35">
        <f>H150+N150+T150+Z150+AF150</f>
        <v/>
      </c>
      <c r="AJ150" s="33">
        <f>AF150/AI150</f>
        <v/>
      </c>
      <c r="AK150">
        <f>IF(AJ150&gt;'Parámetros Proyección'!$B$5,1,0)</f>
        <v/>
      </c>
      <c r="AL150" s="35">
        <f>G150+M150+S150+Y150+AE150</f>
        <v/>
      </c>
      <c r="AM150" s="35">
        <f>AM149+D150</f>
        <v/>
      </c>
      <c r="AN150" s="35">
        <f>AN149+AL150</f>
        <v/>
      </c>
      <c r="AO150" s="35">
        <f>J150+P150+V150+AB150+AH150</f>
        <v/>
      </c>
    </row>
    <row r="151">
      <c r="A151" t="n">
        <v>148</v>
      </c>
      <c r="B151" s="34">
        <f>EDATE(B150,1)</f>
        <v/>
      </c>
      <c r="C151">
        <f>YEAR(B151)</f>
        <v/>
      </c>
      <c r="D151" s="35">
        <f>'Parámetros Proyección'!$B$3*(1+'Parámetros Proyección'!$B$4)^(C151-YEAR('Parámetros Proyección'!$B$6))</f>
        <v/>
      </c>
      <c r="E151" s="35">
        <f>J150</f>
        <v/>
      </c>
      <c r="F151" s="35">
        <f>E151*(1+'Parámetros Proyección'!$E$11)</f>
        <v/>
      </c>
      <c r="G151" s="35">
        <f>F151*'Parámetros Proyección'!$F$11</f>
        <v/>
      </c>
      <c r="H151" s="35">
        <f>F151+G151</f>
        <v/>
      </c>
      <c r="I151" s="35">
        <f>IF((H151/AI151&gt;'Parámetros Proyección'!$G$11),0,D151*'Parámetros Proyección'!$G$11/(IF((H151/AI151&gt;'Parámetros Proyección'!$G$11),0,'Parámetros Proyección'!$G$11)+IF((N151/AI151&gt;'Parámetros Proyección'!$G$12),0,'Parámetros Proyección'!$G$12)+IF((T151/AI151&gt;'Parámetros Proyección'!$G$13),0,'Parámetros Proyección'!$G$13)+IF((Z151/AI151&gt;'Parámetros Proyección'!$G$14),0,'Parámetros Proyección'!$G$14)+IF((AF151/AI151&gt;'Parámetros Proyección'!$G$15),0,'Parámetros Proyección'!$G$15)))</f>
        <v/>
      </c>
      <c r="J151" s="35">
        <f>H151+I151</f>
        <v/>
      </c>
      <c r="K151" s="35">
        <f>P150</f>
        <v/>
      </c>
      <c r="L151" s="35">
        <f>K151*(1+'Parámetros Proyección'!$E$12)</f>
        <v/>
      </c>
      <c r="M151" s="35">
        <f>L151*'Parámetros Proyección'!$F$12</f>
        <v/>
      </c>
      <c r="N151" s="35">
        <f>L151+M151</f>
        <v/>
      </c>
      <c r="O151" s="35">
        <f>IF((N151/AI151&gt;'Parámetros Proyección'!$G$12),0,D151*'Parámetros Proyección'!$G$12/(IF((H151/AI151&gt;'Parámetros Proyección'!$G$11),0,'Parámetros Proyección'!$G$11)+IF((N151/AI151&gt;'Parámetros Proyección'!$G$12),0,'Parámetros Proyección'!$G$12)+IF((T151/AI151&gt;'Parámetros Proyección'!$G$13),0,'Parámetros Proyección'!$G$13)+IF((Z151/AI151&gt;'Parámetros Proyección'!$G$14),0,'Parámetros Proyección'!$G$14)+IF((AF151/AI151&gt;'Parámetros Proyección'!$G$15),0,'Parámetros Proyección'!$G$15)))</f>
        <v/>
      </c>
      <c r="P151" s="35">
        <f>N151+O151</f>
        <v/>
      </c>
      <c r="Q151" s="35">
        <f>V150</f>
        <v/>
      </c>
      <c r="R151" s="35">
        <f>Q151*(1+'Parámetros Proyección'!$E$13)</f>
        <v/>
      </c>
      <c r="S151" s="35">
        <f>R151*'Parámetros Proyección'!$F$13</f>
        <v/>
      </c>
      <c r="T151" s="35">
        <f>R151+S151</f>
        <v/>
      </c>
      <c r="U151" s="35">
        <f>IF((T151/AI151&gt;'Parámetros Proyección'!$G$13),0,D151*'Parámetros Proyección'!$G$13/(IF((H151/AI151&gt;'Parámetros Proyección'!$G$11),0,'Parámetros Proyección'!$G$11)+IF((N151/AI151&gt;'Parámetros Proyección'!$G$12),0,'Parámetros Proyección'!$G$12)+IF((T151/AI151&gt;'Parámetros Proyección'!$G$13),0,'Parámetros Proyección'!$G$13)+IF((Z151/AI151&gt;'Parámetros Proyección'!$G$14),0,'Parámetros Proyección'!$G$14)+IF((AF151/AI151&gt;'Parámetros Proyección'!$G$15),0,'Parámetros Proyección'!$G$15)))</f>
        <v/>
      </c>
      <c r="V151" s="35">
        <f>T151+U151</f>
        <v/>
      </c>
      <c r="W151" s="35">
        <f>AB150</f>
        <v/>
      </c>
      <c r="X151" s="35">
        <f>W151*(1+'Parámetros Proyección'!$E$14)</f>
        <v/>
      </c>
      <c r="Y151" s="35">
        <f>X151*'Parámetros Proyección'!$F$14</f>
        <v/>
      </c>
      <c r="Z151" s="35">
        <f>X151+Y151</f>
        <v/>
      </c>
      <c r="AA151" s="35">
        <f>IF((Z151/AI151&gt;'Parámetros Proyección'!$G$14),0,D151*'Parámetros Proyección'!$G$14/(IF((H151/AI151&gt;'Parámetros Proyección'!$G$11),0,'Parámetros Proyección'!$G$11)+IF((N151/AI151&gt;'Parámetros Proyección'!$G$12),0,'Parámetros Proyección'!$G$12)+IF((T151/AI151&gt;'Parámetros Proyección'!$G$13),0,'Parámetros Proyección'!$G$13)+IF((Z151/AI151&gt;'Parámetros Proyección'!$G$14),0,'Parámetros Proyección'!$G$14)+IF((AF151/AI151&gt;'Parámetros Proyección'!$G$15),0,'Parámetros Proyección'!$G$15)))</f>
        <v/>
      </c>
      <c r="AB151" s="35">
        <f>Z151+AA151</f>
        <v/>
      </c>
      <c r="AC151" s="35">
        <f>AH150</f>
        <v/>
      </c>
      <c r="AD151" s="35">
        <f>AC151*(1+'Parámetros Proyección'!$E$15)</f>
        <v/>
      </c>
      <c r="AE151" s="35">
        <f>AD151*'Parámetros Proyección'!$F$15</f>
        <v/>
      </c>
      <c r="AF151" s="35">
        <f>AD151+AE151</f>
        <v/>
      </c>
      <c r="AG151" s="35">
        <f>IF((AF151/AI151&gt;'Parámetros Proyección'!$G$15),0,D151*'Parámetros Proyección'!$G$15/(IF((H151/AI151&gt;'Parámetros Proyección'!$G$11),0,'Parámetros Proyección'!$G$11)+IF((N151/AI151&gt;'Parámetros Proyección'!$G$12),0,'Parámetros Proyección'!$G$12)+IF((T151/AI151&gt;'Parámetros Proyección'!$G$13),0,'Parámetros Proyección'!$G$13)+IF((Z151/AI151&gt;'Parámetros Proyección'!$G$14),0,'Parámetros Proyección'!$G$14)+IF((AF151/AI151&gt;'Parámetros Proyección'!$G$15),0,'Parámetros Proyección'!$G$15)))</f>
        <v/>
      </c>
      <c r="AH151" s="35">
        <f>AF151+AG151</f>
        <v/>
      </c>
      <c r="AI151" s="35">
        <f>H151+N151+T151+Z151+AF151</f>
        <v/>
      </c>
      <c r="AJ151" s="33">
        <f>AF151/AI151</f>
        <v/>
      </c>
      <c r="AK151">
        <f>IF(AJ151&gt;'Parámetros Proyección'!$B$5,1,0)</f>
        <v/>
      </c>
      <c r="AL151" s="35">
        <f>G151+M151+S151+Y151+AE151</f>
        <v/>
      </c>
      <c r="AM151" s="35">
        <f>AM150+D151</f>
        <v/>
      </c>
      <c r="AN151" s="35">
        <f>AN150+AL151</f>
        <v/>
      </c>
      <c r="AO151" s="35">
        <f>J151+P151+V151+AB151+AH151</f>
        <v/>
      </c>
    </row>
    <row r="152">
      <c r="A152" t="n">
        <v>149</v>
      </c>
      <c r="B152" s="34">
        <f>EDATE(B151,1)</f>
        <v/>
      </c>
      <c r="C152">
        <f>YEAR(B152)</f>
        <v/>
      </c>
      <c r="D152" s="35">
        <f>'Parámetros Proyección'!$B$3*(1+'Parámetros Proyección'!$B$4)^(C152-YEAR('Parámetros Proyección'!$B$6))</f>
        <v/>
      </c>
      <c r="E152" s="35">
        <f>J151</f>
        <v/>
      </c>
      <c r="F152" s="35">
        <f>E152*(1+'Parámetros Proyección'!$E$11)</f>
        <v/>
      </c>
      <c r="G152" s="35">
        <f>F152*'Parámetros Proyección'!$F$11</f>
        <v/>
      </c>
      <c r="H152" s="35">
        <f>F152+G152</f>
        <v/>
      </c>
      <c r="I152" s="35">
        <f>IF((H152/AI152&gt;'Parámetros Proyección'!$G$11),0,D152*'Parámetros Proyección'!$G$11/(IF((H152/AI152&gt;'Parámetros Proyección'!$G$11),0,'Parámetros Proyección'!$G$11)+IF((N152/AI152&gt;'Parámetros Proyección'!$G$12),0,'Parámetros Proyección'!$G$12)+IF((T152/AI152&gt;'Parámetros Proyección'!$G$13),0,'Parámetros Proyección'!$G$13)+IF((Z152/AI152&gt;'Parámetros Proyección'!$G$14),0,'Parámetros Proyección'!$G$14)+IF((AF152/AI152&gt;'Parámetros Proyección'!$G$15),0,'Parámetros Proyección'!$G$15)))</f>
        <v/>
      </c>
      <c r="J152" s="35">
        <f>H152+I152</f>
        <v/>
      </c>
      <c r="K152" s="35">
        <f>P151</f>
        <v/>
      </c>
      <c r="L152" s="35">
        <f>K152*(1+'Parámetros Proyección'!$E$12)</f>
        <v/>
      </c>
      <c r="M152" s="35">
        <f>L152*'Parámetros Proyección'!$F$12</f>
        <v/>
      </c>
      <c r="N152" s="35">
        <f>L152+M152</f>
        <v/>
      </c>
      <c r="O152" s="35">
        <f>IF((N152/AI152&gt;'Parámetros Proyección'!$G$12),0,D152*'Parámetros Proyección'!$G$12/(IF((H152/AI152&gt;'Parámetros Proyección'!$G$11),0,'Parámetros Proyección'!$G$11)+IF((N152/AI152&gt;'Parámetros Proyección'!$G$12),0,'Parámetros Proyección'!$G$12)+IF((T152/AI152&gt;'Parámetros Proyección'!$G$13),0,'Parámetros Proyección'!$G$13)+IF((Z152/AI152&gt;'Parámetros Proyección'!$G$14),0,'Parámetros Proyección'!$G$14)+IF((AF152/AI152&gt;'Parámetros Proyección'!$G$15),0,'Parámetros Proyección'!$G$15)))</f>
        <v/>
      </c>
      <c r="P152" s="35">
        <f>N152+O152</f>
        <v/>
      </c>
      <c r="Q152" s="35">
        <f>V151</f>
        <v/>
      </c>
      <c r="R152" s="35">
        <f>Q152*(1+'Parámetros Proyección'!$E$13)</f>
        <v/>
      </c>
      <c r="S152" s="35">
        <f>R152*'Parámetros Proyección'!$F$13</f>
        <v/>
      </c>
      <c r="T152" s="35">
        <f>R152+S152</f>
        <v/>
      </c>
      <c r="U152" s="35">
        <f>IF((T152/AI152&gt;'Parámetros Proyección'!$G$13),0,D152*'Parámetros Proyección'!$G$13/(IF((H152/AI152&gt;'Parámetros Proyección'!$G$11),0,'Parámetros Proyección'!$G$11)+IF((N152/AI152&gt;'Parámetros Proyección'!$G$12),0,'Parámetros Proyección'!$G$12)+IF((T152/AI152&gt;'Parámetros Proyección'!$G$13),0,'Parámetros Proyección'!$G$13)+IF((Z152/AI152&gt;'Parámetros Proyección'!$G$14),0,'Parámetros Proyección'!$G$14)+IF((AF152/AI152&gt;'Parámetros Proyección'!$G$15),0,'Parámetros Proyección'!$G$15)))</f>
        <v/>
      </c>
      <c r="V152" s="35">
        <f>T152+U152</f>
        <v/>
      </c>
      <c r="W152" s="35">
        <f>AB151</f>
        <v/>
      </c>
      <c r="X152" s="35">
        <f>W152*(1+'Parámetros Proyección'!$E$14)</f>
        <v/>
      </c>
      <c r="Y152" s="35">
        <f>X152*'Parámetros Proyección'!$F$14</f>
        <v/>
      </c>
      <c r="Z152" s="35">
        <f>X152+Y152</f>
        <v/>
      </c>
      <c r="AA152" s="35">
        <f>IF((Z152/AI152&gt;'Parámetros Proyección'!$G$14),0,D152*'Parámetros Proyección'!$G$14/(IF((H152/AI152&gt;'Parámetros Proyección'!$G$11),0,'Parámetros Proyección'!$G$11)+IF((N152/AI152&gt;'Parámetros Proyección'!$G$12),0,'Parámetros Proyección'!$G$12)+IF((T152/AI152&gt;'Parámetros Proyección'!$G$13),0,'Parámetros Proyección'!$G$13)+IF((Z152/AI152&gt;'Parámetros Proyección'!$G$14),0,'Parámetros Proyección'!$G$14)+IF((AF152/AI152&gt;'Parámetros Proyección'!$G$15),0,'Parámetros Proyección'!$G$15)))</f>
        <v/>
      </c>
      <c r="AB152" s="35">
        <f>Z152+AA152</f>
        <v/>
      </c>
      <c r="AC152" s="35">
        <f>AH151</f>
        <v/>
      </c>
      <c r="AD152" s="35">
        <f>AC152*(1+'Parámetros Proyección'!$E$15)</f>
        <v/>
      </c>
      <c r="AE152" s="35">
        <f>AD152*'Parámetros Proyección'!$F$15</f>
        <v/>
      </c>
      <c r="AF152" s="35">
        <f>AD152+AE152</f>
        <v/>
      </c>
      <c r="AG152" s="35">
        <f>IF((AF152/AI152&gt;'Parámetros Proyección'!$G$15),0,D152*'Parámetros Proyección'!$G$15/(IF((H152/AI152&gt;'Parámetros Proyección'!$G$11),0,'Parámetros Proyección'!$G$11)+IF((N152/AI152&gt;'Parámetros Proyección'!$G$12),0,'Parámetros Proyección'!$G$12)+IF((T152/AI152&gt;'Parámetros Proyección'!$G$13),0,'Parámetros Proyección'!$G$13)+IF((Z152/AI152&gt;'Parámetros Proyección'!$G$14),0,'Parámetros Proyección'!$G$14)+IF((AF152/AI152&gt;'Parámetros Proyección'!$G$15),0,'Parámetros Proyección'!$G$15)))</f>
        <v/>
      </c>
      <c r="AH152" s="35">
        <f>AF152+AG152</f>
        <v/>
      </c>
      <c r="AI152" s="35">
        <f>H152+N152+T152+Z152+AF152</f>
        <v/>
      </c>
      <c r="AJ152" s="33">
        <f>AF152/AI152</f>
        <v/>
      </c>
      <c r="AK152">
        <f>IF(AJ152&gt;'Parámetros Proyección'!$B$5,1,0)</f>
        <v/>
      </c>
      <c r="AL152" s="35">
        <f>G152+M152+S152+Y152+AE152</f>
        <v/>
      </c>
      <c r="AM152" s="35">
        <f>AM151+D152</f>
        <v/>
      </c>
      <c r="AN152" s="35">
        <f>AN151+AL152</f>
        <v/>
      </c>
      <c r="AO152" s="35">
        <f>J152+P152+V152+AB152+AH152</f>
        <v/>
      </c>
    </row>
    <row r="153">
      <c r="A153" t="n">
        <v>150</v>
      </c>
      <c r="B153" s="34">
        <f>EDATE(B152,1)</f>
        <v/>
      </c>
      <c r="C153">
        <f>YEAR(B153)</f>
        <v/>
      </c>
      <c r="D153" s="35">
        <f>'Parámetros Proyección'!$B$3*(1+'Parámetros Proyección'!$B$4)^(C153-YEAR('Parámetros Proyección'!$B$6))</f>
        <v/>
      </c>
      <c r="E153" s="35">
        <f>J152</f>
        <v/>
      </c>
      <c r="F153" s="35">
        <f>E153*(1+'Parámetros Proyección'!$E$11)</f>
        <v/>
      </c>
      <c r="G153" s="35">
        <f>F153*'Parámetros Proyección'!$F$11</f>
        <v/>
      </c>
      <c r="H153" s="35">
        <f>F153+G153</f>
        <v/>
      </c>
      <c r="I153" s="35">
        <f>IF((H153/AI153&gt;'Parámetros Proyección'!$G$11),0,D153*'Parámetros Proyección'!$G$11/(IF((H153/AI153&gt;'Parámetros Proyección'!$G$11),0,'Parámetros Proyección'!$G$11)+IF((N153/AI153&gt;'Parámetros Proyección'!$G$12),0,'Parámetros Proyección'!$G$12)+IF((T153/AI153&gt;'Parámetros Proyección'!$G$13),0,'Parámetros Proyección'!$G$13)+IF((Z153/AI153&gt;'Parámetros Proyección'!$G$14),0,'Parámetros Proyección'!$G$14)+IF((AF153/AI153&gt;'Parámetros Proyección'!$G$15),0,'Parámetros Proyección'!$G$15)))</f>
        <v/>
      </c>
      <c r="J153" s="35">
        <f>H153+I153</f>
        <v/>
      </c>
      <c r="K153" s="35">
        <f>P152</f>
        <v/>
      </c>
      <c r="L153" s="35">
        <f>K153*(1+'Parámetros Proyección'!$E$12)</f>
        <v/>
      </c>
      <c r="M153" s="35">
        <f>L153*'Parámetros Proyección'!$F$12</f>
        <v/>
      </c>
      <c r="N153" s="35">
        <f>L153+M153</f>
        <v/>
      </c>
      <c r="O153" s="35">
        <f>IF((N153/AI153&gt;'Parámetros Proyección'!$G$12),0,D153*'Parámetros Proyección'!$G$12/(IF((H153/AI153&gt;'Parámetros Proyección'!$G$11),0,'Parámetros Proyección'!$G$11)+IF((N153/AI153&gt;'Parámetros Proyección'!$G$12),0,'Parámetros Proyección'!$G$12)+IF((T153/AI153&gt;'Parámetros Proyección'!$G$13),0,'Parámetros Proyección'!$G$13)+IF((Z153/AI153&gt;'Parámetros Proyección'!$G$14),0,'Parámetros Proyección'!$G$14)+IF((AF153/AI153&gt;'Parámetros Proyección'!$G$15),0,'Parámetros Proyección'!$G$15)))</f>
        <v/>
      </c>
      <c r="P153" s="35">
        <f>N153+O153</f>
        <v/>
      </c>
      <c r="Q153" s="35">
        <f>V152</f>
        <v/>
      </c>
      <c r="R153" s="35">
        <f>Q153*(1+'Parámetros Proyección'!$E$13)</f>
        <v/>
      </c>
      <c r="S153" s="35">
        <f>R153*'Parámetros Proyección'!$F$13</f>
        <v/>
      </c>
      <c r="T153" s="35">
        <f>R153+S153</f>
        <v/>
      </c>
      <c r="U153" s="35">
        <f>IF((T153/AI153&gt;'Parámetros Proyección'!$G$13),0,D153*'Parámetros Proyección'!$G$13/(IF((H153/AI153&gt;'Parámetros Proyección'!$G$11),0,'Parámetros Proyección'!$G$11)+IF((N153/AI153&gt;'Parámetros Proyección'!$G$12),0,'Parámetros Proyección'!$G$12)+IF((T153/AI153&gt;'Parámetros Proyección'!$G$13),0,'Parámetros Proyección'!$G$13)+IF((Z153/AI153&gt;'Parámetros Proyección'!$G$14),0,'Parámetros Proyección'!$G$14)+IF((AF153/AI153&gt;'Parámetros Proyección'!$G$15),0,'Parámetros Proyección'!$G$15)))</f>
        <v/>
      </c>
      <c r="V153" s="35">
        <f>T153+U153</f>
        <v/>
      </c>
      <c r="W153" s="35">
        <f>AB152</f>
        <v/>
      </c>
      <c r="X153" s="35">
        <f>W153*(1+'Parámetros Proyección'!$E$14)</f>
        <v/>
      </c>
      <c r="Y153" s="35">
        <f>X153*'Parámetros Proyección'!$F$14</f>
        <v/>
      </c>
      <c r="Z153" s="35">
        <f>X153+Y153</f>
        <v/>
      </c>
      <c r="AA153" s="35">
        <f>IF((Z153/AI153&gt;'Parámetros Proyección'!$G$14),0,D153*'Parámetros Proyección'!$G$14/(IF((H153/AI153&gt;'Parámetros Proyección'!$G$11),0,'Parámetros Proyección'!$G$11)+IF((N153/AI153&gt;'Parámetros Proyección'!$G$12),0,'Parámetros Proyección'!$G$12)+IF((T153/AI153&gt;'Parámetros Proyección'!$G$13),0,'Parámetros Proyección'!$G$13)+IF((Z153/AI153&gt;'Parámetros Proyección'!$G$14),0,'Parámetros Proyección'!$G$14)+IF((AF153/AI153&gt;'Parámetros Proyección'!$G$15),0,'Parámetros Proyección'!$G$15)))</f>
        <v/>
      </c>
      <c r="AB153" s="35">
        <f>Z153+AA153</f>
        <v/>
      </c>
      <c r="AC153" s="35">
        <f>AH152</f>
        <v/>
      </c>
      <c r="AD153" s="35">
        <f>AC153*(1+'Parámetros Proyección'!$E$15)</f>
        <v/>
      </c>
      <c r="AE153" s="35">
        <f>AD153*'Parámetros Proyección'!$F$15</f>
        <v/>
      </c>
      <c r="AF153" s="35">
        <f>AD153+AE153</f>
        <v/>
      </c>
      <c r="AG153" s="35">
        <f>IF((AF153/AI153&gt;'Parámetros Proyección'!$G$15),0,D153*'Parámetros Proyección'!$G$15/(IF((H153/AI153&gt;'Parámetros Proyección'!$G$11),0,'Parámetros Proyección'!$G$11)+IF((N153/AI153&gt;'Parámetros Proyección'!$G$12),0,'Parámetros Proyección'!$G$12)+IF((T153/AI153&gt;'Parámetros Proyección'!$G$13),0,'Parámetros Proyección'!$G$13)+IF((Z153/AI153&gt;'Parámetros Proyección'!$G$14),0,'Parámetros Proyección'!$G$14)+IF((AF153/AI153&gt;'Parámetros Proyección'!$G$15),0,'Parámetros Proyección'!$G$15)))</f>
        <v/>
      </c>
      <c r="AH153" s="35">
        <f>AF153+AG153</f>
        <v/>
      </c>
      <c r="AI153" s="35">
        <f>H153+N153+T153+Z153+AF153</f>
        <v/>
      </c>
      <c r="AJ153" s="33">
        <f>AF153/AI153</f>
        <v/>
      </c>
      <c r="AK153">
        <f>IF(AJ153&gt;'Parámetros Proyección'!$B$5,1,0)</f>
        <v/>
      </c>
      <c r="AL153" s="35">
        <f>G153+M153+S153+Y153+AE153</f>
        <v/>
      </c>
      <c r="AM153" s="35">
        <f>AM152+D153</f>
        <v/>
      </c>
      <c r="AN153" s="35">
        <f>AN152+AL153</f>
        <v/>
      </c>
      <c r="AO153" s="35">
        <f>J153+P153+V153+AB153+AH153</f>
        <v/>
      </c>
    </row>
    <row r="154">
      <c r="A154" t="n">
        <v>151</v>
      </c>
      <c r="B154" s="34">
        <f>EDATE(B153,1)</f>
        <v/>
      </c>
      <c r="C154">
        <f>YEAR(B154)</f>
        <v/>
      </c>
      <c r="D154" s="35">
        <f>'Parámetros Proyección'!$B$3*(1+'Parámetros Proyección'!$B$4)^(C154-YEAR('Parámetros Proyección'!$B$6))</f>
        <v/>
      </c>
      <c r="E154" s="35">
        <f>J153</f>
        <v/>
      </c>
      <c r="F154" s="35">
        <f>E154*(1+'Parámetros Proyección'!$E$11)</f>
        <v/>
      </c>
      <c r="G154" s="35">
        <f>F154*'Parámetros Proyección'!$F$11</f>
        <v/>
      </c>
      <c r="H154" s="35">
        <f>F154+G154</f>
        <v/>
      </c>
      <c r="I154" s="35">
        <f>IF((H154/AI154&gt;'Parámetros Proyección'!$G$11),0,D154*'Parámetros Proyección'!$G$11/(IF((H154/AI154&gt;'Parámetros Proyección'!$G$11),0,'Parámetros Proyección'!$G$11)+IF((N154/AI154&gt;'Parámetros Proyección'!$G$12),0,'Parámetros Proyección'!$G$12)+IF((T154/AI154&gt;'Parámetros Proyección'!$G$13),0,'Parámetros Proyección'!$G$13)+IF((Z154/AI154&gt;'Parámetros Proyección'!$G$14),0,'Parámetros Proyección'!$G$14)+IF((AF154/AI154&gt;'Parámetros Proyección'!$G$15),0,'Parámetros Proyección'!$G$15)))</f>
        <v/>
      </c>
      <c r="J154" s="35">
        <f>H154+I154</f>
        <v/>
      </c>
      <c r="K154" s="35">
        <f>P153</f>
        <v/>
      </c>
      <c r="L154" s="35">
        <f>K154*(1+'Parámetros Proyección'!$E$12)</f>
        <v/>
      </c>
      <c r="M154" s="35">
        <f>L154*'Parámetros Proyección'!$F$12</f>
        <v/>
      </c>
      <c r="N154" s="35">
        <f>L154+M154</f>
        <v/>
      </c>
      <c r="O154" s="35">
        <f>IF((N154/AI154&gt;'Parámetros Proyección'!$G$12),0,D154*'Parámetros Proyección'!$G$12/(IF((H154/AI154&gt;'Parámetros Proyección'!$G$11),0,'Parámetros Proyección'!$G$11)+IF((N154/AI154&gt;'Parámetros Proyección'!$G$12),0,'Parámetros Proyección'!$G$12)+IF((T154/AI154&gt;'Parámetros Proyección'!$G$13),0,'Parámetros Proyección'!$G$13)+IF((Z154/AI154&gt;'Parámetros Proyección'!$G$14),0,'Parámetros Proyección'!$G$14)+IF((AF154/AI154&gt;'Parámetros Proyección'!$G$15),0,'Parámetros Proyección'!$G$15)))</f>
        <v/>
      </c>
      <c r="P154" s="35">
        <f>N154+O154</f>
        <v/>
      </c>
      <c r="Q154" s="35">
        <f>V153</f>
        <v/>
      </c>
      <c r="R154" s="35">
        <f>Q154*(1+'Parámetros Proyección'!$E$13)</f>
        <v/>
      </c>
      <c r="S154" s="35">
        <f>R154*'Parámetros Proyección'!$F$13</f>
        <v/>
      </c>
      <c r="T154" s="35">
        <f>R154+S154</f>
        <v/>
      </c>
      <c r="U154" s="35">
        <f>IF((T154/AI154&gt;'Parámetros Proyección'!$G$13),0,D154*'Parámetros Proyección'!$G$13/(IF((H154/AI154&gt;'Parámetros Proyección'!$G$11),0,'Parámetros Proyección'!$G$11)+IF((N154/AI154&gt;'Parámetros Proyección'!$G$12),0,'Parámetros Proyección'!$G$12)+IF((T154/AI154&gt;'Parámetros Proyección'!$G$13),0,'Parámetros Proyección'!$G$13)+IF((Z154/AI154&gt;'Parámetros Proyección'!$G$14),0,'Parámetros Proyección'!$G$14)+IF((AF154/AI154&gt;'Parámetros Proyección'!$G$15),0,'Parámetros Proyección'!$G$15)))</f>
        <v/>
      </c>
      <c r="V154" s="35">
        <f>T154+U154</f>
        <v/>
      </c>
      <c r="W154" s="35">
        <f>AB153</f>
        <v/>
      </c>
      <c r="X154" s="35">
        <f>W154*(1+'Parámetros Proyección'!$E$14)</f>
        <v/>
      </c>
      <c r="Y154" s="35">
        <f>X154*'Parámetros Proyección'!$F$14</f>
        <v/>
      </c>
      <c r="Z154" s="35">
        <f>X154+Y154</f>
        <v/>
      </c>
      <c r="AA154" s="35">
        <f>IF((Z154/AI154&gt;'Parámetros Proyección'!$G$14),0,D154*'Parámetros Proyección'!$G$14/(IF((H154/AI154&gt;'Parámetros Proyección'!$G$11),0,'Parámetros Proyección'!$G$11)+IF((N154/AI154&gt;'Parámetros Proyección'!$G$12),0,'Parámetros Proyección'!$G$12)+IF((T154/AI154&gt;'Parámetros Proyección'!$G$13),0,'Parámetros Proyección'!$G$13)+IF((Z154/AI154&gt;'Parámetros Proyección'!$G$14),0,'Parámetros Proyección'!$G$14)+IF((AF154/AI154&gt;'Parámetros Proyección'!$G$15),0,'Parámetros Proyección'!$G$15)))</f>
        <v/>
      </c>
      <c r="AB154" s="35">
        <f>Z154+AA154</f>
        <v/>
      </c>
      <c r="AC154" s="35">
        <f>AH153</f>
        <v/>
      </c>
      <c r="AD154" s="35">
        <f>AC154*(1+'Parámetros Proyección'!$E$15)</f>
        <v/>
      </c>
      <c r="AE154" s="35">
        <f>AD154*'Parámetros Proyección'!$F$15</f>
        <v/>
      </c>
      <c r="AF154" s="35">
        <f>AD154+AE154</f>
        <v/>
      </c>
      <c r="AG154" s="35">
        <f>IF((AF154/AI154&gt;'Parámetros Proyección'!$G$15),0,D154*'Parámetros Proyección'!$G$15/(IF((H154/AI154&gt;'Parámetros Proyección'!$G$11),0,'Parámetros Proyección'!$G$11)+IF((N154/AI154&gt;'Parámetros Proyección'!$G$12),0,'Parámetros Proyección'!$G$12)+IF((T154/AI154&gt;'Parámetros Proyección'!$G$13),0,'Parámetros Proyección'!$G$13)+IF((Z154/AI154&gt;'Parámetros Proyección'!$G$14),0,'Parámetros Proyección'!$G$14)+IF((AF154/AI154&gt;'Parámetros Proyección'!$G$15),0,'Parámetros Proyección'!$G$15)))</f>
        <v/>
      </c>
      <c r="AH154" s="35">
        <f>AF154+AG154</f>
        <v/>
      </c>
      <c r="AI154" s="35">
        <f>H154+N154+T154+Z154+AF154</f>
        <v/>
      </c>
      <c r="AJ154" s="33">
        <f>AF154/AI154</f>
        <v/>
      </c>
      <c r="AK154">
        <f>IF(AJ154&gt;'Parámetros Proyección'!$B$5,1,0)</f>
        <v/>
      </c>
      <c r="AL154" s="35">
        <f>G154+M154+S154+Y154+AE154</f>
        <v/>
      </c>
      <c r="AM154" s="35">
        <f>AM153+D154</f>
        <v/>
      </c>
      <c r="AN154" s="35">
        <f>AN153+AL154</f>
        <v/>
      </c>
      <c r="AO154" s="35">
        <f>J154+P154+V154+AB154+AH154</f>
        <v/>
      </c>
    </row>
    <row r="155">
      <c r="A155" t="n">
        <v>152</v>
      </c>
      <c r="B155" s="34">
        <f>EDATE(B154,1)</f>
        <v/>
      </c>
      <c r="C155">
        <f>YEAR(B155)</f>
        <v/>
      </c>
      <c r="D155" s="35">
        <f>'Parámetros Proyección'!$B$3*(1+'Parámetros Proyección'!$B$4)^(C155-YEAR('Parámetros Proyección'!$B$6))</f>
        <v/>
      </c>
      <c r="E155" s="35">
        <f>J154</f>
        <v/>
      </c>
      <c r="F155" s="35">
        <f>E155*(1+'Parámetros Proyección'!$E$11)</f>
        <v/>
      </c>
      <c r="G155" s="35">
        <f>F155*'Parámetros Proyección'!$F$11</f>
        <v/>
      </c>
      <c r="H155" s="35">
        <f>F155+G155</f>
        <v/>
      </c>
      <c r="I155" s="35">
        <f>IF((H155/AI155&gt;'Parámetros Proyección'!$G$11),0,D155*'Parámetros Proyección'!$G$11/(IF((H155/AI155&gt;'Parámetros Proyección'!$G$11),0,'Parámetros Proyección'!$G$11)+IF((N155/AI155&gt;'Parámetros Proyección'!$G$12),0,'Parámetros Proyección'!$G$12)+IF((T155/AI155&gt;'Parámetros Proyección'!$G$13),0,'Parámetros Proyección'!$G$13)+IF((Z155/AI155&gt;'Parámetros Proyección'!$G$14),0,'Parámetros Proyección'!$G$14)+IF((AF155/AI155&gt;'Parámetros Proyección'!$G$15),0,'Parámetros Proyección'!$G$15)))</f>
        <v/>
      </c>
      <c r="J155" s="35">
        <f>H155+I155</f>
        <v/>
      </c>
      <c r="K155" s="35">
        <f>P154</f>
        <v/>
      </c>
      <c r="L155" s="35">
        <f>K155*(1+'Parámetros Proyección'!$E$12)</f>
        <v/>
      </c>
      <c r="M155" s="35">
        <f>L155*'Parámetros Proyección'!$F$12</f>
        <v/>
      </c>
      <c r="N155" s="35">
        <f>L155+M155</f>
        <v/>
      </c>
      <c r="O155" s="35">
        <f>IF((N155/AI155&gt;'Parámetros Proyección'!$G$12),0,D155*'Parámetros Proyección'!$G$12/(IF((H155/AI155&gt;'Parámetros Proyección'!$G$11),0,'Parámetros Proyección'!$G$11)+IF((N155/AI155&gt;'Parámetros Proyección'!$G$12),0,'Parámetros Proyección'!$G$12)+IF((T155/AI155&gt;'Parámetros Proyección'!$G$13),0,'Parámetros Proyección'!$G$13)+IF((Z155/AI155&gt;'Parámetros Proyección'!$G$14),0,'Parámetros Proyección'!$G$14)+IF((AF155/AI155&gt;'Parámetros Proyección'!$G$15),0,'Parámetros Proyección'!$G$15)))</f>
        <v/>
      </c>
      <c r="P155" s="35">
        <f>N155+O155</f>
        <v/>
      </c>
      <c r="Q155" s="35">
        <f>V154</f>
        <v/>
      </c>
      <c r="R155" s="35">
        <f>Q155*(1+'Parámetros Proyección'!$E$13)</f>
        <v/>
      </c>
      <c r="S155" s="35">
        <f>R155*'Parámetros Proyección'!$F$13</f>
        <v/>
      </c>
      <c r="T155" s="35">
        <f>R155+S155</f>
        <v/>
      </c>
      <c r="U155" s="35">
        <f>IF((T155/AI155&gt;'Parámetros Proyección'!$G$13),0,D155*'Parámetros Proyección'!$G$13/(IF((H155/AI155&gt;'Parámetros Proyección'!$G$11),0,'Parámetros Proyección'!$G$11)+IF((N155/AI155&gt;'Parámetros Proyección'!$G$12),0,'Parámetros Proyección'!$G$12)+IF((T155/AI155&gt;'Parámetros Proyección'!$G$13),0,'Parámetros Proyección'!$G$13)+IF((Z155/AI155&gt;'Parámetros Proyección'!$G$14),0,'Parámetros Proyección'!$G$14)+IF((AF155/AI155&gt;'Parámetros Proyección'!$G$15),0,'Parámetros Proyección'!$G$15)))</f>
        <v/>
      </c>
      <c r="V155" s="35">
        <f>T155+U155</f>
        <v/>
      </c>
      <c r="W155" s="35">
        <f>AB154</f>
        <v/>
      </c>
      <c r="X155" s="35">
        <f>W155*(1+'Parámetros Proyección'!$E$14)</f>
        <v/>
      </c>
      <c r="Y155" s="35">
        <f>X155*'Parámetros Proyección'!$F$14</f>
        <v/>
      </c>
      <c r="Z155" s="35">
        <f>X155+Y155</f>
        <v/>
      </c>
      <c r="AA155" s="35">
        <f>IF((Z155/AI155&gt;'Parámetros Proyección'!$G$14),0,D155*'Parámetros Proyección'!$G$14/(IF((H155/AI155&gt;'Parámetros Proyección'!$G$11),0,'Parámetros Proyección'!$G$11)+IF((N155/AI155&gt;'Parámetros Proyección'!$G$12),0,'Parámetros Proyección'!$G$12)+IF((T155/AI155&gt;'Parámetros Proyección'!$G$13),0,'Parámetros Proyección'!$G$13)+IF((Z155/AI155&gt;'Parámetros Proyección'!$G$14),0,'Parámetros Proyección'!$G$14)+IF((AF155/AI155&gt;'Parámetros Proyección'!$G$15),0,'Parámetros Proyección'!$G$15)))</f>
        <v/>
      </c>
      <c r="AB155" s="35">
        <f>Z155+AA155</f>
        <v/>
      </c>
      <c r="AC155" s="35">
        <f>AH154</f>
        <v/>
      </c>
      <c r="AD155" s="35">
        <f>AC155*(1+'Parámetros Proyección'!$E$15)</f>
        <v/>
      </c>
      <c r="AE155" s="35">
        <f>AD155*'Parámetros Proyección'!$F$15</f>
        <v/>
      </c>
      <c r="AF155" s="35">
        <f>AD155+AE155</f>
        <v/>
      </c>
      <c r="AG155" s="35">
        <f>IF((AF155/AI155&gt;'Parámetros Proyección'!$G$15),0,D155*'Parámetros Proyección'!$G$15/(IF((H155/AI155&gt;'Parámetros Proyección'!$G$11),0,'Parámetros Proyección'!$G$11)+IF((N155/AI155&gt;'Parámetros Proyección'!$G$12),0,'Parámetros Proyección'!$G$12)+IF((T155/AI155&gt;'Parámetros Proyección'!$G$13),0,'Parámetros Proyección'!$G$13)+IF((Z155/AI155&gt;'Parámetros Proyección'!$G$14),0,'Parámetros Proyección'!$G$14)+IF((AF155/AI155&gt;'Parámetros Proyección'!$G$15),0,'Parámetros Proyección'!$G$15)))</f>
        <v/>
      </c>
      <c r="AH155" s="35">
        <f>AF155+AG155</f>
        <v/>
      </c>
      <c r="AI155" s="35">
        <f>H155+N155+T155+Z155+AF155</f>
        <v/>
      </c>
      <c r="AJ155" s="33">
        <f>AF155/AI155</f>
        <v/>
      </c>
      <c r="AK155">
        <f>IF(AJ155&gt;'Parámetros Proyección'!$B$5,1,0)</f>
        <v/>
      </c>
      <c r="AL155" s="35">
        <f>G155+M155+S155+Y155+AE155</f>
        <v/>
      </c>
      <c r="AM155" s="35">
        <f>AM154+D155</f>
        <v/>
      </c>
      <c r="AN155" s="35">
        <f>AN154+AL155</f>
        <v/>
      </c>
      <c r="AO155" s="35">
        <f>J155+P155+V155+AB155+AH155</f>
        <v/>
      </c>
    </row>
    <row r="156">
      <c r="A156" t="n">
        <v>153</v>
      </c>
      <c r="B156" s="34">
        <f>EDATE(B155,1)</f>
        <v/>
      </c>
      <c r="C156">
        <f>YEAR(B156)</f>
        <v/>
      </c>
      <c r="D156" s="35">
        <f>'Parámetros Proyección'!$B$3*(1+'Parámetros Proyección'!$B$4)^(C156-YEAR('Parámetros Proyección'!$B$6))</f>
        <v/>
      </c>
      <c r="E156" s="35">
        <f>J155</f>
        <v/>
      </c>
      <c r="F156" s="35">
        <f>E156*(1+'Parámetros Proyección'!$E$11)</f>
        <v/>
      </c>
      <c r="G156" s="35">
        <f>F156*'Parámetros Proyección'!$F$11</f>
        <v/>
      </c>
      <c r="H156" s="35">
        <f>F156+G156</f>
        <v/>
      </c>
      <c r="I156" s="35">
        <f>IF((H156/AI156&gt;'Parámetros Proyección'!$G$11),0,D156*'Parámetros Proyección'!$G$11/(IF((H156/AI156&gt;'Parámetros Proyección'!$G$11),0,'Parámetros Proyección'!$G$11)+IF((N156/AI156&gt;'Parámetros Proyección'!$G$12),0,'Parámetros Proyección'!$G$12)+IF((T156/AI156&gt;'Parámetros Proyección'!$G$13),0,'Parámetros Proyección'!$G$13)+IF((Z156/AI156&gt;'Parámetros Proyección'!$G$14),0,'Parámetros Proyección'!$G$14)+IF((AF156/AI156&gt;'Parámetros Proyección'!$G$15),0,'Parámetros Proyección'!$G$15)))</f>
        <v/>
      </c>
      <c r="J156" s="35">
        <f>H156+I156</f>
        <v/>
      </c>
      <c r="K156" s="35">
        <f>P155</f>
        <v/>
      </c>
      <c r="L156" s="35">
        <f>K156*(1+'Parámetros Proyección'!$E$12)</f>
        <v/>
      </c>
      <c r="M156" s="35">
        <f>L156*'Parámetros Proyección'!$F$12</f>
        <v/>
      </c>
      <c r="N156" s="35">
        <f>L156+M156</f>
        <v/>
      </c>
      <c r="O156" s="35">
        <f>IF((N156/AI156&gt;'Parámetros Proyección'!$G$12),0,D156*'Parámetros Proyección'!$G$12/(IF((H156/AI156&gt;'Parámetros Proyección'!$G$11),0,'Parámetros Proyección'!$G$11)+IF((N156/AI156&gt;'Parámetros Proyección'!$G$12),0,'Parámetros Proyección'!$G$12)+IF((T156/AI156&gt;'Parámetros Proyección'!$G$13),0,'Parámetros Proyección'!$G$13)+IF((Z156/AI156&gt;'Parámetros Proyección'!$G$14),0,'Parámetros Proyección'!$G$14)+IF((AF156/AI156&gt;'Parámetros Proyección'!$G$15),0,'Parámetros Proyección'!$G$15)))</f>
        <v/>
      </c>
      <c r="P156" s="35">
        <f>N156+O156</f>
        <v/>
      </c>
      <c r="Q156" s="35">
        <f>V155</f>
        <v/>
      </c>
      <c r="R156" s="35">
        <f>Q156*(1+'Parámetros Proyección'!$E$13)</f>
        <v/>
      </c>
      <c r="S156" s="35">
        <f>R156*'Parámetros Proyección'!$F$13</f>
        <v/>
      </c>
      <c r="T156" s="35">
        <f>R156+S156</f>
        <v/>
      </c>
      <c r="U156" s="35">
        <f>IF((T156/AI156&gt;'Parámetros Proyección'!$G$13),0,D156*'Parámetros Proyección'!$G$13/(IF((H156/AI156&gt;'Parámetros Proyección'!$G$11),0,'Parámetros Proyección'!$G$11)+IF((N156/AI156&gt;'Parámetros Proyección'!$G$12),0,'Parámetros Proyección'!$G$12)+IF((T156/AI156&gt;'Parámetros Proyección'!$G$13),0,'Parámetros Proyección'!$G$13)+IF((Z156/AI156&gt;'Parámetros Proyección'!$G$14),0,'Parámetros Proyección'!$G$14)+IF((AF156/AI156&gt;'Parámetros Proyección'!$G$15),0,'Parámetros Proyección'!$G$15)))</f>
        <v/>
      </c>
      <c r="V156" s="35">
        <f>T156+U156</f>
        <v/>
      </c>
      <c r="W156" s="35">
        <f>AB155</f>
        <v/>
      </c>
      <c r="X156" s="35">
        <f>W156*(1+'Parámetros Proyección'!$E$14)</f>
        <v/>
      </c>
      <c r="Y156" s="35">
        <f>X156*'Parámetros Proyección'!$F$14</f>
        <v/>
      </c>
      <c r="Z156" s="35">
        <f>X156+Y156</f>
        <v/>
      </c>
      <c r="AA156" s="35">
        <f>IF((Z156/AI156&gt;'Parámetros Proyección'!$G$14),0,D156*'Parámetros Proyección'!$G$14/(IF((H156/AI156&gt;'Parámetros Proyección'!$G$11),0,'Parámetros Proyección'!$G$11)+IF((N156/AI156&gt;'Parámetros Proyección'!$G$12),0,'Parámetros Proyección'!$G$12)+IF((T156/AI156&gt;'Parámetros Proyección'!$G$13),0,'Parámetros Proyección'!$G$13)+IF((Z156/AI156&gt;'Parámetros Proyección'!$G$14),0,'Parámetros Proyección'!$G$14)+IF((AF156/AI156&gt;'Parámetros Proyección'!$G$15),0,'Parámetros Proyección'!$G$15)))</f>
        <v/>
      </c>
      <c r="AB156" s="35">
        <f>Z156+AA156</f>
        <v/>
      </c>
      <c r="AC156" s="35">
        <f>AH155</f>
        <v/>
      </c>
      <c r="AD156" s="35">
        <f>AC156*(1+'Parámetros Proyección'!$E$15)</f>
        <v/>
      </c>
      <c r="AE156" s="35">
        <f>AD156*'Parámetros Proyección'!$F$15</f>
        <v/>
      </c>
      <c r="AF156" s="35">
        <f>AD156+AE156</f>
        <v/>
      </c>
      <c r="AG156" s="35">
        <f>IF((AF156/AI156&gt;'Parámetros Proyección'!$G$15),0,D156*'Parámetros Proyección'!$G$15/(IF((H156/AI156&gt;'Parámetros Proyección'!$G$11),0,'Parámetros Proyección'!$G$11)+IF((N156/AI156&gt;'Parámetros Proyección'!$G$12),0,'Parámetros Proyección'!$G$12)+IF((T156/AI156&gt;'Parámetros Proyección'!$G$13),0,'Parámetros Proyección'!$G$13)+IF((Z156/AI156&gt;'Parámetros Proyección'!$G$14),0,'Parámetros Proyección'!$G$14)+IF((AF156/AI156&gt;'Parámetros Proyección'!$G$15),0,'Parámetros Proyección'!$G$15)))</f>
        <v/>
      </c>
      <c r="AH156" s="35">
        <f>AF156+AG156</f>
        <v/>
      </c>
      <c r="AI156" s="35">
        <f>H156+N156+T156+Z156+AF156</f>
        <v/>
      </c>
      <c r="AJ156" s="33">
        <f>AF156/AI156</f>
        <v/>
      </c>
      <c r="AK156">
        <f>IF(AJ156&gt;'Parámetros Proyección'!$B$5,1,0)</f>
        <v/>
      </c>
      <c r="AL156" s="35">
        <f>G156+M156+S156+Y156+AE156</f>
        <v/>
      </c>
      <c r="AM156" s="35">
        <f>AM155+D156</f>
        <v/>
      </c>
      <c r="AN156" s="35">
        <f>AN155+AL156</f>
        <v/>
      </c>
      <c r="AO156" s="35">
        <f>J156+P156+V156+AB156+AH156</f>
        <v/>
      </c>
    </row>
    <row r="157">
      <c r="A157" t="n">
        <v>154</v>
      </c>
      <c r="B157" s="34">
        <f>EDATE(B156,1)</f>
        <v/>
      </c>
      <c r="C157">
        <f>YEAR(B157)</f>
        <v/>
      </c>
      <c r="D157" s="35">
        <f>'Parámetros Proyección'!$B$3*(1+'Parámetros Proyección'!$B$4)^(C157-YEAR('Parámetros Proyección'!$B$6))</f>
        <v/>
      </c>
      <c r="E157" s="35">
        <f>J156</f>
        <v/>
      </c>
      <c r="F157" s="35">
        <f>E157*(1+'Parámetros Proyección'!$E$11)</f>
        <v/>
      </c>
      <c r="G157" s="35">
        <f>F157*'Parámetros Proyección'!$F$11</f>
        <v/>
      </c>
      <c r="H157" s="35">
        <f>F157+G157</f>
        <v/>
      </c>
      <c r="I157" s="35">
        <f>IF((H157/AI157&gt;'Parámetros Proyección'!$G$11),0,D157*'Parámetros Proyección'!$G$11/(IF((H157/AI157&gt;'Parámetros Proyección'!$G$11),0,'Parámetros Proyección'!$G$11)+IF((N157/AI157&gt;'Parámetros Proyección'!$G$12),0,'Parámetros Proyección'!$G$12)+IF((T157/AI157&gt;'Parámetros Proyección'!$G$13),0,'Parámetros Proyección'!$G$13)+IF((Z157/AI157&gt;'Parámetros Proyección'!$G$14),0,'Parámetros Proyección'!$G$14)+IF((AF157/AI157&gt;'Parámetros Proyección'!$G$15),0,'Parámetros Proyección'!$G$15)))</f>
        <v/>
      </c>
      <c r="J157" s="35">
        <f>H157+I157</f>
        <v/>
      </c>
      <c r="K157" s="35">
        <f>P156</f>
        <v/>
      </c>
      <c r="L157" s="35">
        <f>K157*(1+'Parámetros Proyección'!$E$12)</f>
        <v/>
      </c>
      <c r="M157" s="35">
        <f>L157*'Parámetros Proyección'!$F$12</f>
        <v/>
      </c>
      <c r="N157" s="35">
        <f>L157+M157</f>
        <v/>
      </c>
      <c r="O157" s="35">
        <f>IF((N157/AI157&gt;'Parámetros Proyección'!$G$12),0,D157*'Parámetros Proyección'!$G$12/(IF((H157/AI157&gt;'Parámetros Proyección'!$G$11),0,'Parámetros Proyección'!$G$11)+IF((N157/AI157&gt;'Parámetros Proyección'!$G$12),0,'Parámetros Proyección'!$G$12)+IF((T157/AI157&gt;'Parámetros Proyección'!$G$13),0,'Parámetros Proyección'!$G$13)+IF((Z157/AI157&gt;'Parámetros Proyección'!$G$14),0,'Parámetros Proyección'!$G$14)+IF((AF157/AI157&gt;'Parámetros Proyección'!$G$15),0,'Parámetros Proyección'!$G$15)))</f>
        <v/>
      </c>
      <c r="P157" s="35">
        <f>N157+O157</f>
        <v/>
      </c>
      <c r="Q157" s="35">
        <f>V156</f>
        <v/>
      </c>
      <c r="R157" s="35">
        <f>Q157*(1+'Parámetros Proyección'!$E$13)</f>
        <v/>
      </c>
      <c r="S157" s="35">
        <f>R157*'Parámetros Proyección'!$F$13</f>
        <v/>
      </c>
      <c r="T157" s="35">
        <f>R157+S157</f>
        <v/>
      </c>
      <c r="U157" s="35">
        <f>IF((T157/AI157&gt;'Parámetros Proyección'!$G$13),0,D157*'Parámetros Proyección'!$G$13/(IF((H157/AI157&gt;'Parámetros Proyección'!$G$11),0,'Parámetros Proyección'!$G$11)+IF((N157/AI157&gt;'Parámetros Proyección'!$G$12),0,'Parámetros Proyección'!$G$12)+IF((T157/AI157&gt;'Parámetros Proyección'!$G$13),0,'Parámetros Proyección'!$G$13)+IF((Z157/AI157&gt;'Parámetros Proyección'!$G$14),0,'Parámetros Proyección'!$G$14)+IF((AF157/AI157&gt;'Parámetros Proyección'!$G$15),0,'Parámetros Proyección'!$G$15)))</f>
        <v/>
      </c>
      <c r="V157" s="35">
        <f>T157+U157</f>
        <v/>
      </c>
      <c r="W157" s="35">
        <f>AB156</f>
        <v/>
      </c>
      <c r="X157" s="35">
        <f>W157*(1+'Parámetros Proyección'!$E$14)</f>
        <v/>
      </c>
      <c r="Y157" s="35">
        <f>X157*'Parámetros Proyección'!$F$14</f>
        <v/>
      </c>
      <c r="Z157" s="35">
        <f>X157+Y157</f>
        <v/>
      </c>
      <c r="AA157" s="35">
        <f>IF((Z157/AI157&gt;'Parámetros Proyección'!$G$14),0,D157*'Parámetros Proyección'!$G$14/(IF((H157/AI157&gt;'Parámetros Proyección'!$G$11),0,'Parámetros Proyección'!$G$11)+IF((N157/AI157&gt;'Parámetros Proyección'!$G$12),0,'Parámetros Proyección'!$G$12)+IF((T157/AI157&gt;'Parámetros Proyección'!$G$13),0,'Parámetros Proyección'!$G$13)+IF((Z157/AI157&gt;'Parámetros Proyección'!$G$14),0,'Parámetros Proyección'!$G$14)+IF((AF157/AI157&gt;'Parámetros Proyección'!$G$15),0,'Parámetros Proyección'!$G$15)))</f>
        <v/>
      </c>
      <c r="AB157" s="35">
        <f>Z157+AA157</f>
        <v/>
      </c>
      <c r="AC157" s="35">
        <f>AH156</f>
        <v/>
      </c>
      <c r="AD157" s="35">
        <f>AC157*(1+'Parámetros Proyección'!$E$15)</f>
        <v/>
      </c>
      <c r="AE157" s="35">
        <f>AD157*'Parámetros Proyección'!$F$15</f>
        <v/>
      </c>
      <c r="AF157" s="35">
        <f>AD157+AE157</f>
        <v/>
      </c>
      <c r="AG157" s="35">
        <f>IF((AF157/AI157&gt;'Parámetros Proyección'!$G$15),0,D157*'Parámetros Proyección'!$G$15/(IF((H157/AI157&gt;'Parámetros Proyección'!$G$11),0,'Parámetros Proyección'!$G$11)+IF((N157/AI157&gt;'Parámetros Proyección'!$G$12),0,'Parámetros Proyección'!$G$12)+IF((T157/AI157&gt;'Parámetros Proyección'!$G$13),0,'Parámetros Proyección'!$G$13)+IF((Z157/AI157&gt;'Parámetros Proyección'!$G$14),0,'Parámetros Proyección'!$G$14)+IF((AF157/AI157&gt;'Parámetros Proyección'!$G$15),0,'Parámetros Proyección'!$G$15)))</f>
        <v/>
      </c>
      <c r="AH157" s="35">
        <f>AF157+AG157</f>
        <v/>
      </c>
      <c r="AI157" s="35">
        <f>H157+N157+T157+Z157+AF157</f>
        <v/>
      </c>
      <c r="AJ157" s="33">
        <f>AF157/AI157</f>
        <v/>
      </c>
      <c r="AK157">
        <f>IF(AJ157&gt;'Parámetros Proyección'!$B$5,1,0)</f>
        <v/>
      </c>
      <c r="AL157" s="35">
        <f>G157+M157+S157+Y157+AE157</f>
        <v/>
      </c>
      <c r="AM157" s="35">
        <f>AM156+D157</f>
        <v/>
      </c>
      <c r="AN157" s="35">
        <f>AN156+AL157</f>
        <v/>
      </c>
      <c r="AO157" s="35">
        <f>J157+P157+V157+AB157+AH157</f>
        <v/>
      </c>
    </row>
    <row r="158">
      <c r="A158" t="n">
        <v>155</v>
      </c>
      <c r="B158" s="34">
        <f>EDATE(B157,1)</f>
        <v/>
      </c>
      <c r="C158">
        <f>YEAR(B158)</f>
        <v/>
      </c>
      <c r="D158" s="35">
        <f>'Parámetros Proyección'!$B$3*(1+'Parámetros Proyección'!$B$4)^(C158-YEAR('Parámetros Proyección'!$B$6))</f>
        <v/>
      </c>
      <c r="E158" s="35">
        <f>J157</f>
        <v/>
      </c>
      <c r="F158" s="35">
        <f>E158*(1+'Parámetros Proyección'!$E$11)</f>
        <v/>
      </c>
      <c r="G158" s="35">
        <f>F158*'Parámetros Proyección'!$F$11</f>
        <v/>
      </c>
      <c r="H158" s="35">
        <f>F158+G158</f>
        <v/>
      </c>
      <c r="I158" s="35">
        <f>IF((H158/AI158&gt;'Parámetros Proyección'!$G$11),0,D158*'Parámetros Proyección'!$G$11/(IF((H158/AI158&gt;'Parámetros Proyección'!$G$11),0,'Parámetros Proyección'!$G$11)+IF((N158/AI158&gt;'Parámetros Proyección'!$G$12),0,'Parámetros Proyección'!$G$12)+IF((T158/AI158&gt;'Parámetros Proyección'!$G$13),0,'Parámetros Proyección'!$G$13)+IF((Z158/AI158&gt;'Parámetros Proyección'!$G$14),0,'Parámetros Proyección'!$G$14)+IF((AF158/AI158&gt;'Parámetros Proyección'!$G$15),0,'Parámetros Proyección'!$G$15)))</f>
        <v/>
      </c>
      <c r="J158" s="35">
        <f>H158+I158</f>
        <v/>
      </c>
      <c r="K158" s="35">
        <f>P157</f>
        <v/>
      </c>
      <c r="L158" s="35">
        <f>K158*(1+'Parámetros Proyección'!$E$12)</f>
        <v/>
      </c>
      <c r="M158" s="35">
        <f>L158*'Parámetros Proyección'!$F$12</f>
        <v/>
      </c>
      <c r="N158" s="35">
        <f>L158+M158</f>
        <v/>
      </c>
      <c r="O158" s="35">
        <f>IF((N158/AI158&gt;'Parámetros Proyección'!$G$12),0,D158*'Parámetros Proyección'!$G$12/(IF((H158/AI158&gt;'Parámetros Proyección'!$G$11),0,'Parámetros Proyección'!$G$11)+IF((N158/AI158&gt;'Parámetros Proyección'!$G$12),0,'Parámetros Proyección'!$G$12)+IF((T158/AI158&gt;'Parámetros Proyección'!$G$13),0,'Parámetros Proyección'!$G$13)+IF((Z158/AI158&gt;'Parámetros Proyección'!$G$14),0,'Parámetros Proyección'!$G$14)+IF((AF158/AI158&gt;'Parámetros Proyección'!$G$15),0,'Parámetros Proyección'!$G$15)))</f>
        <v/>
      </c>
      <c r="P158" s="35">
        <f>N158+O158</f>
        <v/>
      </c>
      <c r="Q158" s="35">
        <f>V157</f>
        <v/>
      </c>
      <c r="R158" s="35">
        <f>Q158*(1+'Parámetros Proyección'!$E$13)</f>
        <v/>
      </c>
      <c r="S158" s="35">
        <f>R158*'Parámetros Proyección'!$F$13</f>
        <v/>
      </c>
      <c r="T158" s="35">
        <f>R158+S158</f>
        <v/>
      </c>
      <c r="U158" s="35">
        <f>IF((T158/AI158&gt;'Parámetros Proyección'!$G$13),0,D158*'Parámetros Proyección'!$G$13/(IF((H158/AI158&gt;'Parámetros Proyección'!$G$11),0,'Parámetros Proyección'!$G$11)+IF((N158/AI158&gt;'Parámetros Proyección'!$G$12),0,'Parámetros Proyección'!$G$12)+IF((T158/AI158&gt;'Parámetros Proyección'!$G$13),0,'Parámetros Proyección'!$G$13)+IF((Z158/AI158&gt;'Parámetros Proyección'!$G$14),0,'Parámetros Proyección'!$G$14)+IF((AF158/AI158&gt;'Parámetros Proyección'!$G$15),0,'Parámetros Proyección'!$G$15)))</f>
        <v/>
      </c>
      <c r="V158" s="35">
        <f>T158+U158</f>
        <v/>
      </c>
      <c r="W158" s="35">
        <f>AB157</f>
        <v/>
      </c>
      <c r="X158" s="35">
        <f>W158*(1+'Parámetros Proyección'!$E$14)</f>
        <v/>
      </c>
      <c r="Y158" s="35">
        <f>X158*'Parámetros Proyección'!$F$14</f>
        <v/>
      </c>
      <c r="Z158" s="35">
        <f>X158+Y158</f>
        <v/>
      </c>
      <c r="AA158" s="35">
        <f>IF((Z158/AI158&gt;'Parámetros Proyección'!$G$14),0,D158*'Parámetros Proyección'!$G$14/(IF((H158/AI158&gt;'Parámetros Proyección'!$G$11),0,'Parámetros Proyección'!$G$11)+IF((N158/AI158&gt;'Parámetros Proyección'!$G$12),0,'Parámetros Proyección'!$G$12)+IF((T158/AI158&gt;'Parámetros Proyección'!$G$13),0,'Parámetros Proyección'!$G$13)+IF((Z158/AI158&gt;'Parámetros Proyección'!$G$14),0,'Parámetros Proyección'!$G$14)+IF((AF158/AI158&gt;'Parámetros Proyección'!$G$15),0,'Parámetros Proyección'!$G$15)))</f>
        <v/>
      </c>
      <c r="AB158" s="35">
        <f>Z158+AA158</f>
        <v/>
      </c>
      <c r="AC158" s="35">
        <f>AH157</f>
        <v/>
      </c>
      <c r="AD158" s="35">
        <f>AC158*(1+'Parámetros Proyección'!$E$15)</f>
        <v/>
      </c>
      <c r="AE158" s="35">
        <f>AD158*'Parámetros Proyección'!$F$15</f>
        <v/>
      </c>
      <c r="AF158" s="35">
        <f>AD158+AE158</f>
        <v/>
      </c>
      <c r="AG158" s="35">
        <f>IF((AF158/AI158&gt;'Parámetros Proyección'!$G$15),0,D158*'Parámetros Proyección'!$G$15/(IF((H158/AI158&gt;'Parámetros Proyección'!$G$11),0,'Parámetros Proyección'!$G$11)+IF((N158/AI158&gt;'Parámetros Proyección'!$G$12),0,'Parámetros Proyección'!$G$12)+IF((T158/AI158&gt;'Parámetros Proyección'!$G$13),0,'Parámetros Proyección'!$G$13)+IF((Z158/AI158&gt;'Parámetros Proyección'!$G$14),0,'Parámetros Proyección'!$G$14)+IF((AF158/AI158&gt;'Parámetros Proyección'!$G$15),0,'Parámetros Proyección'!$G$15)))</f>
        <v/>
      </c>
      <c r="AH158" s="35">
        <f>AF158+AG158</f>
        <v/>
      </c>
      <c r="AI158" s="35">
        <f>H158+N158+T158+Z158+AF158</f>
        <v/>
      </c>
      <c r="AJ158" s="33">
        <f>AF158/AI158</f>
        <v/>
      </c>
      <c r="AK158">
        <f>IF(AJ158&gt;'Parámetros Proyección'!$B$5,1,0)</f>
        <v/>
      </c>
      <c r="AL158" s="35">
        <f>G158+M158+S158+Y158+AE158</f>
        <v/>
      </c>
      <c r="AM158" s="35">
        <f>AM157+D158</f>
        <v/>
      </c>
      <c r="AN158" s="35">
        <f>AN157+AL158</f>
        <v/>
      </c>
      <c r="AO158" s="35">
        <f>J158+P158+V158+AB158+AH158</f>
        <v/>
      </c>
    </row>
    <row r="159">
      <c r="A159" t="n">
        <v>156</v>
      </c>
      <c r="B159" s="34">
        <f>EDATE(B158,1)</f>
        <v/>
      </c>
      <c r="C159">
        <f>YEAR(B159)</f>
        <v/>
      </c>
      <c r="D159" s="35">
        <f>'Parámetros Proyección'!$B$3*(1+'Parámetros Proyección'!$B$4)^(C159-YEAR('Parámetros Proyección'!$B$6))</f>
        <v/>
      </c>
      <c r="E159" s="35">
        <f>J158</f>
        <v/>
      </c>
      <c r="F159" s="35">
        <f>E159*(1+'Parámetros Proyección'!$E$11)</f>
        <v/>
      </c>
      <c r="G159" s="35">
        <f>F159*'Parámetros Proyección'!$F$11</f>
        <v/>
      </c>
      <c r="H159" s="35">
        <f>F159+G159</f>
        <v/>
      </c>
      <c r="I159" s="35">
        <f>IF((H159/AI159&gt;'Parámetros Proyección'!$G$11),0,D159*'Parámetros Proyección'!$G$11/(IF((H159/AI159&gt;'Parámetros Proyección'!$G$11),0,'Parámetros Proyección'!$G$11)+IF((N159/AI159&gt;'Parámetros Proyección'!$G$12),0,'Parámetros Proyección'!$G$12)+IF((T159/AI159&gt;'Parámetros Proyección'!$G$13),0,'Parámetros Proyección'!$G$13)+IF((Z159/AI159&gt;'Parámetros Proyección'!$G$14),0,'Parámetros Proyección'!$G$14)+IF((AF159/AI159&gt;'Parámetros Proyección'!$G$15),0,'Parámetros Proyección'!$G$15)))</f>
        <v/>
      </c>
      <c r="J159" s="35">
        <f>H159+I159</f>
        <v/>
      </c>
      <c r="K159" s="35">
        <f>P158</f>
        <v/>
      </c>
      <c r="L159" s="35">
        <f>K159*(1+'Parámetros Proyección'!$E$12)</f>
        <v/>
      </c>
      <c r="M159" s="35">
        <f>L159*'Parámetros Proyección'!$F$12</f>
        <v/>
      </c>
      <c r="N159" s="35">
        <f>L159+M159</f>
        <v/>
      </c>
      <c r="O159" s="35">
        <f>IF((N159/AI159&gt;'Parámetros Proyección'!$G$12),0,D159*'Parámetros Proyección'!$G$12/(IF((H159/AI159&gt;'Parámetros Proyección'!$G$11),0,'Parámetros Proyección'!$G$11)+IF((N159/AI159&gt;'Parámetros Proyección'!$G$12),0,'Parámetros Proyección'!$G$12)+IF((T159/AI159&gt;'Parámetros Proyección'!$G$13),0,'Parámetros Proyección'!$G$13)+IF((Z159/AI159&gt;'Parámetros Proyección'!$G$14),0,'Parámetros Proyección'!$G$14)+IF((AF159/AI159&gt;'Parámetros Proyección'!$G$15),0,'Parámetros Proyección'!$G$15)))</f>
        <v/>
      </c>
      <c r="P159" s="35">
        <f>N159+O159</f>
        <v/>
      </c>
      <c r="Q159" s="35">
        <f>V158</f>
        <v/>
      </c>
      <c r="R159" s="35">
        <f>Q159*(1+'Parámetros Proyección'!$E$13)</f>
        <v/>
      </c>
      <c r="S159" s="35">
        <f>R159*'Parámetros Proyección'!$F$13</f>
        <v/>
      </c>
      <c r="T159" s="35">
        <f>R159+S159</f>
        <v/>
      </c>
      <c r="U159" s="35">
        <f>IF((T159/AI159&gt;'Parámetros Proyección'!$G$13),0,D159*'Parámetros Proyección'!$G$13/(IF((H159/AI159&gt;'Parámetros Proyección'!$G$11),0,'Parámetros Proyección'!$G$11)+IF((N159/AI159&gt;'Parámetros Proyección'!$G$12),0,'Parámetros Proyección'!$G$12)+IF((T159/AI159&gt;'Parámetros Proyección'!$G$13),0,'Parámetros Proyección'!$G$13)+IF((Z159/AI159&gt;'Parámetros Proyección'!$G$14),0,'Parámetros Proyección'!$G$14)+IF((AF159/AI159&gt;'Parámetros Proyección'!$G$15),0,'Parámetros Proyección'!$G$15)))</f>
        <v/>
      </c>
      <c r="V159" s="35">
        <f>T159+U159</f>
        <v/>
      </c>
      <c r="W159" s="35">
        <f>AB158</f>
        <v/>
      </c>
      <c r="X159" s="35">
        <f>W159*(1+'Parámetros Proyección'!$E$14)</f>
        <v/>
      </c>
      <c r="Y159" s="35">
        <f>X159*'Parámetros Proyección'!$F$14</f>
        <v/>
      </c>
      <c r="Z159" s="35">
        <f>X159+Y159</f>
        <v/>
      </c>
      <c r="AA159" s="35">
        <f>IF((Z159/AI159&gt;'Parámetros Proyección'!$G$14),0,D159*'Parámetros Proyección'!$G$14/(IF((H159/AI159&gt;'Parámetros Proyección'!$G$11),0,'Parámetros Proyección'!$G$11)+IF((N159/AI159&gt;'Parámetros Proyección'!$G$12),0,'Parámetros Proyección'!$G$12)+IF((T159/AI159&gt;'Parámetros Proyección'!$G$13),0,'Parámetros Proyección'!$G$13)+IF((Z159/AI159&gt;'Parámetros Proyección'!$G$14),0,'Parámetros Proyección'!$G$14)+IF((AF159/AI159&gt;'Parámetros Proyección'!$G$15),0,'Parámetros Proyección'!$G$15)))</f>
        <v/>
      </c>
      <c r="AB159" s="35">
        <f>Z159+AA159</f>
        <v/>
      </c>
      <c r="AC159" s="35">
        <f>AH158</f>
        <v/>
      </c>
      <c r="AD159" s="35">
        <f>AC159*(1+'Parámetros Proyección'!$E$15)</f>
        <v/>
      </c>
      <c r="AE159" s="35">
        <f>AD159*'Parámetros Proyección'!$F$15</f>
        <v/>
      </c>
      <c r="AF159" s="35">
        <f>AD159+AE159</f>
        <v/>
      </c>
      <c r="AG159" s="35">
        <f>IF((AF159/AI159&gt;'Parámetros Proyección'!$G$15),0,D159*'Parámetros Proyección'!$G$15/(IF((H159/AI159&gt;'Parámetros Proyección'!$G$11),0,'Parámetros Proyección'!$G$11)+IF((N159/AI159&gt;'Parámetros Proyección'!$G$12),0,'Parámetros Proyección'!$G$12)+IF((T159/AI159&gt;'Parámetros Proyección'!$G$13),0,'Parámetros Proyección'!$G$13)+IF((Z159/AI159&gt;'Parámetros Proyección'!$G$14),0,'Parámetros Proyección'!$G$14)+IF((AF159/AI159&gt;'Parámetros Proyección'!$G$15),0,'Parámetros Proyección'!$G$15)))</f>
        <v/>
      </c>
      <c r="AH159" s="35">
        <f>AF159+AG159</f>
        <v/>
      </c>
      <c r="AI159" s="35">
        <f>H159+N159+T159+Z159+AF159</f>
        <v/>
      </c>
      <c r="AJ159" s="33">
        <f>AF159/AI159</f>
        <v/>
      </c>
      <c r="AK159">
        <f>IF(AJ159&gt;'Parámetros Proyección'!$B$5,1,0)</f>
        <v/>
      </c>
      <c r="AL159" s="35">
        <f>G159+M159+S159+Y159+AE159</f>
        <v/>
      </c>
      <c r="AM159" s="35">
        <f>AM158+D159</f>
        <v/>
      </c>
      <c r="AN159" s="35">
        <f>AN158+AL159</f>
        <v/>
      </c>
      <c r="AO159" s="35">
        <f>J159+P159+V159+AB159+AH159</f>
        <v/>
      </c>
    </row>
    <row r="160">
      <c r="A160" t="n">
        <v>157</v>
      </c>
      <c r="B160" s="34">
        <f>EDATE(B159,1)</f>
        <v/>
      </c>
      <c r="C160">
        <f>YEAR(B160)</f>
        <v/>
      </c>
      <c r="D160" s="35">
        <f>'Parámetros Proyección'!$B$3*(1+'Parámetros Proyección'!$B$4)^(C160-YEAR('Parámetros Proyección'!$B$6))</f>
        <v/>
      </c>
      <c r="E160" s="35">
        <f>J159</f>
        <v/>
      </c>
      <c r="F160" s="35">
        <f>E160*(1+'Parámetros Proyección'!$E$11)</f>
        <v/>
      </c>
      <c r="G160" s="35">
        <f>F160*'Parámetros Proyección'!$F$11</f>
        <v/>
      </c>
      <c r="H160" s="35">
        <f>F160+G160</f>
        <v/>
      </c>
      <c r="I160" s="35">
        <f>IF((H160/AI160&gt;'Parámetros Proyección'!$G$11),0,D160*'Parámetros Proyección'!$G$11/(IF((H160/AI160&gt;'Parámetros Proyección'!$G$11),0,'Parámetros Proyección'!$G$11)+IF((N160/AI160&gt;'Parámetros Proyección'!$G$12),0,'Parámetros Proyección'!$G$12)+IF((T160/AI160&gt;'Parámetros Proyección'!$G$13),0,'Parámetros Proyección'!$G$13)+IF((Z160/AI160&gt;'Parámetros Proyección'!$G$14),0,'Parámetros Proyección'!$G$14)+IF((AF160/AI160&gt;'Parámetros Proyección'!$G$15),0,'Parámetros Proyección'!$G$15)))</f>
        <v/>
      </c>
      <c r="J160" s="35">
        <f>H160+I160</f>
        <v/>
      </c>
      <c r="K160" s="35">
        <f>P159</f>
        <v/>
      </c>
      <c r="L160" s="35">
        <f>K160*(1+'Parámetros Proyección'!$E$12)</f>
        <v/>
      </c>
      <c r="M160" s="35">
        <f>L160*'Parámetros Proyección'!$F$12</f>
        <v/>
      </c>
      <c r="N160" s="35">
        <f>L160+M160</f>
        <v/>
      </c>
      <c r="O160" s="35">
        <f>IF((N160/AI160&gt;'Parámetros Proyección'!$G$12),0,D160*'Parámetros Proyección'!$G$12/(IF((H160/AI160&gt;'Parámetros Proyección'!$G$11),0,'Parámetros Proyección'!$G$11)+IF((N160/AI160&gt;'Parámetros Proyección'!$G$12),0,'Parámetros Proyección'!$G$12)+IF((T160/AI160&gt;'Parámetros Proyección'!$G$13),0,'Parámetros Proyección'!$G$13)+IF((Z160/AI160&gt;'Parámetros Proyección'!$G$14),0,'Parámetros Proyección'!$G$14)+IF((AF160/AI160&gt;'Parámetros Proyección'!$G$15),0,'Parámetros Proyección'!$G$15)))</f>
        <v/>
      </c>
      <c r="P160" s="35">
        <f>N160+O160</f>
        <v/>
      </c>
      <c r="Q160" s="35">
        <f>V159</f>
        <v/>
      </c>
      <c r="R160" s="35">
        <f>Q160*(1+'Parámetros Proyección'!$E$13)</f>
        <v/>
      </c>
      <c r="S160" s="35">
        <f>R160*'Parámetros Proyección'!$F$13</f>
        <v/>
      </c>
      <c r="T160" s="35">
        <f>R160+S160</f>
        <v/>
      </c>
      <c r="U160" s="35">
        <f>IF((T160/AI160&gt;'Parámetros Proyección'!$G$13),0,D160*'Parámetros Proyección'!$G$13/(IF((H160/AI160&gt;'Parámetros Proyección'!$G$11),0,'Parámetros Proyección'!$G$11)+IF((N160/AI160&gt;'Parámetros Proyección'!$G$12),0,'Parámetros Proyección'!$G$12)+IF((T160/AI160&gt;'Parámetros Proyección'!$G$13),0,'Parámetros Proyección'!$G$13)+IF((Z160/AI160&gt;'Parámetros Proyección'!$G$14),0,'Parámetros Proyección'!$G$14)+IF((AF160/AI160&gt;'Parámetros Proyección'!$G$15),0,'Parámetros Proyección'!$G$15)))</f>
        <v/>
      </c>
      <c r="V160" s="35">
        <f>T160+U160</f>
        <v/>
      </c>
      <c r="W160" s="35">
        <f>AB159</f>
        <v/>
      </c>
      <c r="X160" s="35">
        <f>W160*(1+'Parámetros Proyección'!$E$14)</f>
        <v/>
      </c>
      <c r="Y160" s="35">
        <f>X160*'Parámetros Proyección'!$F$14</f>
        <v/>
      </c>
      <c r="Z160" s="35">
        <f>X160+Y160</f>
        <v/>
      </c>
      <c r="AA160" s="35">
        <f>IF((Z160/AI160&gt;'Parámetros Proyección'!$G$14),0,D160*'Parámetros Proyección'!$G$14/(IF((H160/AI160&gt;'Parámetros Proyección'!$G$11),0,'Parámetros Proyección'!$G$11)+IF((N160/AI160&gt;'Parámetros Proyección'!$G$12),0,'Parámetros Proyección'!$G$12)+IF((T160/AI160&gt;'Parámetros Proyección'!$G$13),0,'Parámetros Proyección'!$G$13)+IF((Z160/AI160&gt;'Parámetros Proyección'!$G$14),0,'Parámetros Proyección'!$G$14)+IF((AF160/AI160&gt;'Parámetros Proyección'!$G$15),0,'Parámetros Proyección'!$G$15)))</f>
        <v/>
      </c>
      <c r="AB160" s="35">
        <f>Z160+AA160</f>
        <v/>
      </c>
      <c r="AC160" s="35">
        <f>AH159</f>
        <v/>
      </c>
      <c r="AD160" s="35">
        <f>AC160*(1+'Parámetros Proyección'!$E$15)</f>
        <v/>
      </c>
      <c r="AE160" s="35">
        <f>AD160*'Parámetros Proyección'!$F$15</f>
        <v/>
      </c>
      <c r="AF160" s="35">
        <f>AD160+AE160</f>
        <v/>
      </c>
      <c r="AG160" s="35">
        <f>IF((AF160/AI160&gt;'Parámetros Proyección'!$G$15),0,D160*'Parámetros Proyección'!$G$15/(IF((H160/AI160&gt;'Parámetros Proyección'!$G$11),0,'Parámetros Proyección'!$G$11)+IF((N160/AI160&gt;'Parámetros Proyección'!$G$12),0,'Parámetros Proyección'!$G$12)+IF((T160/AI160&gt;'Parámetros Proyección'!$G$13),0,'Parámetros Proyección'!$G$13)+IF((Z160/AI160&gt;'Parámetros Proyección'!$G$14),0,'Parámetros Proyección'!$G$14)+IF((AF160/AI160&gt;'Parámetros Proyección'!$G$15),0,'Parámetros Proyección'!$G$15)))</f>
        <v/>
      </c>
      <c r="AH160" s="35">
        <f>AF160+AG160</f>
        <v/>
      </c>
      <c r="AI160" s="35">
        <f>H160+N160+T160+Z160+AF160</f>
        <v/>
      </c>
      <c r="AJ160" s="33">
        <f>AF160/AI160</f>
        <v/>
      </c>
      <c r="AK160">
        <f>IF(AJ160&gt;'Parámetros Proyección'!$B$5,1,0)</f>
        <v/>
      </c>
      <c r="AL160" s="35">
        <f>G160+M160+S160+Y160+AE160</f>
        <v/>
      </c>
      <c r="AM160" s="35">
        <f>AM159+D160</f>
        <v/>
      </c>
      <c r="AN160" s="35">
        <f>AN159+AL160</f>
        <v/>
      </c>
      <c r="AO160" s="35">
        <f>J160+P160+V160+AB160+AH160</f>
        <v/>
      </c>
    </row>
    <row r="161">
      <c r="A161" t="n">
        <v>158</v>
      </c>
      <c r="B161" s="34">
        <f>EDATE(B160,1)</f>
        <v/>
      </c>
      <c r="C161">
        <f>YEAR(B161)</f>
        <v/>
      </c>
      <c r="D161" s="35">
        <f>'Parámetros Proyección'!$B$3*(1+'Parámetros Proyección'!$B$4)^(C161-YEAR('Parámetros Proyección'!$B$6))</f>
        <v/>
      </c>
      <c r="E161" s="35">
        <f>J160</f>
        <v/>
      </c>
      <c r="F161" s="35">
        <f>E161*(1+'Parámetros Proyección'!$E$11)</f>
        <v/>
      </c>
      <c r="G161" s="35">
        <f>F161*'Parámetros Proyección'!$F$11</f>
        <v/>
      </c>
      <c r="H161" s="35">
        <f>F161+G161</f>
        <v/>
      </c>
      <c r="I161" s="35">
        <f>IF((H161/AI161&gt;'Parámetros Proyección'!$G$11),0,D161*'Parámetros Proyección'!$G$11/(IF((H161/AI161&gt;'Parámetros Proyección'!$G$11),0,'Parámetros Proyección'!$G$11)+IF((N161/AI161&gt;'Parámetros Proyección'!$G$12),0,'Parámetros Proyección'!$G$12)+IF((T161/AI161&gt;'Parámetros Proyección'!$G$13),0,'Parámetros Proyección'!$G$13)+IF((Z161/AI161&gt;'Parámetros Proyección'!$G$14),0,'Parámetros Proyección'!$G$14)+IF((AF161/AI161&gt;'Parámetros Proyección'!$G$15),0,'Parámetros Proyección'!$G$15)))</f>
        <v/>
      </c>
      <c r="J161" s="35">
        <f>H161+I161</f>
        <v/>
      </c>
      <c r="K161" s="35">
        <f>P160</f>
        <v/>
      </c>
      <c r="L161" s="35">
        <f>K161*(1+'Parámetros Proyección'!$E$12)</f>
        <v/>
      </c>
      <c r="M161" s="35">
        <f>L161*'Parámetros Proyección'!$F$12</f>
        <v/>
      </c>
      <c r="N161" s="35">
        <f>L161+M161</f>
        <v/>
      </c>
      <c r="O161" s="35">
        <f>IF((N161/AI161&gt;'Parámetros Proyección'!$G$12),0,D161*'Parámetros Proyección'!$G$12/(IF((H161/AI161&gt;'Parámetros Proyección'!$G$11),0,'Parámetros Proyección'!$G$11)+IF((N161/AI161&gt;'Parámetros Proyección'!$G$12),0,'Parámetros Proyección'!$G$12)+IF((T161/AI161&gt;'Parámetros Proyección'!$G$13),0,'Parámetros Proyección'!$G$13)+IF((Z161/AI161&gt;'Parámetros Proyección'!$G$14),0,'Parámetros Proyección'!$G$14)+IF((AF161/AI161&gt;'Parámetros Proyección'!$G$15),0,'Parámetros Proyección'!$G$15)))</f>
        <v/>
      </c>
      <c r="P161" s="35">
        <f>N161+O161</f>
        <v/>
      </c>
      <c r="Q161" s="35">
        <f>V160</f>
        <v/>
      </c>
      <c r="R161" s="35">
        <f>Q161*(1+'Parámetros Proyección'!$E$13)</f>
        <v/>
      </c>
      <c r="S161" s="35">
        <f>R161*'Parámetros Proyección'!$F$13</f>
        <v/>
      </c>
      <c r="T161" s="35">
        <f>R161+S161</f>
        <v/>
      </c>
      <c r="U161" s="35">
        <f>IF((T161/AI161&gt;'Parámetros Proyección'!$G$13),0,D161*'Parámetros Proyección'!$G$13/(IF((H161/AI161&gt;'Parámetros Proyección'!$G$11),0,'Parámetros Proyección'!$G$11)+IF((N161/AI161&gt;'Parámetros Proyección'!$G$12),0,'Parámetros Proyección'!$G$12)+IF((T161/AI161&gt;'Parámetros Proyección'!$G$13),0,'Parámetros Proyección'!$G$13)+IF((Z161/AI161&gt;'Parámetros Proyección'!$G$14),0,'Parámetros Proyección'!$G$14)+IF((AF161/AI161&gt;'Parámetros Proyección'!$G$15),0,'Parámetros Proyección'!$G$15)))</f>
        <v/>
      </c>
      <c r="V161" s="35">
        <f>T161+U161</f>
        <v/>
      </c>
      <c r="W161" s="35">
        <f>AB160</f>
        <v/>
      </c>
      <c r="X161" s="35">
        <f>W161*(1+'Parámetros Proyección'!$E$14)</f>
        <v/>
      </c>
      <c r="Y161" s="35">
        <f>X161*'Parámetros Proyección'!$F$14</f>
        <v/>
      </c>
      <c r="Z161" s="35">
        <f>X161+Y161</f>
        <v/>
      </c>
      <c r="AA161" s="35">
        <f>IF((Z161/AI161&gt;'Parámetros Proyección'!$G$14),0,D161*'Parámetros Proyección'!$G$14/(IF((H161/AI161&gt;'Parámetros Proyección'!$G$11),0,'Parámetros Proyección'!$G$11)+IF((N161/AI161&gt;'Parámetros Proyección'!$G$12),0,'Parámetros Proyección'!$G$12)+IF((T161/AI161&gt;'Parámetros Proyección'!$G$13),0,'Parámetros Proyección'!$G$13)+IF((Z161/AI161&gt;'Parámetros Proyección'!$G$14),0,'Parámetros Proyección'!$G$14)+IF((AF161/AI161&gt;'Parámetros Proyección'!$G$15),0,'Parámetros Proyección'!$G$15)))</f>
        <v/>
      </c>
      <c r="AB161" s="35">
        <f>Z161+AA161</f>
        <v/>
      </c>
      <c r="AC161" s="35">
        <f>AH160</f>
        <v/>
      </c>
      <c r="AD161" s="35">
        <f>AC161*(1+'Parámetros Proyección'!$E$15)</f>
        <v/>
      </c>
      <c r="AE161" s="35">
        <f>AD161*'Parámetros Proyección'!$F$15</f>
        <v/>
      </c>
      <c r="AF161" s="35">
        <f>AD161+AE161</f>
        <v/>
      </c>
      <c r="AG161" s="35">
        <f>IF((AF161/AI161&gt;'Parámetros Proyección'!$G$15),0,D161*'Parámetros Proyección'!$G$15/(IF((H161/AI161&gt;'Parámetros Proyección'!$G$11),0,'Parámetros Proyección'!$G$11)+IF((N161/AI161&gt;'Parámetros Proyección'!$G$12),0,'Parámetros Proyección'!$G$12)+IF((T161/AI161&gt;'Parámetros Proyección'!$G$13),0,'Parámetros Proyección'!$G$13)+IF((Z161/AI161&gt;'Parámetros Proyección'!$G$14),0,'Parámetros Proyección'!$G$14)+IF((AF161/AI161&gt;'Parámetros Proyección'!$G$15),0,'Parámetros Proyección'!$G$15)))</f>
        <v/>
      </c>
      <c r="AH161" s="35">
        <f>AF161+AG161</f>
        <v/>
      </c>
      <c r="AI161" s="35">
        <f>H161+N161+T161+Z161+AF161</f>
        <v/>
      </c>
      <c r="AJ161" s="33">
        <f>AF161/AI161</f>
        <v/>
      </c>
      <c r="AK161">
        <f>IF(AJ161&gt;'Parámetros Proyección'!$B$5,1,0)</f>
        <v/>
      </c>
      <c r="AL161" s="35">
        <f>G161+M161+S161+Y161+AE161</f>
        <v/>
      </c>
      <c r="AM161" s="35">
        <f>AM160+D161</f>
        <v/>
      </c>
      <c r="AN161" s="35">
        <f>AN160+AL161</f>
        <v/>
      </c>
      <c r="AO161" s="35">
        <f>J161+P161+V161+AB161+AH161</f>
        <v/>
      </c>
    </row>
    <row r="162">
      <c r="A162" t="n">
        <v>159</v>
      </c>
      <c r="B162" s="34">
        <f>EDATE(B161,1)</f>
        <v/>
      </c>
      <c r="C162">
        <f>YEAR(B162)</f>
        <v/>
      </c>
      <c r="D162" s="35">
        <f>'Parámetros Proyección'!$B$3*(1+'Parámetros Proyección'!$B$4)^(C162-YEAR('Parámetros Proyección'!$B$6))</f>
        <v/>
      </c>
      <c r="E162" s="35">
        <f>J161</f>
        <v/>
      </c>
      <c r="F162" s="35">
        <f>E162*(1+'Parámetros Proyección'!$E$11)</f>
        <v/>
      </c>
      <c r="G162" s="35">
        <f>F162*'Parámetros Proyección'!$F$11</f>
        <v/>
      </c>
      <c r="H162" s="35">
        <f>F162+G162</f>
        <v/>
      </c>
      <c r="I162" s="35">
        <f>IF((H162/AI162&gt;'Parámetros Proyección'!$G$11),0,D162*'Parámetros Proyección'!$G$11/(IF((H162/AI162&gt;'Parámetros Proyección'!$G$11),0,'Parámetros Proyección'!$G$11)+IF((N162/AI162&gt;'Parámetros Proyección'!$G$12),0,'Parámetros Proyección'!$G$12)+IF((T162/AI162&gt;'Parámetros Proyección'!$G$13),0,'Parámetros Proyección'!$G$13)+IF((Z162/AI162&gt;'Parámetros Proyección'!$G$14),0,'Parámetros Proyección'!$G$14)+IF((AF162/AI162&gt;'Parámetros Proyección'!$G$15),0,'Parámetros Proyección'!$G$15)))</f>
        <v/>
      </c>
      <c r="J162" s="35">
        <f>H162+I162</f>
        <v/>
      </c>
      <c r="K162" s="35">
        <f>P161</f>
        <v/>
      </c>
      <c r="L162" s="35">
        <f>K162*(1+'Parámetros Proyección'!$E$12)</f>
        <v/>
      </c>
      <c r="M162" s="35">
        <f>L162*'Parámetros Proyección'!$F$12</f>
        <v/>
      </c>
      <c r="N162" s="35">
        <f>L162+M162</f>
        <v/>
      </c>
      <c r="O162" s="35">
        <f>IF((N162/AI162&gt;'Parámetros Proyección'!$G$12),0,D162*'Parámetros Proyección'!$G$12/(IF((H162/AI162&gt;'Parámetros Proyección'!$G$11),0,'Parámetros Proyección'!$G$11)+IF((N162/AI162&gt;'Parámetros Proyección'!$G$12),0,'Parámetros Proyección'!$G$12)+IF((T162/AI162&gt;'Parámetros Proyección'!$G$13),0,'Parámetros Proyección'!$G$13)+IF((Z162/AI162&gt;'Parámetros Proyección'!$G$14),0,'Parámetros Proyección'!$G$14)+IF((AF162/AI162&gt;'Parámetros Proyección'!$G$15),0,'Parámetros Proyección'!$G$15)))</f>
        <v/>
      </c>
      <c r="P162" s="35">
        <f>N162+O162</f>
        <v/>
      </c>
      <c r="Q162" s="35">
        <f>V161</f>
        <v/>
      </c>
      <c r="R162" s="35">
        <f>Q162*(1+'Parámetros Proyección'!$E$13)</f>
        <v/>
      </c>
      <c r="S162" s="35">
        <f>R162*'Parámetros Proyección'!$F$13</f>
        <v/>
      </c>
      <c r="T162" s="35">
        <f>R162+S162</f>
        <v/>
      </c>
      <c r="U162" s="35">
        <f>IF((T162/AI162&gt;'Parámetros Proyección'!$G$13),0,D162*'Parámetros Proyección'!$G$13/(IF((H162/AI162&gt;'Parámetros Proyección'!$G$11),0,'Parámetros Proyección'!$G$11)+IF((N162/AI162&gt;'Parámetros Proyección'!$G$12),0,'Parámetros Proyección'!$G$12)+IF((T162/AI162&gt;'Parámetros Proyección'!$G$13),0,'Parámetros Proyección'!$G$13)+IF((Z162/AI162&gt;'Parámetros Proyección'!$G$14),0,'Parámetros Proyección'!$G$14)+IF((AF162/AI162&gt;'Parámetros Proyección'!$G$15),0,'Parámetros Proyección'!$G$15)))</f>
        <v/>
      </c>
      <c r="V162" s="35">
        <f>T162+U162</f>
        <v/>
      </c>
      <c r="W162" s="35">
        <f>AB161</f>
        <v/>
      </c>
      <c r="X162" s="35">
        <f>W162*(1+'Parámetros Proyección'!$E$14)</f>
        <v/>
      </c>
      <c r="Y162" s="35">
        <f>X162*'Parámetros Proyección'!$F$14</f>
        <v/>
      </c>
      <c r="Z162" s="35">
        <f>X162+Y162</f>
        <v/>
      </c>
      <c r="AA162" s="35">
        <f>IF((Z162/AI162&gt;'Parámetros Proyección'!$G$14),0,D162*'Parámetros Proyección'!$G$14/(IF((H162/AI162&gt;'Parámetros Proyección'!$G$11),0,'Parámetros Proyección'!$G$11)+IF((N162/AI162&gt;'Parámetros Proyección'!$G$12),0,'Parámetros Proyección'!$G$12)+IF((T162/AI162&gt;'Parámetros Proyección'!$G$13),0,'Parámetros Proyección'!$G$13)+IF((Z162/AI162&gt;'Parámetros Proyección'!$G$14),0,'Parámetros Proyección'!$G$14)+IF((AF162/AI162&gt;'Parámetros Proyección'!$G$15),0,'Parámetros Proyección'!$G$15)))</f>
        <v/>
      </c>
      <c r="AB162" s="35">
        <f>Z162+AA162</f>
        <v/>
      </c>
      <c r="AC162" s="35">
        <f>AH161</f>
        <v/>
      </c>
      <c r="AD162" s="35">
        <f>AC162*(1+'Parámetros Proyección'!$E$15)</f>
        <v/>
      </c>
      <c r="AE162" s="35">
        <f>AD162*'Parámetros Proyección'!$F$15</f>
        <v/>
      </c>
      <c r="AF162" s="35">
        <f>AD162+AE162</f>
        <v/>
      </c>
      <c r="AG162" s="35">
        <f>IF((AF162/AI162&gt;'Parámetros Proyección'!$G$15),0,D162*'Parámetros Proyección'!$G$15/(IF((H162/AI162&gt;'Parámetros Proyección'!$G$11),0,'Parámetros Proyección'!$G$11)+IF((N162/AI162&gt;'Parámetros Proyección'!$G$12),0,'Parámetros Proyección'!$G$12)+IF((T162/AI162&gt;'Parámetros Proyección'!$G$13),0,'Parámetros Proyección'!$G$13)+IF((Z162/AI162&gt;'Parámetros Proyección'!$G$14),0,'Parámetros Proyección'!$G$14)+IF((AF162/AI162&gt;'Parámetros Proyección'!$G$15),0,'Parámetros Proyección'!$G$15)))</f>
        <v/>
      </c>
      <c r="AH162" s="35">
        <f>AF162+AG162</f>
        <v/>
      </c>
      <c r="AI162" s="35">
        <f>H162+N162+T162+Z162+AF162</f>
        <v/>
      </c>
      <c r="AJ162" s="33">
        <f>AF162/AI162</f>
        <v/>
      </c>
      <c r="AK162">
        <f>IF(AJ162&gt;'Parámetros Proyección'!$B$5,1,0)</f>
        <v/>
      </c>
      <c r="AL162" s="35">
        <f>G162+M162+S162+Y162+AE162</f>
        <v/>
      </c>
      <c r="AM162" s="35">
        <f>AM161+D162</f>
        <v/>
      </c>
      <c r="AN162" s="35">
        <f>AN161+AL162</f>
        <v/>
      </c>
      <c r="AO162" s="35">
        <f>J162+P162+V162+AB162+AH162</f>
        <v/>
      </c>
    </row>
    <row r="163">
      <c r="A163" t="n">
        <v>160</v>
      </c>
      <c r="B163" s="34">
        <f>EDATE(B162,1)</f>
        <v/>
      </c>
      <c r="C163">
        <f>YEAR(B163)</f>
        <v/>
      </c>
      <c r="D163" s="35">
        <f>'Parámetros Proyección'!$B$3*(1+'Parámetros Proyección'!$B$4)^(C163-YEAR('Parámetros Proyección'!$B$6))</f>
        <v/>
      </c>
      <c r="E163" s="35">
        <f>J162</f>
        <v/>
      </c>
      <c r="F163" s="35">
        <f>E163*(1+'Parámetros Proyección'!$E$11)</f>
        <v/>
      </c>
      <c r="G163" s="35">
        <f>F163*'Parámetros Proyección'!$F$11</f>
        <v/>
      </c>
      <c r="H163" s="35">
        <f>F163+G163</f>
        <v/>
      </c>
      <c r="I163" s="35">
        <f>IF((H163/AI163&gt;'Parámetros Proyección'!$G$11),0,D163*'Parámetros Proyección'!$G$11/(IF((H163/AI163&gt;'Parámetros Proyección'!$G$11),0,'Parámetros Proyección'!$G$11)+IF((N163/AI163&gt;'Parámetros Proyección'!$G$12),0,'Parámetros Proyección'!$G$12)+IF((T163/AI163&gt;'Parámetros Proyección'!$G$13),0,'Parámetros Proyección'!$G$13)+IF((Z163/AI163&gt;'Parámetros Proyección'!$G$14),0,'Parámetros Proyección'!$G$14)+IF((AF163/AI163&gt;'Parámetros Proyección'!$G$15),0,'Parámetros Proyección'!$G$15)))</f>
        <v/>
      </c>
      <c r="J163" s="35">
        <f>H163+I163</f>
        <v/>
      </c>
      <c r="K163" s="35">
        <f>P162</f>
        <v/>
      </c>
      <c r="L163" s="35">
        <f>K163*(1+'Parámetros Proyección'!$E$12)</f>
        <v/>
      </c>
      <c r="M163" s="35">
        <f>L163*'Parámetros Proyección'!$F$12</f>
        <v/>
      </c>
      <c r="N163" s="35">
        <f>L163+M163</f>
        <v/>
      </c>
      <c r="O163" s="35">
        <f>IF((N163/AI163&gt;'Parámetros Proyección'!$G$12),0,D163*'Parámetros Proyección'!$G$12/(IF((H163/AI163&gt;'Parámetros Proyección'!$G$11),0,'Parámetros Proyección'!$G$11)+IF((N163/AI163&gt;'Parámetros Proyección'!$G$12),0,'Parámetros Proyección'!$G$12)+IF((T163/AI163&gt;'Parámetros Proyección'!$G$13),0,'Parámetros Proyección'!$G$13)+IF((Z163/AI163&gt;'Parámetros Proyección'!$G$14),0,'Parámetros Proyección'!$G$14)+IF((AF163/AI163&gt;'Parámetros Proyección'!$G$15),0,'Parámetros Proyección'!$G$15)))</f>
        <v/>
      </c>
      <c r="P163" s="35">
        <f>N163+O163</f>
        <v/>
      </c>
      <c r="Q163" s="35">
        <f>V162</f>
        <v/>
      </c>
      <c r="R163" s="35">
        <f>Q163*(1+'Parámetros Proyección'!$E$13)</f>
        <v/>
      </c>
      <c r="S163" s="35">
        <f>R163*'Parámetros Proyección'!$F$13</f>
        <v/>
      </c>
      <c r="T163" s="35">
        <f>R163+S163</f>
        <v/>
      </c>
      <c r="U163" s="35">
        <f>IF((T163/AI163&gt;'Parámetros Proyección'!$G$13),0,D163*'Parámetros Proyección'!$G$13/(IF((H163/AI163&gt;'Parámetros Proyección'!$G$11),0,'Parámetros Proyección'!$G$11)+IF((N163/AI163&gt;'Parámetros Proyección'!$G$12),0,'Parámetros Proyección'!$G$12)+IF((T163/AI163&gt;'Parámetros Proyección'!$G$13),0,'Parámetros Proyección'!$G$13)+IF((Z163/AI163&gt;'Parámetros Proyección'!$G$14),0,'Parámetros Proyección'!$G$14)+IF((AF163/AI163&gt;'Parámetros Proyección'!$G$15),0,'Parámetros Proyección'!$G$15)))</f>
        <v/>
      </c>
      <c r="V163" s="35">
        <f>T163+U163</f>
        <v/>
      </c>
      <c r="W163" s="35">
        <f>AB162</f>
        <v/>
      </c>
      <c r="X163" s="35">
        <f>W163*(1+'Parámetros Proyección'!$E$14)</f>
        <v/>
      </c>
      <c r="Y163" s="35">
        <f>X163*'Parámetros Proyección'!$F$14</f>
        <v/>
      </c>
      <c r="Z163" s="35">
        <f>X163+Y163</f>
        <v/>
      </c>
      <c r="AA163" s="35">
        <f>IF((Z163/AI163&gt;'Parámetros Proyección'!$G$14),0,D163*'Parámetros Proyección'!$G$14/(IF((H163/AI163&gt;'Parámetros Proyección'!$G$11),0,'Parámetros Proyección'!$G$11)+IF((N163/AI163&gt;'Parámetros Proyección'!$G$12),0,'Parámetros Proyección'!$G$12)+IF((T163/AI163&gt;'Parámetros Proyección'!$G$13),0,'Parámetros Proyección'!$G$13)+IF((Z163/AI163&gt;'Parámetros Proyección'!$G$14),0,'Parámetros Proyección'!$G$14)+IF((AF163/AI163&gt;'Parámetros Proyección'!$G$15),0,'Parámetros Proyección'!$G$15)))</f>
        <v/>
      </c>
      <c r="AB163" s="35">
        <f>Z163+AA163</f>
        <v/>
      </c>
      <c r="AC163" s="35">
        <f>AH162</f>
        <v/>
      </c>
      <c r="AD163" s="35">
        <f>AC163*(1+'Parámetros Proyección'!$E$15)</f>
        <v/>
      </c>
      <c r="AE163" s="35">
        <f>AD163*'Parámetros Proyección'!$F$15</f>
        <v/>
      </c>
      <c r="AF163" s="35">
        <f>AD163+AE163</f>
        <v/>
      </c>
      <c r="AG163" s="35">
        <f>IF((AF163/AI163&gt;'Parámetros Proyección'!$G$15),0,D163*'Parámetros Proyección'!$G$15/(IF((H163/AI163&gt;'Parámetros Proyección'!$G$11),0,'Parámetros Proyección'!$G$11)+IF((N163/AI163&gt;'Parámetros Proyección'!$G$12),0,'Parámetros Proyección'!$G$12)+IF((T163/AI163&gt;'Parámetros Proyección'!$G$13),0,'Parámetros Proyección'!$G$13)+IF((Z163/AI163&gt;'Parámetros Proyección'!$G$14),0,'Parámetros Proyección'!$G$14)+IF((AF163/AI163&gt;'Parámetros Proyección'!$G$15),0,'Parámetros Proyección'!$G$15)))</f>
        <v/>
      </c>
      <c r="AH163" s="35">
        <f>AF163+AG163</f>
        <v/>
      </c>
      <c r="AI163" s="35">
        <f>H163+N163+T163+Z163+AF163</f>
        <v/>
      </c>
      <c r="AJ163" s="33">
        <f>AF163/AI163</f>
        <v/>
      </c>
      <c r="AK163">
        <f>IF(AJ163&gt;'Parámetros Proyección'!$B$5,1,0)</f>
        <v/>
      </c>
      <c r="AL163" s="35">
        <f>G163+M163+S163+Y163+AE163</f>
        <v/>
      </c>
      <c r="AM163" s="35">
        <f>AM162+D163</f>
        <v/>
      </c>
      <c r="AN163" s="35">
        <f>AN162+AL163</f>
        <v/>
      </c>
      <c r="AO163" s="35">
        <f>J163+P163+V163+AB163+AH163</f>
        <v/>
      </c>
    </row>
    <row r="164">
      <c r="A164" t="n">
        <v>161</v>
      </c>
      <c r="B164" s="34">
        <f>EDATE(B163,1)</f>
        <v/>
      </c>
      <c r="C164">
        <f>YEAR(B164)</f>
        <v/>
      </c>
      <c r="D164" s="35">
        <f>'Parámetros Proyección'!$B$3*(1+'Parámetros Proyección'!$B$4)^(C164-YEAR('Parámetros Proyección'!$B$6))</f>
        <v/>
      </c>
      <c r="E164" s="35">
        <f>J163</f>
        <v/>
      </c>
      <c r="F164" s="35">
        <f>E164*(1+'Parámetros Proyección'!$E$11)</f>
        <v/>
      </c>
      <c r="G164" s="35">
        <f>F164*'Parámetros Proyección'!$F$11</f>
        <v/>
      </c>
      <c r="H164" s="35">
        <f>F164+G164</f>
        <v/>
      </c>
      <c r="I164" s="35">
        <f>IF((H164/AI164&gt;'Parámetros Proyección'!$G$11),0,D164*'Parámetros Proyección'!$G$11/(IF((H164/AI164&gt;'Parámetros Proyección'!$G$11),0,'Parámetros Proyección'!$G$11)+IF((N164/AI164&gt;'Parámetros Proyección'!$G$12),0,'Parámetros Proyección'!$G$12)+IF((T164/AI164&gt;'Parámetros Proyección'!$G$13),0,'Parámetros Proyección'!$G$13)+IF((Z164/AI164&gt;'Parámetros Proyección'!$G$14),0,'Parámetros Proyección'!$G$14)+IF((AF164/AI164&gt;'Parámetros Proyección'!$G$15),0,'Parámetros Proyección'!$G$15)))</f>
        <v/>
      </c>
      <c r="J164" s="35">
        <f>H164+I164</f>
        <v/>
      </c>
      <c r="K164" s="35">
        <f>P163</f>
        <v/>
      </c>
      <c r="L164" s="35">
        <f>K164*(1+'Parámetros Proyección'!$E$12)</f>
        <v/>
      </c>
      <c r="M164" s="35">
        <f>L164*'Parámetros Proyección'!$F$12</f>
        <v/>
      </c>
      <c r="N164" s="35">
        <f>L164+M164</f>
        <v/>
      </c>
      <c r="O164" s="35">
        <f>IF((N164/AI164&gt;'Parámetros Proyección'!$G$12),0,D164*'Parámetros Proyección'!$G$12/(IF((H164/AI164&gt;'Parámetros Proyección'!$G$11),0,'Parámetros Proyección'!$G$11)+IF((N164/AI164&gt;'Parámetros Proyección'!$G$12),0,'Parámetros Proyección'!$G$12)+IF((T164/AI164&gt;'Parámetros Proyección'!$G$13),0,'Parámetros Proyección'!$G$13)+IF((Z164/AI164&gt;'Parámetros Proyección'!$G$14),0,'Parámetros Proyección'!$G$14)+IF((AF164/AI164&gt;'Parámetros Proyección'!$G$15),0,'Parámetros Proyección'!$G$15)))</f>
        <v/>
      </c>
      <c r="P164" s="35">
        <f>N164+O164</f>
        <v/>
      </c>
      <c r="Q164" s="35">
        <f>V163</f>
        <v/>
      </c>
      <c r="R164" s="35">
        <f>Q164*(1+'Parámetros Proyección'!$E$13)</f>
        <v/>
      </c>
      <c r="S164" s="35">
        <f>R164*'Parámetros Proyección'!$F$13</f>
        <v/>
      </c>
      <c r="T164" s="35">
        <f>R164+S164</f>
        <v/>
      </c>
      <c r="U164" s="35">
        <f>IF((T164/AI164&gt;'Parámetros Proyección'!$G$13),0,D164*'Parámetros Proyección'!$G$13/(IF((H164/AI164&gt;'Parámetros Proyección'!$G$11),0,'Parámetros Proyección'!$G$11)+IF((N164/AI164&gt;'Parámetros Proyección'!$G$12),0,'Parámetros Proyección'!$G$12)+IF((T164/AI164&gt;'Parámetros Proyección'!$G$13),0,'Parámetros Proyección'!$G$13)+IF((Z164/AI164&gt;'Parámetros Proyección'!$G$14),0,'Parámetros Proyección'!$G$14)+IF((AF164/AI164&gt;'Parámetros Proyección'!$G$15),0,'Parámetros Proyección'!$G$15)))</f>
        <v/>
      </c>
      <c r="V164" s="35">
        <f>T164+U164</f>
        <v/>
      </c>
      <c r="W164" s="35">
        <f>AB163</f>
        <v/>
      </c>
      <c r="X164" s="35">
        <f>W164*(1+'Parámetros Proyección'!$E$14)</f>
        <v/>
      </c>
      <c r="Y164" s="35">
        <f>X164*'Parámetros Proyección'!$F$14</f>
        <v/>
      </c>
      <c r="Z164" s="35">
        <f>X164+Y164</f>
        <v/>
      </c>
      <c r="AA164" s="35">
        <f>IF((Z164/AI164&gt;'Parámetros Proyección'!$G$14),0,D164*'Parámetros Proyección'!$G$14/(IF((H164/AI164&gt;'Parámetros Proyección'!$G$11),0,'Parámetros Proyección'!$G$11)+IF((N164/AI164&gt;'Parámetros Proyección'!$G$12),0,'Parámetros Proyección'!$G$12)+IF((T164/AI164&gt;'Parámetros Proyección'!$G$13),0,'Parámetros Proyección'!$G$13)+IF((Z164/AI164&gt;'Parámetros Proyección'!$G$14),0,'Parámetros Proyección'!$G$14)+IF((AF164/AI164&gt;'Parámetros Proyección'!$G$15),0,'Parámetros Proyección'!$G$15)))</f>
        <v/>
      </c>
      <c r="AB164" s="35">
        <f>Z164+AA164</f>
        <v/>
      </c>
      <c r="AC164" s="35">
        <f>AH163</f>
        <v/>
      </c>
      <c r="AD164" s="35">
        <f>AC164*(1+'Parámetros Proyección'!$E$15)</f>
        <v/>
      </c>
      <c r="AE164" s="35">
        <f>AD164*'Parámetros Proyección'!$F$15</f>
        <v/>
      </c>
      <c r="AF164" s="35">
        <f>AD164+AE164</f>
        <v/>
      </c>
      <c r="AG164" s="35">
        <f>IF((AF164/AI164&gt;'Parámetros Proyección'!$G$15),0,D164*'Parámetros Proyección'!$G$15/(IF((H164/AI164&gt;'Parámetros Proyección'!$G$11),0,'Parámetros Proyección'!$G$11)+IF((N164/AI164&gt;'Parámetros Proyección'!$G$12),0,'Parámetros Proyección'!$G$12)+IF((T164/AI164&gt;'Parámetros Proyección'!$G$13),0,'Parámetros Proyección'!$G$13)+IF((Z164/AI164&gt;'Parámetros Proyección'!$G$14),0,'Parámetros Proyección'!$G$14)+IF((AF164/AI164&gt;'Parámetros Proyección'!$G$15),0,'Parámetros Proyección'!$G$15)))</f>
        <v/>
      </c>
      <c r="AH164" s="35">
        <f>AF164+AG164</f>
        <v/>
      </c>
      <c r="AI164" s="35">
        <f>H164+N164+T164+Z164+AF164</f>
        <v/>
      </c>
      <c r="AJ164" s="33">
        <f>AF164/AI164</f>
        <v/>
      </c>
      <c r="AK164">
        <f>IF(AJ164&gt;'Parámetros Proyección'!$B$5,1,0)</f>
        <v/>
      </c>
      <c r="AL164" s="35">
        <f>G164+M164+S164+Y164+AE164</f>
        <v/>
      </c>
      <c r="AM164" s="35">
        <f>AM163+D164</f>
        <v/>
      </c>
      <c r="AN164" s="35">
        <f>AN163+AL164</f>
        <v/>
      </c>
      <c r="AO164" s="35">
        <f>J164+P164+V164+AB164+AH164</f>
        <v/>
      </c>
    </row>
    <row r="165">
      <c r="A165" t="n">
        <v>162</v>
      </c>
      <c r="B165" s="34">
        <f>EDATE(B164,1)</f>
        <v/>
      </c>
      <c r="C165">
        <f>YEAR(B165)</f>
        <v/>
      </c>
      <c r="D165" s="35">
        <f>'Parámetros Proyección'!$B$3*(1+'Parámetros Proyección'!$B$4)^(C165-YEAR('Parámetros Proyección'!$B$6))</f>
        <v/>
      </c>
      <c r="E165" s="35">
        <f>J164</f>
        <v/>
      </c>
      <c r="F165" s="35">
        <f>E165*(1+'Parámetros Proyección'!$E$11)</f>
        <v/>
      </c>
      <c r="G165" s="35">
        <f>F165*'Parámetros Proyección'!$F$11</f>
        <v/>
      </c>
      <c r="H165" s="35">
        <f>F165+G165</f>
        <v/>
      </c>
      <c r="I165" s="35">
        <f>IF((H165/AI165&gt;'Parámetros Proyección'!$G$11),0,D165*'Parámetros Proyección'!$G$11/(IF((H165/AI165&gt;'Parámetros Proyección'!$G$11),0,'Parámetros Proyección'!$G$11)+IF((N165/AI165&gt;'Parámetros Proyección'!$G$12),0,'Parámetros Proyección'!$G$12)+IF((T165/AI165&gt;'Parámetros Proyección'!$G$13),0,'Parámetros Proyección'!$G$13)+IF((Z165/AI165&gt;'Parámetros Proyección'!$G$14),0,'Parámetros Proyección'!$G$14)+IF((AF165/AI165&gt;'Parámetros Proyección'!$G$15),0,'Parámetros Proyección'!$G$15)))</f>
        <v/>
      </c>
      <c r="J165" s="35">
        <f>H165+I165</f>
        <v/>
      </c>
      <c r="K165" s="35">
        <f>P164</f>
        <v/>
      </c>
      <c r="L165" s="35">
        <f>K165*(1+'Parámetros Proyección'!$E$12)</f>
        <v/>
      </c>
      <c r="M165" s="35">
        <f>L165*'Parámetros Proyección'!$F$12</f>
        <v/>
      </c>
      <c r="N165" s="35">
        <f>L165+M165</f>
        <v/>
      </c>
      <c r="O165" s="35">
        <f>IF((N165/AI165&gt;'Parámetros Proyección'!$G$12),0,D165*'Parámetros Proyección'!$G$12/(IF((H165/AI165&gt;'Parámetros Proyección'!$G$11),0,'Parámetros Proyección'!$G$11)+IF((N165/AI165&gt;'Parámetros Proyección'!$G$12),0,'Parámetros Proyección'!$G$12)+IF((T165/AI165&gt;'Parámetros Proyección'!$G$13),0,'Parámetros Proyección'!$G$13)+IF((Z165/AI165&gt;'Parámetros Proyección'!$G$14),0,'Parámetros Proyección'!$G$14)+IF((AF165/AI165&gt;'Parámetros Proyección'!$G$15),0,'Parámetros Proyección'!$G$15)))</f>
        <v/>
      </c>
      <c r="P165" s="35">
        <f>N165+O165</f>
        <v/>
      </c>
      <c r="Q165" s="35">
        <f>V164</f>
        <v/>
      </c>
      <c r="R165" s="35">
        <f>Q165*(1+'Parámetros Proyección'!$E$13)</f>
        <v/>
      </c>
      <c r="S165" s="35">
        <f>R165*'Parámetros Proyección'!$F$13</f>
        <v/>
      </c>
      <c r="T165" s="35">
        <f>R165+S165</f>
        <v/>
      </c>
      <c r="U165" s="35">
        <f>IF((T165/AI165&gt;'Parámetros Proyección'!$G$13),0,D165*'Parámetros Proyección'!$G$13/(IF((H165/AI165&gt;'Parámetros Proyección'!$G$11),0,'Parámetros Proyección'!$G$11)+IF((N165/AI165&gt;'Parámetros Proyección'!$G$12),0,'Parámetros Proyección'!$G$12)+IF((T165/AI165&gt;'Parámetros Proyección'!$G$13),0,'Parámetros Proyección'!$G$13)+IF((Z165/AI165&gt;'Parámetros Proyección'!$G$14),0,'Parámetros Proyección'!$G$14)+IF((AF165/AI165&gt;'Parámetros Proyección'!$G$15),0,'Parámetros Proyección'!$G$15)))</f>
        <v/>
      </c>
      <c r="V165" s="35">
        <f>T165+U165</f>
        <v/>
      </c>
      <c r="W165" s="35">
        <f>AB164</f>
        <v/>
      </c>
      <c r="X165" s="35">
        <f>W165*(1+'Parámetros Proyección'!$E$14)</f>
        <v/>
      </c>
      <c r="Y165" s="35">
        <f>X165*'Parámetros Proyección'!$F$14</f>
        <v/>
      </c>
      <c r="Z165" s="35">
        <f>X165+Y165</f>
        <v/>
      </c>
      <c r="AA165" s="35">
        <f>IF((Z165/AI165&gt;'Parámetros Proyección'!$G$14),0,D165*'Parámetros Proyección'!$G$14/(IF((H165/AI165&gt;'Parámetros Proyección'!$G$11),0,'Parámetros Proyección'!$G$11)+IF((N165/AI165&gt;'Parámetros Proyección'!$G$12),0,'Parámetros Proyección'!$G$12)+IF((T165/AI165&gt;'Parámetros Proyección'!$G$13),0,'Parámetros Proyección'!$G$13)+IF((Z165/AI165&gt;'Parámetros Proyección'!$G$14),0,'Parámetros Proyección'!$G$14)+IF((AF165/AI165&gt;'Parámetros Proyección'!$G$15),0,'Parámetros Proyección'!$G$15)))</f>
        <v/>
      </c>
      <c r="AB165" s="35">
        <f>Z165+AA165</f>
        <v/>
      </c>
      <c r="AC165" s="35">
        <f>AH164</f>
        <v/>
      </c>
      <c r="AD165" s="35">
        <f>AC165*(1+'Parámetros Proyección'!$E$15)</f>
        <v/>
      </c>
      <c r="AE165" s="35">
        <f>AD165*'Parámetros Proyección'!$F$15</f>
        <v/>
      </c>
      <c r="AF165" s="35">
        <f>AD165+AE165</f>
        <v/>
      </c>
      <c r="AG165" s="35">
        <f>IF((AF165/AI165&gt;'Parámetros Proyección'!$G$15),0,D165*'Parámetros Proyección'!$G$15/(IF((H165/AI165&gt;'Parámetros Proyección'!$G$11),0,'Parámetros Proyección'!$G$11)+IF((N165/AI165&gt;'Parámetros Proyección'!$G$12),0,'Parámetros Proyección'!$G$12)+IF((T165/AI165&gt;'Parámetros Proyección'!$G$13),0,'Parámetros Proyección'!$G$13)+IF((Z165/AI165&gt;'Parámetros Proyección'!$G$14),0,'Parámetros Proyección'!$G$14)+IF((AF165/AI165&gt;'Parámetros Proyección'!$G$15),0,'Parámetros Proyección'!$G$15)))</f>
        <v/>
      </c>
      <c r="AH165" s="35">
        <f>AF165+AG165</f>
        <v/>
      </c>
      <c r="AI165" s="35">
        <f>H165+N165+T165+Z165+AF165</f>
        <v/>
      </c>
      <c r="AJ165" s="33">
        <f>AF165/AI165</f>
        <v/>
      </c>
      <c r="AK165">
        <f>IF(AJ165&gt;'Parámetros Proyección'!$B$5,1,0)</f>
        <v/>
      </c>
      <c r="AL165" s="35">
        <f>G165+M165+S165+Y165+AE165</f>
        <v/>
      </c>
      <c r="AM165" s="35">
        <f>AM164+D165</f>
        <v/>
      </c>
      <c r="AN165" s="35">
        <f>AN164+AL165</f>
        <v/>
      </c>
      <c r="AO165" s="35">
        <f>J165+P165+V165+AB165+AH165</f>
        <v/>
      </c>
    </row>
    <row r="166">
      <c r="A166" t="n">
        <v>163</v>
      </c>
      <c r="B166" s="34">
        <f>EDATE(B165,1)</f>
        <v/>
      </c>
      <c r="C166">
        <f>YEAR(B166)</f>
        <v/>
      </c>
      <c r="D166" s="35">
        <f>'Parámetros Proyección'!$B$3*(1+'Parámetros Proyección'!$B$4)^(C166-YEAR('Parámetros Proyección'!$B$6))</f>
        <v/>
      </c>
      <c r="E166" s="35">
        <f>J165</f>
        <v/>
      </c>
      <c r="F166" s="35">
        <f>E166*(1+'Parámetros Proyección'!$E$11)</f>
        <v/>
      </c>
      <c r="G166" s="35">
        <f>F166*'Parámetros Proyección'!$F$11</f>
        <v/>
      </c>
      <c r="H166" s="35">
        <f>F166+G166</f>
        <v/>
      </c>
      <c r="I166" s="35">
        <f>IF((H166/AI166&gt;'Parámetros Proyección'!$G$11),0,D166*'Parámetros Proyección'!$G$11/(IF((H166/AI166&gt;'Parámetros Proyección'!$G$11),0,'Parámetros Proyección'!$G$11)+IF((N166/AI166&gt;'Parámetros Proyección'!$G$12),0,'Parámetros Proyección'!$G$12)+IF((T166/AI166&gt;'Parámetros Proyección'!$G$13),0,'Parámetros Proyección'!$G$13)+IF((Z166/AI166&gt;'Parámetros Proyección'!$G$14),0,'Parámetros Proyección'!$G$14)+IF((AF166/AI166&gt;'Parámetros Proyección'!$G$15),0,'Parámetros Proyección'!$G$15)))</f>
        <v/>
      </c>
      <c r="J166" s="35">
        <f>H166+I166</f>
        <v/>
      </c>
      <c r="K166" s="35">
        <f>P165</f>
        <v/>
      </c>
      <c r="L166" s="35">
        <f>K166*(1+'Parámetros Proyección'!$E$12)</f>
        <v/>
      </c>
      <c r="M166" s="35">
        <f>L166*'Parámetros Proyección'!$F$12</f>
        <v/>
      </c>
      <c r="N166" s="35">
        <f>L166+M166</f>
        <v/>
      </c>
      <c r="O166" s="35">
        <f>IF((N166/AI166&gt;'Parámetros Proyección'!$G$12),0,D166*'Parámetros Proyección'!$G$12/(IF((H166/AI166&gt;'Parámetros Proyección'!$G$11),0,'Parámetros Proyección'!$G$11)+IF((N166/AI166&gt;'Parámetros Proyección'!$G$12),0,'Parámetros Proyección'!$G$12)+IF((T166/AI166&gt;'Parámetros Proyección'!$G$13),0,'Parámetros Proyección'!$G$13)+IF((Z166/AI166&gt;'Parámetros Proyección'!$G$14),0,'Parámetros Proyección'!$G$14)+IF((AF166/AI166&gt;'Parámetros Proyección'!$G$15),0,'Parámetros Proyección'!$G$15)))</f>
        <v/>
      </c>
      <c r="P166" s="35">
        <f>N166+O166</f>
        <v/>
      </c>
      <c r="Q166" s="35">
        <f>V165</f>
        <v/>
      </c>
      <c r="R166" s="35">
        <f>Q166*(1+'Parámetros Proyección'!$E$13)</f>
        <v/>
      </c>
      <c r="S166" s="35">
        <f>R166*'Parámetros Proyección'!$F$13</f>
        <v/>
      </c>
      <c r="T166" s="35">
        <f>R166+S166</f>
        <v/>
      </c>
      <c r="U166" s="35">
        <f>IF((T166/AI166&gt;'Parámetros Proyección'!$G$13),0,D166*'Parámetros Proyección'!$G$13/(IF((H166/AI166&gt;'Parámetros Proyección'!$G$11),0,'Parámetros Proyección'!$G$11)+IF((N166/AI166&gt;'Parámetros Proyección'!$G$12),0,'Parámetros Proyección'!$G$12)+IF((T166/AI166&gt;'Parámetros Proyección'!$G$13),0,'Parámetros Proyección'!$G$13)+IF((Z166/AI166&gt;'Parámetros Proyección'!$G$14),0,'Parámetros Proyección'!$G$14)+IF((AF166/AI166&gt;'Parámetros Proyección'!$G$15),0,'Parámetros Proyección'!$G$15)))</f>
        <v/>
      </c>
      <c r="V166" s="35">
        <f>T166+U166</f>
        <v/>
      </c>
      <c r="W166" s="35">
        <f>AB165</f>
        <v/>
      </c>
      <c r="X166" s="35">
        <f>W166*(1+'Parámetros Proyección'!$E$14)</f>
        <v/>
      </c>
      <c r="Y166" s="35">
        <f>X166*'Parámetros Proyección'!$F$14</f>
        <v/>
      </c>
      <c r="Z166" s="35">
        <f>X166+Y166</f>
        <v/>
      </c>
      <c r="AA166" s="35">
        <f>IF((Z166/AI166&gt;'Parámetros Proyección'!$G$14),0,D166*'Parámetros Proyección'!$G$14/(IF((H166/AI166&gt;'Parámetros Proyección'!$G$11),0,'Parámetros Proyección'!$G$11)+IF((N166/AI166&gt;'Parámetros Proyección'!$G$12),0,'Parámetros Proyección'!$G$12)+IF((T166/AI166&gt;'Parámetros Proyección'!$G$13),0,'Parámetros Proyección'!$G$13)+IF((Z166/AI166&gt;'Parámetros Proyección'!$G$14),0,'Parámetros Proyección'!$G$14)+IF((AF166/AI166&gt;'Parámetros Proyección'!$G$15),0,'Parámetros Proyección'!$G$15)))</f>
        <v/>
      </c>
      <c r="AB166" s="35">
        <f>Z166+AA166</f>
        <v/>
      </c>
      <c r="AC166" s="35">
        <f>AH165</f>
        <v/>
      </c>
      <c r="AD166" s="35">
        <f>AC166*(1+'Parámetros Proyección'!$E$15)</f>
        <v/>
      </c>
      <c r="AE166" s="35">
        <f>AD166*'Parámetros Proyección'!$F$15</f>
        <v/>
      </c>
      <c r="AF166" s="35">
        <f>AD166+AE166</f>
        <v/>
      </c>
      <c r="AG166" s="35">
        <f>IF((AF166/AI166&gt;'Parámetros Proyección'!$G$15),0,D166*'Parámetros Proyección'!$G$15/(IF((H166/AI166&gt;'Parámetros Proyección'!$G$11),0,'Parámetros Proyección'!$G$11)+IF((N166/AI166&gt;'Parámetros Proyección'!$G$12),0,'Parámetros Proyección'!$G$12)+IF((T166/AI166&gt;'Parámetros Proyección'!$G$13),0,'Parámetros Proyección'!$G$13)+IF((Z166/AI166&gt;'Parámetros Proyección'!$G$14),0,'Parámetros Proyección'!$G$14)+IF((AF166/AI166&gt;'Parámetros Proyección'!$G$15),0,'Parámetros Proyección'!$G$15)))</f>
        <v/>
      </c>
      <c r="AH166" s="35">
        <f>AF166+AG166</f>
        <v/>
      </c>
      <c r="AI166" s="35">
        <f>H166+N166+T166+Z166+AF166</f>
        <v/>
      </c>
      <c r="AJ166" s="33">
        <f>AF166/AI166</f>
        <v/>
      </c>
      <c r="AK166">
        <f>IF(AJ166&gt;'Parámetros Proyección'!$B$5,1,0)</f>
        <v/>
      </c>
      <c r="AL166" s="35">
        <f>G166+M166+S166+Y166+AE166</f>
        <v/>
      </c>
      <c r="AM166" s="35">
        <f>AM165+D166</f>
        <v/>
      </c>
      <c r="AN166" s="35">
        <f>AN165+AL166</f>
        <v/>
      </c>
      <c r="AO166" s="35">
        <f>J166+P166+V166+AB166+AH166</f>
        <v/>
      </c>
    </row>
    <row r="167">
      <c r="A167" t="n">
        <v>164</v>
      </c>
      <c r="B167" s="34">
        <f>EDATE(B166,1)</f>
        <v/>
      </c>
      <c r="C167">
        <f>YEAR(B167)</f>
        <v/>
      </c>
      <c r="D167" s="35">
        <f>'Parámetros Proyección'!$B$3*(1+'Parámetros Proyección'!$B$4)^(C167-YEAR('Parámetros Proyección'!$B$6))</f>
        <v/>
      </c>
      <c r="E167" s="35">
        <f>J166</f>
        <v/>
      </c>
      <c r="F167" s="35">
        <f>E167*(1+'Parámetros Proyección'!$E$11)</f>
        <v/>
      </c>
      <c r="G167" s="35">
        <f>F167*'Parámetros Proyección'!$F$11</f>
        <v/>
      </c>
      <c r="H167" s="35">
        <f>F167+G167</f>
        <v/>
      </c>
      <c r="I167" s="35">
        <f>IF((H167/AI167&gt;'Parámetros Proyección'!$G$11),0,D167*'Parámetros Proyección'!$G$11/(IF((H167/AI167&gt;'Parámetros Proyección'!$G$11),0,'Parámetros Proyección'!$G$11)+IF((N167/AI167&gt;'Parámetros Proyección'!$G$12),0,'Parámetros Proyección'!$G$12)+IF((T167/AI167&gt;'Parámetros Proyección'!$G$13),0,'Parámetros Proyección'!$G$13)+IF((Z167/AI167&gt;'Parámetros Proyección'!$G$14),0,'Parámetros Proyección'!$G$14)+IF((AF167/AI167&gt;'Parámetros Proyección'!$G$15),0,'Parámetros Proyección'!$G$15)))</f>
        <v/>
      </c>
      <c r="J167" s="35">
        <f>H167+I167</f>
        <v/>
      </c>
      <c r="K167" s="35">
        <f>P166</f>
        <v/>
      </c>
      <c r="L167" s="35">
        <f>K167*(1+'Parámetros Proyección'!$E$12)</f>
        <v/>
      </c>
      <c r="M167" s="35">
        <f>L167*'Parámetros Proyección'!$F$12</f>
        <v/>
      </c>
      <c r="N167" s="35">
        <f>L167+M167</f>
        <v/>
      </c>
      <c r="O167" s="35">
        <f>IF((N167/AI167&gt;'Parámetros Proyección'!$G$12),0,D167*'Parámetros Proyección'!$G$12/(IF((H167/AI167&gt;'Parámetros Proyección'!$G$11),0,'Parámetros Proyección'!$G$11)+IF((N167/AI167&gt;'Parámetros Proyección'!$G$12),0,'Parámetros Proyección'!$G$12)+IF((T167/AI167&gt;'Parámetros Proyección'!$G$13),0,'Parámetros Proyección'!$G$13)+IF((Z167/AI167&gt;'Parámetros Proyección'!$G$14),0,'Parámetros Proyección'!$G$14)+IF((AF167/AI167&gt;'Parámetros Proyección'!$G$15),0,'Parámetros Proyección'!$G$15)))</f>
        <v/>
      </c>
      <c r="P167" s="35">
        <f>N167+O167</f>
        <v/>
      </c>
      <c r="Q167" s="35">
        <f>V166</f>
        <v/>
      </c>
      <c r="R167" s="35">
        <f>Q167*(1+'Parámetros Proyección'!$E$13)</f>
        <v/>
      </c>
      <c r="S167" s="35">
        <f>R167*'Parámetros Proyección'!$F$13</f>
        <v/>
      </c>
      <c r="T167" s="35">
        <f>R167+S167</f>
        <v/>
      </c>
      <c r="U167" s="35">
        <f>IF((T167/AI167&gt;'Parámetros Proyección'!$G$13),0,D167*'Parámetros Proyección'!$G$13/(IF((H167/AI167&gt;'Parámetros Proyección'!$G$11),0,'Parámetros Proyección'!$G$11)+IF((N167/AI167&gt;'Parámetros Proyección'!$G$12),0,'Parámetros Proyección'!$G$12)+IF((T167/AI167&gt;'Parámetros Proyección'!$G$13),0,'Parámetros Proyección'!$G$13)+IF((Z167/AI167&gt;'Parámetros Proyección'!$G$14),0,'Parámetros Proyección'!$G$14)+IF((AF167/AI167&gt;'Parámetros Proyección'!$G$15),0,'Parámetros Proyección'!$G$15)))</f>
        <v/>
      </c>
      <c r="V167" s="35">
        <f>T167+U167</f>
        <v/>
      </c>
      <c r="W167" s="35">
        <f>AB166</f>
        <v/>
      </c>
      <c r="X167" s="35">
        <f>W167*(1+'Parámetros Proyección'!$E$14)</f>
        <v/>
      </c>
      <c r="Y167" s="35">
        <f>X167*'Parámetros Proyección'!$F$14</f>
        <v/>
      </c>
      <c r="Z167" s="35">
        <f>X167+Y167</f>
        <v/>
      </c>
      <c r="AA167" s="35">
        <f>IF((Z167/AI167&gt;'Parámetros Proyección'!$G$14),0,D167*'Parámetros Proyección'!$G$14/(IF((H167/AI167&gt;'Parámetros Proyección'!$G$11),0,'Parámetros Proyección'!$G$11)+IF((N167/AI167&gt;'Parámetros Proyección'!$G$12),0,'Parámetros Proyección'!$G$12)+IF((T167/AI167&gt;'Parámetros Proyección'!$G$13),0,'Parámetros Proyección'!$G$13)+IF((Z167/AI167&gt;'Parámetros Proyección'!$G$14),0,'Parámetros Proyección'!$G$14)+IF((AF167/AI167&gt;'Parámetros Proyección'!$G$15),0,'Parámetros Proyección'!$G$15)))</f>
        <v/>
      </c>
      <c r="AB167" s="35">
        <f>Z167+AA167</f>
        <v/>
      </c>
      <c r="AC167" s="35">
        <f>AH166</f>
        <v/>
      </c>
      <c r="AD167" s="35">
        <f>AC167*(1+'Parámetros Proyección'!$E$15)</f>
        <v/>
      </c>
      <c r="AE167" s="35">
        <f>AD167*'Parámetros Proyección'!$F$15</f>
        <v/>
      </c>
      <c r="AF167" s="35">
        <f>AD167+AE167</f>
        <v/>
      </c>
      <c r="AG167" s="35">
        <f>IF((AF167/AI167&gt;'Parámetros Proyección'!$G$15),0,D167*'Parámetros Proyección'!$G$15/(IF((H167/AI167&gt;'Parámetros Proyección'!$G$11),0,'Parámetros Proyección'!$G$11)+IF((N167/AI167&gt;'Parámetros Proyección'!$G$12),0,'Parámetros Proyección'!$G$12)+IF((T167/AI167&gt;'Parámetros Proyección'!$G$13),0,'Parámetros Proyección'!$G$13)+IF((Z167/AI167&gt;'Parámetros Proyección'!$G$14),0,'Parámetros Proyección'!$G$14)+IF((AF167/AI167&gt;'Parámetros Proyección'!$G$15),0,'Parámetros Proyección'!$G$15)))</f>
        <v/>
      </c>
      <c r="AH167" s="35">
        <f>AF167+AG167</f>
        <v/>
      </c>
      <c r="AI167" s="35">
        <f>H167+N167+T167+Z167+AF167</f>
        <v/>
      </c>
      <c r="AJ167" s="33">
        <f>AF167/AI167</f>
        <v/>
      </c>
      <c r="AK167">
        <f>IF(AJ167&gt;'Parámetros Proyección'!$B$5,1,0)</f>
        <v/>
      </c>
      <c r="AL167" s="35">
        <f>G167+M167+S167+Y167+AE167</f>
        <v/>
      </c>
      <c r="AM167" s="35">
        <f>AM166+D167</f>
        <v/>
      </c>
      <c r="AN167" s="35">
        <f>AN166+AL167</f>
        <v/>
      </c>
      <c r="AO167" s="35">
        <f>J167+P167+V167+AB167+AH167</f>
        <v/>
      </c>
    </row>
    <row r="168">
      <c r="A168" t="n">
        <v>165</v>
      </c>
      <c r="B168" s="34">
        <f>EDATE(B167,1)</f>
        <v/>
      </c>
      <c r="C168">
        <f>YEAR(B168)</f>
        <v/>
      </c>
      <c r="D168" s="35">
        <f>'Parámetros Proyección'!$B$3*(1+'Parámetros Proyección'!$B$4)^(C168-YEAR('Parámetros Proyección'!$B$6))</f>
        <v/>
      </c>
      <c r="E168" s="35">
        <f>J167</f>
        <v/>
      </c>
      <c r="F168" s="35">
        <f>E168*(1+'Parámetros Proyección'!$E$11)</f>
        <v/>
      </c>
      <c r="G168" s="35">
        <f>F168*'Parámetros Proyección'!$F$11</f>
        <v/>
      </c>
      <c r="H168" s="35">
        <f>F168+G168</f>
        <v/>
      </c>
      <c r="I168" s="35">
        <f>IF((H168/AI168&gt;'Parámetros Proyección'!$G$11),0,D168*'Parámetros Proyección'!$G$11/(IF((H168/AI168&gt;'Parámetros Proyección'!$G$11),0,'Parámetros Proyección'!$G$11)+IF((N168/AI168&gt;'Parámetros Proyección'!$G$12),0,'Parámetros Proyección'!$G$12)+IF((T168/AI168&gt;'Parámetros Proyección'!$G$13),0,'Parámetros Proyección'!$G$13)+IF((Z168/AI168&gt;'Parámetros Proyección'!$G$14),0,'Parámetros Proyección'!$G$14)+IF((AF168/AI168&gt;'Parámetros Proyección'!$G$15),0,'Parámetros Proyección'!$G$15)))</f>
        <v/>
      </c>
      <c r="J168" s="35">
        <f>H168+I168</f>
        <v/>
      </c>
      <c r="K168" s="35">
        <f>P167</f>
        <v/>
      </c>
      <c r="L168" s="35">
        <f>K168*(1+'Parámetros Proyección'!$E$12)</f>
        <v/>
      </c>
      <c r="M168" s="35">
        <f>L168*'Parámetros Proyección'!$F$12</f>
        <v/>
      </c>
      <c r="N168" s="35">
        <f>L168+M168</f>
        <v/>
      </c>
      <c r="O168" s="35">
        <f>IF((N168/AI168&gt;'Parámetros Proyección'!$G$12),0,D168*'Parámetros Proyección'!$G$12/(IF((H168/AI168&gt;'Parámetros Proyección'!$G$11),0,'Parámetros Proyección'!$G$11)+IF((N168/AI168&gt;'Parámetros Proyección'!$G$12),0,'Parámetros Proyección'!$G$12)+IF((T168/AI168&gt;'Parámetros Proyección'!$G$13),0,'Parámetros Proyección'!$G$13)+IF((Z168/AI168&gt;'Parámetros Proyección'!$G$14),0,'Parámetros Proyección'!$G$14)+IF((AF168/AI168&gt;'Parámetros Proyección'!$G$15),0,'Parámetros Proyección'!$G$15)))</f>
        <v/>
      </c>
      <c r="P168" s="35">
        <f>N168+O168</f>
        <v/>
      </c>
      <c r="Q168" s="35">
        <f>V167</f>
        <v/>
      </c>
      <c r="R168" s="35">
        <f>Q168*(1+'Parámetros Proyección'!$E$13)</f>
        <v/>
      </c>
      <c r="S168" s="35">
        <f>R168*'Parámetros Proyección'!$F$13</f>
        <v/>
      </c>
      <c r="T168" s="35">
        <f>R168+S168</f>
        <v/>
      </c>
      <c r="U168" s="35">
        <f>IF((T168/AI168&gt;'Parámetros Proyección'!$G$13),0,D168*'Parámetros Proyección'!$G$13/(IF((H168/AI168&gt;'Parámetros Proyección'!$G$11),0,'Parámetros Proyección'!$G$11)+IF((N168/AI168&gt;'Parámetros Proyección'!$G$12),0,'Parámetros Proyección'!$G$12)+IF((T168/AI168&gt;'Parámetros Proyección'!$G$13),0,'Parámetros Proyección'!$G$13)+IF((Z168/AI168&gt;'Parámetros Proyección'!$G$14),0,'Parámetros Proyección'!$G$14)+IF((AF168/AI168&gt;'Parámetros Proyección'!$G$15),0,'Parámetros Proyección'!$G$15)))</f>
        <v/>
      </c>
      <c r="V168" s="35">
        <f>T168+U168</f>
        <v/>
      </c>
      <c r="W168" s="35">
        <f>AB167</f>
        <v/>
      </c>
      <c r="X168" s="35">
        <f>W168*(1+'Parámetros Proyección'!$E$14)</f>
        <v/>
      </c>
      <c r="Y168" s="35">
        <f>X168*'Parámetros Proyección'!$F$14</f>
        <v/>
      </c>
      <c r="Z168" s="35">
        <f>X168+Y168</f>
        <v/>
      </c>
      <c r="AA168" s="35">
        <f>IF((Z168/AI168&gt;'Parámetros Proyección'!$G$14),0,D168*'Parámetros Proyección'!$G$14/(IF((H168/AI168&gt;'Parámetros Proyección'!$G$11),0,'Parámetros Proyección'!$G$11)+IF((N168/AI168&gt;'Parámetros Proyección'!$G$12),0,'Parámetros Proyección'!$G$12)+IF((T168/AI168&gt;'Parámetros Proyección'!$G$13),0,'Parámetros Proyección'!$G$13)+IF((Z168/AI168&gt;'Parámetros Proyección'!$G$14),0,'Parámetros Proyección'!$G$14)+IF((AF168/AI168&gt;'Parámetros Proyección'!$G$15),0,'Parámetros Proyección'!$G$15)))</f>
        <v/>
      </c>
      <c r="AB168" s="35">
        <f>Z168+AA168</f>
        <v/>
      </c>
      <c r="AC168" s="35">
        <f>AH167</f>
        <v/>
      </c>
      <c r="AD168" s="35">
        <f>AC168*(1+'Parámetros Proyección'!$E$15)</f>
        <v/>
      </c>
      <c r="AE168" s="35">
        <f>AD168*'Parámetros Proyección'!$F$15</f>
        <v/>
      </c>
      <c r="AF168" s="35">
        <f>AD168+AE168</f>
        <v/>
      </c>
      <c r="AG168" s="35">
        <f>IF((AF168/AI168&gt;'Parámetros Proyección'!$G$15),0,D168*'Parámetros Proyección'!$G$15/(IF((H168/AI168&gt;'Parámetros Proyección'!$G$11),0,'Parámetros Proyección'!$G$11)+IF((N168/AI168&gt;'Parámetros Proyección'!$G$12),0,'Parámetros Proyección'!$G$12)+IF((T168/AI168&gt;'Parámetros Proyección'!$G$13),0,'Parámetros Proyección'!$G$13)+IF((Z168/AI168&gt;'Parámetros Proyección'!$G$14),0,'Parámetros Proyección'!$G$14)+IF((AF168/AI168&gt;'Parámetros Proyección'!$G$15),0,'Parámetros Proyección'!$G$15)))</f>
        <v/>
      </c>
      <c r="AH168" s="35">
        <f>AF168+AG168</f>
        <v/>
      </c>
      <c r="AI168" s="35">
        <f>H168+N168+T168+Z168+AF168</f>
        <v/>
      </c>
      <c r="AJ168" s="33">
        <f>AF168/AI168</f>
        <v/>
      </c>
      <c r="AK168">
        <f>IF(AJ168&gt;'Parámetros Proyección'!$B$5,1,0)</f>
        <v/>
      </c>
      <c r="AL168" s="35">
        <f>G168+M168+S168+Y168+AE168</f>
        <v/>
      </c>
      <c r="AM168" s="35">
        <f>AM167+D168</f>
        <v/>
      </c>
      <c r="AN168" s="35">
        <f>AN167+AL168</f>
        <v/>
      </c>
      <c r="AO168" s="35">
        <f>J168+P168+V168+AB168+AH168</f>
        <v/>
      </c>
    </row>
    <row r="169">
      <c r="A169" t="n">
        <v>166</v>
      </c>
      <c r="B169" s="34">
        <f>EDATE(B168,1)</f>
        <v/>
      </c>
      <c r="C169">
        <f>YEAR(B169)</f>
        <v/>
      </c>
      <c r="D169" s="35">
        <f>'Parámetros Proyección'!$B$3*(1+'Parámetros Proyección'!$B$4)^(C169-YEAR('Parámetros Proyección'!$B$6))</f>
        <v/>
      </c>
      <c r="E169" s="35">
        <f>J168</f>
        <v/>
      </c>
      <c r="F169" s="35">
        <f>E169*(1+'Parámetros Proyección'!$E$11)</f>
        <v/>
      </c>
      <c r="G169" s="35">
        <f>F169*'Parámetros Proyección'!$F$11</f>
        <v/>
      </c>
      <c r="H169" s="35">
        <f>F169+G169</f>
        <v/>
      </c>
      <c r="I169" s="35">
        <f>IF((H169/AI169&gt;'Parámetros Proyección'!$G$11),0,D169*'Parámetros Proyección'!$G$11/(IF((H169/AI169&gt;'Parámetros Proyección'!$G$11),0,'Parámetros Proyección'!$G$11)+IF((N169/AI169&gt;'Parámetros Proyección'!$G$12),0,'Parámetros Proyección'!$G$12)+IF((T169/AI169&gt;'Parámetros Proyección'!$G$13),0,'Parámetros Proyección'!$G$13)+IF((Z169/AI169&gt;'Parámetros Proyección'!$G$14),0,'Parámetros Proyección'!$G$14)+IF((AF169/AI169&gt;'Parámetros Proyección'!$G$15),0,'Parámetros Proyección'!$G$15)))</f>
        <v/>
      </c>
      <c r="J169" s="35">
        <f>H169+I169</f>
        <v/>
      </c>
      <c r="K169" s="35">
        <f>P168</f>
        <v/>
      </c>
      <c r="L169" s="35">
        <f>K169*(1+'Parámetros Proyección'!$E$12)</f>
        <v/>
      </c>
      <c r="M169" s="35">
        <f>L169*'Parámetros Proyección'!$F$12</f>
        <v/>
      </c>
      <c r="N169" s="35">
        <f>L169+M169</f>
        <v/>
      </c>
      <c r="O169" s="35">
        <f>IF((N169/AI169&gt;'Parámetros Proyección'!$G$12),0,D169*'Parámetros Proyección'!$G$12/(IF((H169/AI169&gt;'Parámetros Proyección'!$G$11),0,'Parámetros Proyección'!$G$11)+IF((N169/AI169&gt;'Parámetros Proyección'!$G$12),0,'Parámetros Proyección'!$G$12)+IF((T169/AI169&gt;'Parámetros Proyección'!$G$13),0,'Parámetros Proyección'!$G$13)+IF((Z169/AI169&gt;'Parámetros Proyección'!$G$14),0,'Parámetros Proyección'!$G$14)+IF((AF169/AI169&gt;'Parámetros Proyección'!$G$15),0,'Parámetros Proyección'!$G$15)))</f>
        <v/>
      </c>
      <c r="P169" s="35">
        <f>N169+O169</f>
        <v/>
      </c>
      <c r="Q169" s="35">
        <f>V168</f>
        <v/>
      </c>
      <c r="R169" s="35">
        <f>Q169*(1+'Parámetros Proyección'!$E$13)</f>
        <v/>
      </c>
      <c r="S169" s="35">
        <f>R169*'Parámetros Proyección'!$F$13</f>
        <v/>
      </c>
      <c r="T169" s="35">
        <f>R169+S169</f>
        <v/>
      </c>
      <c r="U169" s="35">
        <f>IF((T169/AI169&gt;'Parámetros Proyección'!$G$13),0,D169*'Parámetros Proyección'!$G$13/(IF((H169/AI169&gt;'Parámetros Proyección'!$G$11),0,'Parámetros Proyección'!$G$11)+IF((N169/AI169&gt;'Parámetros Proyección'!$G$12),0,'Parámetros Proyección'!$G$12)+IF((T169/AI169&gt;'Parámetros Proyección'!$G$13),0,'Parámetros Proyección'!$G$13)+IF((Z169/AI169&gt;'Parámetros Proyección'!$G$14),0,'Parámetros Proyección'!$G$14)+IF((AF169/AI169&gt;'Parámetros Proyección'!$G$15),0,'Parámetros Proyección'!$G$15)))</f>
        <v/>
      </c>
      <c r="V169" s="35">
        <f>T169+U169</f>
        <v/>
      </c>
      <c r="W169" s="35">
        <f>AB168</f>
        <v/>
      </c>
      <c r="X169" s="35">
        <f>W169*(1+'Parámetros Proyección'!$E$14)</f>
        <v/>
      </c>
      <c r="Y169" s="35">
        <f>X169*'Parámetros Proyección'!$F$14</f>
        <v/>
      </c>
      <c r="Z169" s="35">
        <f>X169+Y169</f>
        <v/>
      </c>
      <c r="AA169" s="35">
        <f>IF((Z169/AI169&gt;'Parámetros Proyección'!$G$14),0,D169*'Parámetros Proyección'!$G$14/(IF((H169/AI169&gt;'Parámetros Proyección'!$G$11),0,'Parámetros Proyección'!$G$11)+IF((N169/AI169&gt;'Parámetros Proyección'!$G$12),0,'Parámetros Proyección'!$G$12)+IF((T169/AI169&gt;'Parámetros Proyección'!$G$13),0,'Parámetros Proyección'!$G$13)+IF((Z169/AI169&gt;'Parámetros Proyección'!$G$14),0,'Parámetros Proyección'!$G$14)+IF((AF169/AI169&gt;'Parámetros Proyección'!$G$15),0,'Parámetros Proyección'!$G$15)))</f>
        <v/>
      </c>
      <c r="AB169" s="35">
        <f>Z169+AA169</f>
        <v/>
      </c>
      <c r="AC169" s="35">
        <f>AH168</f>
        <v/>
      </c>
      <c r="AD169" s="35">
        <f>AC169*(1+'Parámetros Proyección'!$E$15)</f>
        <v/>
      </c>
      <c r="AE169" s="35">
        <f>AD169*'Parámetros Proyección'!$F$15</f>
        <v/>
      </c>
      <c r="AF169" s="35">
        <f>AD169+AE169</f>
        <v/>
      </c>
      <c r="AG169" s="35">
        <f>IF((AF169/AI169&gt;'Parámetros Proyección'!$G$15),0,D169*'Parámetros Proyección'!$G$15/(IF((H169/AI169&gt;'Parámetros Proyección'!$G$11),0,'Parámetros Proyección'!$G$11)+IF((N169/AI169&gt;'Parámetros Proyección'!$G$12),0,'Parámetros Proyección'!$G$12)+IF((T169/AI169&gt;'Parámetros Proyección'!$G$13),0,'Parámetros Proyección'!$G$13)+IF((Z169/AI169&gt;'Parámetros Proyección'!$G$14),0,'Parámetros Proyección'!$G$14)+IF((AF169/AI169&gt;'Parámetros Proyección'!$G$15),0,'Parámetros Proyección'!$G$15)))</f>
        <v/>
      </c>
      <c r="AH169" s="35">
        <f>AF169+AG169</f>
        <v/>
      </c>
      <c r="AI169" s="35">
        <f>H169+N169+T169+Z169+AF169</f>
        <v/>
      </c>
      <c r="AJ169" s="33">
        <f>AF169/AI169</f>
        <v/>
      </c>
      <c r="AK169">
        <f>IF(AJ169&gt;'Parámetros Proyección'!$B$5,1,0)</f>
        <v/>
      </c>
      <c r="AL169" s="35">
        <f>G169+M169+S169+Y169+AE169</f>
        <v/>
      </c>
      <c r="AM169" s="35">
        <f>AM168+D169</f>
        <v/>
      </c>
      <c r="AN169" s="35">
        <f>AN168+AL169</f>
        <v/>
      </c>
      <c r="AO169" s="35">
        <f>J169+P169+V169+AB169+AH169</f>
        <v/>
      </c>
    </row>
    <row r="170">
      <c r="A170" t="n">
        <v>167</v>
      </c>
      <c r="B170" s="34">
        <f>EDATE(B169,1)</f>
        <v/>
      </c>
      <c r="C170">
        <f>YEAR(B170)</f>
        <v/>
      </c>
      <c r="D170" s="35">
        <f>'Parámetros Proyección'!$B$3*(1+'Parámetros Proyección'!$B$4)^(C170-YEAR('Parámetros Proyección'!$B$6))</f>
        <v/>
      </c>
      <c r="E170" s="35">
        <f>J169</f>
        <v/>
      </c>
      <c r="F170" s="35">
        <f>E170*(1+'Parámetros Proyección'!$E$11)</f>
        <v/>
      </c>
      <c r="G170" s="35">
        <f>F170*'Parámetros Proyección'!$F$11</f>
        <v/>
      </c>
      <c r="H170" s="35">
        <f>F170+G170</f>
        <v/>
      </c>
      <c r="I170" s="35">
        <f>IF((H170/AI170&gt;'Parámetros Proyección'!$G$11),0,D170*'Parámetros Proyección'!$G$11/(IF((H170/AI170&gt;'Parámetros Proyección'!$G$11),0,'Parámetros Proyección'!$G$11)+IF((N170/AI170&gt;'Parámetros Proyección'!$G$12),0,'Parámetros Proyección'!$G$12)+IF((T170/AI170&gt;'Parámetros Proyección'!$G$13),0,'Parámetros Proyección'!$G$13)+IF((Z170/AI170&gt;'Parámetros Proyección'!$G$14),0,'Parámetros Proyección'!$G$14)+IF((AF170/AI170&gt;'Parámetros Proyección'!$G$15),0,'Parámetros Proyección'!$G$15)))</f>
        <v/>
      </c>
      <c r="J170" s="35">
        <f>H170+I170</f>
        <v/>
      </c>
      <c r="K170" s="35">
        <f>P169</f>
        <v/>
      </c>
      <c r="L170" s="35">
        <f>K170*(1+'Parámetros Proyección'!$E$12)</f>
        <v/>
      </c>
      <c r="M170" s="35">
        <f>L170*'Parámetros Proyección'!$F$12</f>
        <v/>
      </c>
      <c r="N170" s="35">
        <f>L170+M170</f>
        <v/>
      </c>
      <c r="O170" s="35">
        <f>IF((N170/AI170&gt;'Parámetros Proyección'!$G$12),0,D170*'Parámetros Proyección'!$G$12/(IF((H170/AI170&gt;'Parámetros Proyección'!$G$11),0,'Parámetros Proyección'!$G$11)+IF((N170/AI170&gt;'Parámetros Proyección'!$G$12),0,'Parámetros Proyección'!$G$12)+IF((T170/AI170&gt;'Parámetros Proyección'!$G$13),0,'Parámetros Proyección'!$G$13)+IF((Z170/AI170&gt;'Parámetros Proyección'!$G$14),0,'Parámetros Proyección'!$G$14)+IF((AF170/AI170&gt;'Parámetros Proyección'!$G$15),0,'Parámetros Proyección'!$G$15)))</f>
        <v/>
      </c>
      <c r="P170" s="35">
        <f>N170+O170</f>
        <v/>
      </c>
      <c r="Q170" s="35">
        <f>V169</f>
        <v/>
      </c>
      <c r="R170" s="35">
        <f>Q170*(1+'Parámetros Proyección'!$E$13)</f>
        <v/>
      </c>
      <c r="S170" s="35">
        <f>R170*'Parámetros Proyección'!$F$13</f>
        <v/>
      </c>
      <c r="T170" s="35">
        <f>R170+S170</f>
        <v/>
      </c>
      <c r="U170" s="35">
        <f>IF((T170/AI170&gt;'Parámetros Proyección'!$G$13),0,D170*'Parámetros Proyección'!$G$13/(IF((H170/AI170&gt;'Parámetros Proyección'!$G$11),0,'Parámetros Proyección'!$G$11)+IF((N170/AI170&gt;'Parámetros Proyección'!$G$12),0,'Parámetros Proyección'!$G$12)+IF((T170/AI170&gt;'Parámetros Proyección'!$G$13),0,'Parámetros Proyección'!$G$13)+IF((Z170/AI170&gt;'Parámetros Proyección'!$G$14),0,'Parámetros Proyección'!$G$14)+IF((AF170/AI170&gt;'Parámetros Proyección'!$G$15),0,'Parámetros Proyección'!$G$15)))</f>
        <v/>
      </c>
      <c r="V170" s="35">
        <f>T170+U170</f>
        <v/>
      </c>
      <c r="W170" s="35">
        <f>AB169</f>
        <v/>
      </c>
      <c r="X170" s="35">
        <f>W170*(1+'Parámetros Proyección'!$E$14)</f>
        <v/>
      </c>
      <c r="Y170" s="35">
        <f>X170*'Parámetros Proyección'!$F$14</f>
        <v/>
      </c>
      <c r="Z170" s="35">
        <f>X170+Y170</f>
        <v/>
      </c>
      <c r="AA170" s="35">
        <f>IF((Z170/AI170&gt;'Parámetros Proyección'!$G$14),0,D170*'Parámetros Proyección'!$G$14/(IF((H170/AI170&gt;'Parámetros Proyección'!$G$11),0,'Parámetros Proyección'!$G$11)+IF((N170/AI170&gt;'Parámetros Proyección'!$G$12),0,'Parámetros Proyección'!$G$12)+IF((T170/AI170&gt;'Parámetros Proyección'!$G$13),0,'Parámetros Proyección'!$G$13)+IF((Z170/AI170&gt;'Parámetros Proyección'!$G$14),0,'Parámetros Proyección'!$G$14)+IF((AF170/AI170&gt;'Parámetros Proyección'!$G$15),0,'Parámetros Proyección'!$G$15)))</f>
        <v/>
      </c>
      <c r="AB170" s="35">
        <f>Z170+AA170</f>
        <v/>
      </c>
      <c r="AC170" s="35">
        <f>AH169</f>
        <v/>
      </c>
      <c r="AD170" s="35">
        <f>AC170*(1+'Parámetros Proyección'!$E$15)</f>
        <v/>
      </c>
      <c r="AE170" s="35">
        <f>AD170*'Parámetros Proyección'!$F$15</f>
        <v/>
      </c>
      <c r="AF170" s="35">
        <f>AD170+AE170</f>
        <v/>
      </c>
      <c r="AG170" s="35">
        <f>IF((AF170/AI170&gt;'Parámetros Proyección'!$G$15),0,D170*'Parámetros Proyección'!$G$15/(IF((H170/AI170&gt;'Parámetros Proyección'!$G$11),0,'Parámetros Proyección'!$G$11)+IF((N170/AI170&gt;'Parámetros Proyección'!$G$12),0,'Parámetros Proyección'!$G$12)+IF((T170/AI170&gt;'Parámetros Proyección'!$G$13),0,'Parámetros Proyección'!$G$13)+IF((Z170/AI170&gt;'Parámetros Proyección'!$G$14),0,'Parámetros Proyección'!$G$14)+IF((AF170/AI170&gt;'Parámetros Proyección'!$G$15),0,'Parámetros Proyección'!$G$15)))</f>
        <v/>
      </c>
      <c r="AH170" s="35">
        <f>AF170+AG170</f>
        <v/>
      </c>
      <c r="AI170" s="35">
        <f>H170+N170+T170+Z170+AF170</f>
        <v/>
      </c>
      <c r="AJ170" s="33">
        <f>AF170/AI170</f>
        <v/>
      </c>
      <c r="AK170">
        <f>IF(AJ170&gt;'Parámetros Proyección'!$B$5,1,0)</f>
        <v/>
      </c>
      <c r="AL170" s="35">
        <f>G170+M170+S170+Y170+AE170</f>
        <v/>
      </c>
      <c r="AM170" s="35">
        <f>AM169+D170</f>
        <v/>
      </c>
      <c r="AN170" s="35">
        <f>AN169+AL170</f>
        <v/>
      </c>
      <c r="AO170" s="35">
        <f>J170+P170+V170+AB170+AH170</f>
        <v/>
      </c>
    </row>
    <row r="171">
      <c r="A171" t="n">
        <v>168</v>
      </c>
      <c r="B171" s="34">
        <f>EDATE(B170,1)</f>
        <v/>
      </c>
      <c r="C171">
        <f>YEAR(B171)</f>
        <v/>
      </c>
      <c r="D171" s="35">
        <f>'Parámetros Proyección'!$B$3*(1+'Parámetros Proyección'!$B$4)^(C171-YEAR('Parámetros Proyección'!$B$6))</f>
        <v/>
      </c>
      <c r="E171" s="35">
        <f>J170</f>
        <v/>
      </c>
      <c r="F171" s="35">
        <f>E171*(1+'Parámetros Proyección'!$E$11)</f>
        <v/>
      </c>
      <c r="G171" s="35">
        <f>F171*'Parámetros Proyección'!$F$11</f>
        <v/>
      </c>
      <c r="H171" s="35">
        <f>F171+G171</f>
        <v/>
      </c>
      <c r="I171" s="35">
        <f>IF((H171/AI171&gt;'Parámetros Proyección'!$G$11),0,D171*'Parámetros Proyección'!$G$11/(IF((H171/AI171&gt;'Parámetros Proyección'!$G$11),0,'Parámetros Proyección'!$G$11)+IF((N171/AI171&gt;'Parámetros Proyección'!$G$12),0,'Parámetros Proyección'!$G$12)+IF((T171/AI171&gt;'Parámetros Proyección'!$G$13),0,'Parámetros Proyección'!$G$13)+IF((Z171/AI171&gt;'Parámetros Proyección'!$G$14),0,'Parámetros Proyección'!$G$14)+IF((AF171/AI171&gt;'Parámetros Proyección'!$G$15),0,'Parámetros Proyección'!$G$15)))</f>
        <v/>
      </c>
      <c r="J171" s="35">
        <f>H171+I171</f>
        <v/>
      </c>
      <c r="K171" s="35">
        <f>P170</f>
        <v/>
      </c>
      <c r="L171" s="35">
        <f>K171*(1+'Parámetros Proyección'!$E$12)</f>
        <v/>
      </c>
      <c r="M171" s="35">
        <f>L171*'Parámetros Proyección'!$F$12</f>
        <v/>
      </c>
      <c r="N171" s="35">
        <f>L171+M171</f>
        <v/>
      </c>
      <c r="O171" s="35">
        <f>IF((N171/AI171&gt;'Parámetros Proyección'!$G$12),0,D171*'Parámetros Proyección'!$G$12/(IF((H171/AI171&gt;'Parámetros Proyección'!$G$11),0,'Parámetros Proyección'!$G$11)+IF((N171/AI171&gt;'Parámetros Proyección'!$G$12),0,'Parámetros Proyección'!$G$12)+IF((T171/AI171&gt;'Parámetros Proyección'!$G$13),0,'Parámetros Proyección'!$G$13)+IF((Z171/AI171&gt;'Parámetros Proyección'!$G$14),0,'Parámetros Proyección'!$G$14)+IF((AF171/AI171&gt;'Parámetros Proyección'!$G$15),0,'Parámetros Proyección'!$G$15)))</f>
        <v/>
      </c>
      <c r="P171" s="35">
        <f>N171+O171</f>
        <v/>
      </c>
      <c r="Q171" s="35">
        <f>V170</f>
        <v/>
      </c>
      <c r="R171" s="35">
        <f>Q171*(1+'Parámetros Proyección'!$E$13)</f>
        <v/>
      </c>
      <c r="S171" s="35">
        <f>R171*'Parámetros Proyección'!$F$13</f>
        <v/>
      </c>
      <c r="T171" s="35">
        <f>R171+S171</f>
        <v/>
      </c>
      <c r="U171" s="35">
        <f>IF((T171/AI171&gt;'Parámetros Proyección'!$G$13),0,D171*'Parámetros Proyección'!$G$13/(IF((H171/AI171&gt;'Parámetros Proyección'!$G$11),0,'Parámetros Proyección'!$G$11)+IF((N171/AI171&gt;'Parámetros Proyección'!$G$12),0,'Parámetros Proyección'!$G$12)+IF((T171/AI171&gt;'Parámetros Proyección'!$G$13),0,'Parámetros Proyección'!$G$13)+IF((Z171/AI171&gt;'Parámetros Proyección'!$G$14),0,'Parámetros Proyección'!$G$14)+IF((AF171/AI171&gt;'Parámetros Proyección'!$G$15),0,'Parámetros Proyección'!$G$15)))</f>
        <v/>
      </c>
      <c r="V171" s="35">
        <f>T171+U171</f>
        <v/>
      </c>
      <c r="W171" s="35">
        <f>AB170</f>
        <v/>
      </c>
      <c r="X171" s="35">
        <f>W171*(1+'Parámetros Proyección'!$E$14)</f>
        <v/>
      </c>
      <c r="Y171" s="35">
        <f>X171*'Parámetros Proyección'!$F$14</f>
        <v/>
      </c>
      <c r="Z171" s="35">
        <f>X171+Y171</f>
        <v/>
      </c>
      <c r="AA171" s="35">
        <f>IF((Z171/AI171&gt;'Parámetros Proyección'!$G$14),0,D171*'Parámetros Proyección'!$G$14/(IF((H171/AI171&gt;'Parámetros Proyección'!$G$11),0,'Parámetros Proyección'!$G$11)+IF((N171/AI171&gt;'Parámetros Proyección'!$G$12),0,'Parámetros Proyección'!$G$12)+IF((T171/AI171&gt;'Parámetros Proyección'!$G$13),0,'Parámetros Proyección'!$G$13)+IF((Z171/AI171&gt;'Parámetros Proyección'!$G$14),0,'Parámetros Proyección'!$G$14)+IF((AF171/AI171&gt;'Parámetros Proyección'!$G$15),0,'Parámetros Proyección'!$G$15)))</f>
        <v/>
      </c>
      <c r="AB171" s="35">
        <f>Z171+AA171</f>
        <v/>
      </c>
      <c r="AC171" s="35">
        <f>AH170</f>
        <v/>
      </c>
      <c r="AD171" s="35">
        <f>AC171*(1+'Parámetros Proyección'!$E$15)</f>
        <v/>
      </c>
      <c r="AE171" s="35">
        <f>AD171*'Parámetros Proyección'!$F$15</f>
        <v/>
      </c>
      <c r="AF171" s="35">
        <f>AD171+AE171</f>
        <v/>
      </c>
      <c r="AG171" s="35">
        <f>IF((AF171/AI171&gt;'Parámetros Proyección'!$G$15),0,D171*'Parámetros Proyección'!$G$15/(IF((H171/AI171&gt;'Parámetros Proyección'!$G$11),0,'Parámetros Proyección'!$G$11)+IF((N171/AI171&gt;'Parámetros Proyección'!$G$12),0,'Parámetros Proyección'!$G$12)+IF((T171/AI171&gt;'Parámetros Proyección'!$G$13),0,'Parámetros Proyección'!$G$13)+IF((Z171/AI171&gt;'Parámetros Proyección'!$G$14),0,'Parámetros Proyección'!$G$14)+IF((AF171/AI171&gt;'Parámetros Proyección'!$G$15),0,'Parámetros Proyección'!$G$15)))</f>
        <v/>
      </c>
      <c r="AH171" s="35">
        <f>AF171+AG171</f>
        <v/>
      </c>
      <c r="AI171" s="35">
        <f>H171+N171+T171+Z171+AF171</f>
        <v/>
      </c>
      <c r="AJ171" s="33">
        <f>AF171/AI171</f>
        <v/>
      </c>
      <c r="AK171">
        <f>IF(AJ171&gt;'Parámetros Proyección'!$B$5,1,0)</f>
        <v/>
      </c>
      <c r="AL171" s="35">
        <f>G171+M171+S171+Y171+AE171</f>
        <v/>
      </c>
      <c r="AM171" s="35">
        <f>AM170+D171</f>
        <v/>
      </c>
      <c r="AN171" s="35">
        <f>AN170+AL171</f>
        <v/>
      </c>
      <c r="AO171" s="35">
        <f>J171+P171+V171+AB171+AH171</f>
        <v/>
      </c>
    </row>
    <row r="172">
      <c r="A172" t="n">
        <v>169</v>
      </c>
      <c r="B172" s="34">
        <f>EDATE(B171,1)</f>
        <v/>
      </c>
      <c r="C172">
        <f>YEAR(B172)</f>
        <v/>
      </c>
      <c r="D172" s="35">
        <f>'Parámetros Proyección'!$B$3*(1+'Parámetros Proyección'!$B$4)^(C172-YEAR('Parámetros Proyección'!$B$6))</f>
        <v/>
      </c>
      <c r="E172" s="35">
        <f>J171</f>
        <v/>
      </c>
      <c r="F172" s="35">
        <f>E172*(1+'Parámetros Proyección'!$E$11)</f>
        <v/>
      </c>
      <c r="G172" s="35">
        <f>F172*'Parámetros Proyección'!$F$11</f>
        <v/>
      </c>
      <c r="H172" s="35">
        <f>F172+G172</f>
        <v/>
      </c>
      <c r="I172" s="35">
        <f>IF((H172/AI172&gt;'Parámetros Proyección'!$G$11),0,D172*'Parámetros Proyección'!$G$11/(IF((H172/AI172&gt;'Parámetros Proyección'!$G$11),0,'Parámetros Proyección'!$G$11)+IF((N172/AI172&gt;'Parámetros Proyección'!$G$12),0,'Parámetros Proyección'!$G$12)+IF((T172/AI172&gt;'Parámetros Proyección'!$G$13),0,'Parámetros Proyección'!$G$13)+IF((Z172/AI172&gt;'Parámetros Proyección'!$G$14),0,'Parámetros Proyección'!$G$14)+IF((AF172/AI172&gt;'Parámetros Proyección'!$G$15),0,'Parámetros Proyección'!$G$15)))</f>
        <v/>
      </c>
      <c r="J172" s="35">
        <f>H172+I172</f>
        <v/>
      </c>
      <c r="K172" s="35">
        <f>P171</f>
        <v/>
      </c>
      <c r="L172" s="35">
        <f>K172*(1+'Parámetros Proyección'!$E$12)</f>
        <v/>
      </c>
      <c r="M172" s="35">
        <f>L172*'Parámetros Proyección'!$F$12</f>
        <v/>
      </c>
      <c r="N172" s="35">
        <f>L172+M172</f>
        <v/>
      </c>
      <c r="O172" s="35">
        <f>IF((N172/AI172&gt;'Parámetros Proyección'!$G$12),0,D172*'Parámetros Proyección'!$G$12/(IF((H172/AI172&gt;'Parámetros Proyección'!$G$11),0,'Parámetros Proyección'!$G$11)+IF((N172/AI172&gt;'Parámetros Proyección'!$G$12),0,'Parámetros Proyección'!$G$12)+IF((T172/AI172&gt;'Parámetros Proyección'!$G$13),0,'Parámetros Proyección'!$G$13)+IF((Z172/AI172&gt;'Parámetros Proyección'!$G$14),0,'Parámetros Proyección'!$G$14)+IF((AF172/AI172&gt;'Parámetros Proyección'!$G$15),0,'Parámetros Proyección'!$G$15)))</f>
        <v/>
      </c>
      <c r="P172" s="35">
        <f>N172+O172</f>
        <v/>
      </c>
      <c r="Q172" s="35">
        <f>V171</f>
        <v/>
      </c>
      <c r="R172" s="35">
        <f>Q172*(1+'Parámetros Proyección'!$E$13)</f>
        <v/>
      </c>
      <c r="S172" s="35">
        <f>R172*'Parámetros Proyección'!$F$13</f>
        <v/>
      </c>
      <c r="T172" s="35">
        <f>R172+S172</f>
        <v/>
      </c>
      <c r="U172" s="35">
        <f>IF((T172/AI172&gt;'Parámetros Proyección'!$G$13),0,D172*'Parámetros Proyección'!$G$13/(IF((H172/AI172&gt;'Parámetros Proyección'!$G$11),0,'Parámetros Proyección'!$G$11)+IF((N172/AI172&gt;'Parámetros Proyección'!$G$12),0,'Parámetros Proyección'!$G$12)+IF((T172/AI172&gt;'Parámetros Proyección'!$G$13),0,'Parámetros Proyección'!$G$13)+IF((Z172/AI172&gt;'Parámetros Proyección'!$G$14),0,'Parámetros Proyección'!$G$14)+IF((AF172/AI172&gt;'Parámetros Proyección'!$G$15),0,'Parámetros Proyección'!$G$15)))</f>
        <v/>
      </c>
      <c r="V172" s="35">
        <f>T172+U172</f>
        <v/>
      </c>
      <c r="W172" s="35">
        <f>AB171</f>
        <v/>
      </c>
      <c r="X172" s="35">
        <f>W172*(1+'Parámetros Proyección'!$E$14)</f>
        <v/>
      </c>
      <c r="Y172" s="35">
        <f>X172*'Parámetros Proyección'!$F$14</f>
        <v/>
      </c>
      <c r="Z172" s="35">
        <f>X172+Y172</f>
        <v/>
      </c>
      <c r="AA172" s="35">
        <f>IF((Z172/AI172&gt;'Parámetros Proyección'!$G$14),0,D172*'Parámetros Proyección'!$G$14/(IF((H172/AI172&gt;'Parámetros Proyección'!$G$11),0,'Parámetros Proyección'!$G$11)+IF((N172/AI172&gt;'Parámetros Proyección'!$G$12),0,'Parámetros Proyección'!$G$12)+IF((T172/AI172&gt;'Parámetros Proyección'!$G$13),0,'Parámetros Proyección'!$G$13)+IF((Z172/AI172&gt;'Parámetros Proyección'!$G$14),0,'Parámetros Proyección'!$G$14)+IF((AF172/AI172&gt;'Parámetros Proyección'!$G$15),0,'Parámetros Proyección'!$G$15)))</f>
        <v/>
      </c>
      <c r="AB172" s="35">
        <f>Z172+AA172</f>
        <v/>
      </c>
      <c r="AC172" s="35">
        <f>AH171</f>
        <v/>
      </c>
      <c r="AD172" s="35">
        <f>AC172*(1+'Parámetros Proyección'!$E$15)</f>
        <v/>
      </c>
      <c r="AE172" s="35">
        <f>AD172*'Parámetros Proyección'!$F$15</f>
        <v/>
      </c>
      <c r="AF172" s="35">
        <f>AD172+AE172</f>
        <v/>
      </c>
      <c r="AG172" s="35">
        <f>IF((AF172/AI172&gt;'Parámetros Proyección'!$G$15),0,D172*'Parámetros Proyección'!$G$15/(IF((H172/AI172&gt;'Parámetros Proyección'!$G$11),0,'Parámetros Proyección'!$G$11)+IF((N172/AI172&gt;'Parámetros Proyección'!$G$12),0,'Parámetros Proyección'!$G$12)+IF((T172/AI172&gt;'Parámetros Proyección'!$G$13),0,'Parámetros Proyección'!$G$13)+IF((Z172/AI172&gt;'Parámetros Proyección'!$G$14),0,'Parámetros Proyección'!$G$14)+IF((AF172/AI172&gt;'Parámetros Proyección'!$G$15),0,'Parámetros Proyección'!$G$15)))</f>
        <v/>
      </c>
      <c r="AH172" s="35">
        <f>AF172+AG172</f>
        <v/>
      </c>
      <c r="AI172" s="35">
        <f>H172+N172+T172+Z172+AF172</f>
        <v/>
      </c>
      <c r="AJ172" s="33">
        <f>AF172/AI172</f>
        <v/>
      </c>
      <c r="AK172">
        <f>IF(AJ172&gt;'Parámetros Proyección'!$B$5,1,0)</f>
        <v/>
      </c>
      <c r="AL172" s="35">
        <f>G172+M172+S172+Y172+AE172</f>
        <v/>
      </c>
      <c r="AM172" s="35">
        <f>AM171+D172</f>
        <v/>
      </c>
      <c r="AN172" s="35">
        <f>AN171+AL172</f>
        <v/>
      </c>
      <c r="AO172" s="35">
        <f>J172+P172+V172+AB172+AH172</f>
        <v/>
      </c>
    </row>
    <row r="173">
      <c r="A173" t="n">
        <v>170</v>
      </c>
      <c r="B173" s="34">
        <f>EDATE(B172,1)</f>
        <v/>
      </c>
      <c r="C173">
        <f>YEAR(B173)</f>
        <v/>
      </c>
      <c r="D173" s="35">
        <f>'Parámetros Proyección'!$B$3*(1+'Parámetros Proyección'!$B$4)^(C173-YEAR('Parámetros Proyección'!$B$6))</f>
        <v/>
      </c>
      <c r="E173" s="35">
        <f>J172</f>
        <v/>
      </c>
      <c r="F173" s="35">
        <f>E173*(1+'Parámetros Proyección'!$E$11)</f>
        <v/>
      </c>
      <c r="G173" s="35">
        <f>F173*'Parámetros Proyección'!$F$11</f>
        <v/>
      </c>
      <c r="H173" s="35">
        <f>F173+G173</f>
        <v/>
      </c>
      <c r="I173" s="35">
        <f>IF((H173/AI173&gt;'Parámetros Proyección'!$G$11),0,D173*'Parámetros Proyección'!$G$11/(IF((H173/AI173&gt;'Parámetros Proyección'!$G$11),0,'Parámetros Proyección'!$G$11)+IF((N173/AI173&gt;'Parámetros Proyección'!$G$12),0,'Parámetros Proyección'!$G$12)+IF((T173/AI173&gt;'Parámetros Proyección'!$G$13),0,'Parámetros Proyección'!$G$13)+IF((Z173/AI173&gt;'Parámetros Proyección'!$G$14),0,'Parámetros Proyección'!$G$14)+IF((AF173/AI173&gt;'Parámetros Proyección'!$G$15),0,'Parámetros Proyección'!$G$15)))</f>
        <v/>
      </c>
      <c r="J173" s="35">
        <f>H173+I173</f>
        <v/>
      </c>
      <c r="K173" s="35">
        <f>P172</f>
        <v/>
      </c>
      <c r="L173" s="35">
        <f>K173*(1+'Parámetros Proyección'!$E$12)</f>
        <v/>
      </c>
      <c r="M173" s="35">
        <f>L173*'Parámetros Proyección'!$F$12</f>
        <v/>
      </c>
      <c r="N173" s="35">
        <f>L173+M173</f>
        <v/>
      </c>
      <c r="O173" s="35">
        <f>IF((N173/AI173&gt;'Parámetros Proyección'!$G$12),0,D173*'Parámetros Proyección'!$G$12/(IF((H173/AI173&gt;'Parámetros Proyección'!$G$11),0,'Parámetros Proyección'!$G$11)+IF((N173/AI173&gt;'Parámetros Proyección'!$G$12),0,'Parámetros Proyección'!$G$12)+IF((T173/AI173&gt;'Parámetros Proyección'!$G$13),0,'Parámetros Proyección'!$G$13)+IF((Z173/AI173&gt;'Parámetros Proyección'!$G$14),0,'Parámetros Proyección'!$G$14)+IF((AF173/AI173&gt;'Parámetros Proyección'!$G$15),0,'Parámetros Proyección'!$G$15)))</f>
        <v/>
      </c>
      <c r="P173" s="35">
        <f>N173+O173</f>
        <v/>
      </c>
      <c r="Q173" s="35">
        <f>V172</f>
        <v/>
      </c>
      <c r="R173" s="35">
        <f>Q173*(1+'Parámetros Proyección'!$E$13)</f>
        <v/>
      </c>
      <c r="S173" s="35">
        <f>R173*'Parámetros Proyección'!$F$13</f>
        <v/>
      </c>
      <c r="T173" s="35">
        <f>R173+S173</f>
        <v/>
      </c>
      <c r="U173" s="35">
        <f>IF((T173/AI173&gt;'Parámetros Proyección'!$G$13),0,D173*'Parámetros Proyección'!$G$13/(IF((H173/AI173&gt;'Parámetros Proyección'!$G$11),0,'Parámetros Proyección'!$G$11)+IF((N173/AI173&gt;'Parámetros Proyección'!$G$12),0,'Parámetros Proyección'!$G$12)+IF((T173/AI173&gt;'Parámetros Proyección'!$G$13),0,'Parámetros Proyección'!$G$13)+IF((Z173/AI173&gt;'Parámetros Proyección'!$G$14),0,'Parámetros Proyección'!$G$14)+IF((AF173/AI173&gt;'Parámetros Proyección'!$G$15),0,'Parámetros Proyección'!$G$15)))</f>
        <v/>
      </c>
      <c r="V173" s="35">
        <f>T173+U173</f>
        <v/>
      </c>
      <c r="W173" s="35">
        <f>AB172</f>
        <v/>
      </c>
      <c r="X173" s="35">
        <f>W173*(1+'Parámetros Proyección'!$E$14)</f>
        <v/>
      </c>
      <c r="Y173" s="35">
        <f>X173*'Parámetros Proyección'!$F$14</f>
        <v/>
      </c>
      <c r="Z173" s="35">
        <f>X173+Y173</f>
        <v/>
      </c>
      <c r="AA173" s="35">
        <f>IF((Z173/AI173&gt;'Parámetros Proyección'!$G$14),0,D173*'Parámetros Proyección'!$G$14/(IF((H173/AI173&gt;'Parámetros Proyección'!$G$11),0,'Parámetros Proyección'!$G$11)+IF((N173/AI173&gt;'Parámetros Proyección'!$G$12),0,'Parámetros Proyección'!$G$12)+IF((T173/AI173&gt;'Parámetros Proyección'!$G$13),0,'Parámetros Proyección'!$G$13)+IF((Z173/AI173&gt;'Parámetros Proyección'!$G$14),0,'Parámetros Proyección'!$G$14)+IF((AF173/AI173&gt;'Parámetros Proyección'!$G$15),0,'Parámetros Proyección'!$G$15)))</f>
        <v/>
      </c>
      <c r="AB173" s="35">
        <f>Z173+AA173</f>
        <v/>
      </c>
      <c r="AC173" s="35">
        <f>AH172</f>
        <v/>
      </c>
      <c r="AD173" s="35">
        <f>AC173*(1+'Parámetros Proyección'!$E$15)</f>
        <v/>
      </c>
      <c r="AE173" s="35">
        <f>AD173*'Parámetros Proyección'!$F$15</f>
        <v/>
      </c>
      <c r="AF173" s="35">
        <f>AD173+AE173</f>
        <v/>
      </c>
      <c r="AG173" s="35">
        <f>IF((AF173/AI173&gt;'Parámetros Proyección'!$G$15),0,D173*'Parámetros Proyección'!$G$15/(IF((H173/AI173&gt;'Parámetros Proyección'!$G$11),0,'Parámetros Proyección'!$G$11)+IF((N173/AI173&gt;'Parámetros Proyección'!$G$12),0,'Parámetros Proyección'!$G$12)+IF((T173/AI173&gt;'Parámetros Proyección'!$G$13),0,'Parámetros Proyección'!$G$13)+IF((Z173/AI173&gt;'Parámetros Proyección'!$G$14),0,'Parámetros Proyección'!$G$14)+IF((AF173/AI173&gt;'Parámetros Proyección'!$G$15),0,'Parámetros Proyección'!$G$15)))</f>
        <v/>
      </c>
      <c r="AH173" s="35">
        <f>AF173+AG173</f>
        <v/>
      </c>
      <c r="AI173" s="35">
        <f>H173+N173+T173+Z173+AF173</f>
        <v/>
      </c>
      <c r="AJ173" s="33">
        <f>AF173/AI173</f>
        <v/>
      </c>
      <c r="AK173">
        <f>IF(AJ173&gt;'Parámetros Proyección'!$B$5,1,0)</f>
        <v/>
      </c>
      <c r="AL173" s="35">
        <f>G173+M173+S173+Y173+AE173</f>
        <v/>
      </c>
      <c r="AM173" s="35">
        <f>AM172+D173</f>
        <v/>
      </c>
      <c r="AN173" s="35">
        <f>AN172+AL173</f>
        <v/>
      </c>
      <c r="AO173" s="35">
        <f>J173+P173+V173+AB173+AH173</f>
        <v/>
      </c>
    </row>
    <row r="174">
      <c r="A174" t="n">
        <v>171</v>
      </c>
      <c r="B174" s="34">
        <f>EDATE(B173,1)</f>
        <v/>
      </c>
      <c r="C174">
        <f>YEAR(B174)</f>
        <v/>
      </c>
      <c r="D174" s="35">
        <f>'Parámetros Proyección'!$B$3*(1+'Parámetros Proyección'!$B$4)^(C174-YEAR('Parámetros Proyección'!$B$6))</f>
        <v/>
      </c>
      <c r="E174" s="35">
        <f>J173</f>
        <v/>
      </c>
      <c r="F174" s="35">
        <f>E174*(1+'Parámetros Proyección'!$E$11)</f>
        <v/>
      </c>
      <c r="G174" s="35">
        <f>F174*'Parámetros Proyección'!$F$11</f>
        <v/>
      </c>
      <c r="H174" s="35">
        <f>F174+G174</f>
        <v/>
      </c>
      <c r="I174" s="35">
        <f>IF((H174/AI174&gt;'Parámetros Proyección'!$G$11),0,D174*'Parámetros Proyección'!$G$11/(IF((H174/AI174&gt;'Parámetros Proyección'!$G$11),0,'Parámetros Proyección'!$G$11)+IF((N174/AI174&gt;'Parámetros Proyección'!$G$12),0,'Parámetros Proyección'!$G$12)+IF((T174/AI174&gt;'Parámetros Proyección'!$G$13),0,'Parámetros Proyección'!$G$13)+IF((Z174/AI174&gt;'Parámetros Proyección'!$G$14),0,'Parámetros Proyección'!$G$14)+IF((AF174/AI174&gt;'Parámetros Proyección'!$G$15),0,'Parámetros Proyección'!$G$15)))</f>
        <v/>
      </c>
      <c r="J174" s="35">
        <f>H174+I174</f>
        <v/>
      </c>
      <c r="K174" s="35">
        <f>P173</f>
        <v/>
      </c>
      <c r="L174" s="35">
        <f>K174*(1+'Parámetros Proyección'!$E$12)</f>
        <v/>
      </c>
      <c r="M174" s="35">
        <f>L174*'Parámetros Proyección'!$F$12</f>
        <v/>
      </c>
      <c r="N174" s="35">
        <f>L174+M174</f>
        <v/>
      </c>
      <c r="O174" s="35">
        <f>IF((N174/AI174&gt;'Parámetros Proyección'!$G$12),0,D174*'Parámetros Proyección'!$G$12/(IF((H174/AI174&gt;'Parámetros Proyección'!$G$11),0,'Parámetros Proyección'!$G$11)+IF((N174/AI174&gt;'Parámetros Proyección'!$G$12),0,'Parámetros Proyección'!$G$12)+IF((T174/AI174&gt;'Parámetros Proyección'!$G$13),0,'Parámetros Proyección'!$G$13)+IF((Z174/AI174&gt;'Parámetros Proyección'!$G$14),0,'Parámetros Proyección'!$G$14)+IF((AF174/AI174&gt;'Parámetros Proyección'!$G$15),0,'Parámetros Proyección'!$G$15)))</f>
        <v/>
      </c>
      <c r="P174" s="35">
        <f>N174+O174</f>
        <v/>
      </c>
      <c r="Q174" s="35">
        <f>V173</f>
        <v/>
      </c>
      <c r="R174" s="35">
        <f>Q174*(1+'Parámetros Proyección'!$E$13)</f>
        <v/>
      </c>
      <c r="S174" s="35">
        <f>R174*'Parámetros Proyección'!$F$13</f>
        <v/>
      </c>
      <c r="T174" s="35">
        <f>R174+S174</f>
        <v/>
      </c>
      <c r="U174" s="35">
        <f>IF((T174/AI174&gt;'Parámetros Proyección'!$G$13),0,D174*'Parámetros Proyección'!$G$13/(IF((H174/AI174&gt;'Parámetros Proyección'!$G$11),0,'Parámetros Proyección'!$G$11)+IF((N174/AI174&gt;'Parámetros Proyección'!$G$12),0,'Parámetros Proyección'!$G$12)+IF((T174/AI174&gt;'Parámetros Proyección'!$G$13),0,'Parámetros Proyección'!$G$13)+IF((Z174/AI174&gt;'Parámetros Proyección'!$G$14),0,'Parámetros Proyección'!$G$14)+IF((AF174/AI174&gt;'Parámetros Proyección'!$G$15),0,'Parámetros Proyección'!$G$15)))</f>
        <v/>
      </c>
      <c r="V174" s="35">
        <f>T174+U174</f>
        <v/>
      </c>
      <c r="W174" s="35">
        <f>AB173</f>
        <v/>
      </c>
      <c r="X174" s="35">
        <f>W174*(1+'Parámetros Proyección'!$E$14)</f>
        <v/>
      </c>
      <c r="Y174" s="35">
        <f>X174*'Parámetros Proyección'!$F$14</f>
        <v/>
      </c>
      <c r="Z174" s="35">
        <f>X174+Y174</f>
        <v/>
      </c>
      <c r="AA174" s="35">
        <f>IF((Z174/AI174&gt;'Parámetros Proyección'!$G$14),0,D174*'Parámetros Proyección'!$G$14/(IF((H174/AI174&gt;'Parámetros Proyección'!$G$11),0,'Parámetros Proyección'!$G$11)+IF((N174/AI174&gt;'Parámetros Proyección'!$G$12),0,'Parámetros Proyección'!$G$12)+IF((T174/AI174&gt;'Parámetros Proyección'!$G$13),0,'Parámetros Proyección'!$G$13)+IF((Z174/AI174&gt;'Parámetros Proyección'!$G$14),0,'Parámetros Proyección'!$G$14)+IF((AF174/AI174&gt;'Parámetros Proyección'!$G$15),0,'Parámetros Proyección'!$G$15)))</f>
        <v/>
      </c>
      <c r="AB174" s="35">
        <f>Z174+AA174</f>
        <v/>
      </c>
      <c r="AC174" s="35">
        <f>AH173</f>
        <v/>
      </c>
      <c r="AD174" s="35">
        <f>AC174*(1+'Parámetros Proyección'!$E$15)</f>
        <v/>
      </c>
      <c r="AE174" s="35">
        <f>AD174*'Parámetros Proyección'!$F$15</f>
        <v/>
      </c>
      <c r="AF174" s="35">
        <f>AD174+AE174</f>
        <v/>
      </c>
      <c r="AG174" s="35">
        <f>IF((AF174/AI174&gt;'Parámetros Proyección'!$G$15),0,D174*'Parámetros Proyección'!$G$15/(IF((H174/AI174&gt;'Parámetros Proyección'!$G$11),0,'Parámetros Proyección'!$G$11)+IF((N174/AI174&gt;'Parámetros Proyección'!$G$12),0,'Parámetros Proyección'!$G$12)+IF((T174/AI174&gt;'Parámetros Proyección'!$G$13),0,'Parámetros Proyección'!$G$13)+IF((Z174/AI174&gt;'Parámetros Proyección'!$G$14),0,'Parámetros Proyección'!$G$14)+IF((AF174/AI174&gt;'Parámetros Proyección'!$G$15),0,'Parámetros Proyección'!$G$15)))</f>
        <v/>
      </c>
      <c r="AH174" s="35">
        <f>AF174+AG174</f>
        <v/>
      </c>
      <c r="AI174" s="35">
        <f>H174+N174+T174+Z174+AF174</f>
        <v/>
      </c>
      <c r="AJ174" s="33">
        <f>AF174/AI174</f>
        <v/>
      </c>
      <c r="AK174">
        <f>IF(AJ174&gt;'Parámetros Proyección'!$B$5,1,0)</f>
        <v/>
      </c>
      <c r="AL174" s="35">
        <f>G174+M174+S174+Y174+AE174</f>
        <v/>
      </c>
      <c r="AM174" s="35">
        <f>AM173+D174</f>
        <v/>
      </c>
      <c r="AN174" s="35">
        <f>AN173+AL174</f>
        <v/>
      </c>
      <c r="AO174" s="35">
        <f>J174+P174+V174+AB174+AH174</f>
        <v/>
      </c>
    </row>
    <row r="175">
      <c r="A175" t="n">
        <v>172</v>
      </c>
      <c r="B175" s="34">
        <f>EDATE(B174,1)</f>
        <v/>
      </c>
      <c r="C175">
        <f>YEAR(B175)</f>
        <v/>
      </c>
      <c r="D175" s="35">
        <f>'Parámetros Proyección'!$B$3*(1+'Parámetros Proyección'!$B$4)^(C175-YEAR('Parámetros Proyección'!$B$6))</f>
        <v/>
      </c>
      <c r="E175" s="35">
        <f>J174</f>
        <v/>
      </c>
      <c r="F175" s="35">
        <f>E175*(1+'Parámetros Proyección'!$E$11)</f>
        <v/>
      </c>
      <c r="G175" s="35">
        <f>F175*'Parámetros Proyección'!$F$11</f>
        <v/>
      </c>
      <c r="H175" s="35">
        <f>F175+G175</f>
        <v/>
      </c>
      <c r="I175" s="35">
        <f>IF((H175/AI175&gt;'Parámetros Proyección'!$G$11),0,D175*'Parámetros Proyección'!$G$11/(IF((H175/AI175&gt;'Parámetros Proyección'!$G$11),0,'Parámetros Proyección'!$G$11)+IF((N175/AI175&gt;'Parámetros Proyección'!$G$12),0,'Parámetros Proyección'!$G$12)+IF((T175/AI175&gt;'Parámetros Proyección'!$G$13),0,'Parámetros Proyección'!$G$13)+IF((Z175/AI175&gt;'Parámetros Proyección'!$G$14),0,'Parámetros Proyección'!$G$14)+IF((AF175/AI175&gt;'Parámetros Proyección'!$G$15),0,'Parámetros Proyección'!$G$15)))</f>
        <v/>
      </c>
      <c r="J175" s="35">
        <f>H175+I175</f>
        <v/>
      </c>
      <c r="K175" s="35">
        <f>P174</f>
        <v/>
      </c>
      <c r="L175" s="35">
        <f>K175*(1+'Parámetros Proyección'!$E$12)</f>
        <v/>
      </c>
      <c r="M175" s="35">
        <f>L175*'Parámetros Proyección'!$F$12</f>
        <v/>
      </c>
      <c r="N175" s="35">
        <f>L175+M175</f>
        <v/>
      </c>
      <c r="O175" s="35">
        <f>IF((N175/AI175&gt;'Parámetros Proyección'!$G$12),0,D175*'Parámetros Proyección'!$G$12/(IF((H175/AI175&gt;'Parámetros Proyección'!$G$11),0,'Parámetros Proyección'!$G$11)+IF((N175/AI175&gt;'Parámetros Proyección'!$G$12),0,'Parámetros Proyección'!$G$12)+IF((T175/AI175&gt;'Parámetros Proyección'!$G$13),0,'Parámetros Proyección'!$G$13)+IF((Z175/AI175&gt;'Parámetros Proyección'!$G$14),0,'Parámetros Proyección'!$G$14)+IF((AF175/AI175&gt;'Parámetros Proyección'!$G$15),0,'Parámetros Proyección'!$G$15)))</f>
        <v/>
      </c>
      <c r="P175" s="35">
        <f>N175+O175</f>
        <v/>
      </c>
      <c r="Q175" s="35">
        <f>V174</f>
        <v/>
      </c>
      <c r="R175" s="35">
        <f>Q175*(1+'Parámetros Proyección'!$E$13)</f>
        <v/>
      </c>
      <c r="S175" s="35">
        <f>R175*'Parámetros Proyección'!$F$13</f>
        <v/>
      </c>
      <c r="T175" s="35">
        <f>R175+S175</f>
        <v/>
      </c>
      <c r="U175" s="35">
        <f>IF((T175/AI175&gt;'Parámetros Proyección'!$G$13),0,D175*'Parámetros Proyección'!$G$13/(IF((H175/AI175&gt;'Parámetros Proyección'!$G$11),0,'Parámetros Proyección'!$G$11)+IF((N175/AI175&gt;'Parámetros Proyección'!$G$12),0,'Parámetros Proyección'!$G$12)+IF((T175/AI175&gt;'Parámetros Proyección'!$G$13),0,'Parámetros Proyección'!$G$13)+IF((Z175/AI175&gt;'Parámetros Proyección'!$G$14),0,'Parámetros Proyección'!$G$14)+IF((AF175/AI175&gt;'Parámetros Proyección'!$G$15),0,'Parámetros Proyección'!$G$15)))</f>
        <v/>
      </c>
      <c r="V175" s="35">
        <f>T175+U175</f>
        <v/>
      </c>
      <c r="W175" s="35">
        <f>AB174</f>
        <v/>
      </c>
      <c r="X175" s="35">
        <f>W175*(1+'Parámetros Proyección'!$E$14)</f>
        <v/>
      </c>
      <c r="Y175" s="35">
        <f>X175*'Parámetros Proyección'!$F$14</f>
        <v/>
      </c>
      <c r="Z175" s="35">
        <f>X175+Y175</f>
        <v/>
      </c>
      <c r="AA175" s="35">
        <f>IF((Z175/AI175&gt;'Parámetros Proyección'!$G$14),0,D175*'Parámetros Proyección'!$G$14/(IF((H175/AI175&gt;'Parámetros Proyección'!$G$11),0,'Parámetros Proyección'!$G$11)+IF((N175/AI175&gt;'Parámetros Proyección'!$G$12),0,'Parámetros Proyección'!$G$12)+IF((T175/AI175&gt;'Parámetros Proyección'!$G$13),0,'Parámetros Proyección'!$G$13)+IF((Z175/AI175&gt;'Parámetros Proyección'!$G$14),0,'Parámetros Proyección'!$G$14)+IF((AF175/AI175&gt;'Parámetros Proyección'!$G$15),0,'Parámetros Proyección'!$G$15)))</f>
        <v/>
      </c>
      <c r="AB175" s="35">
        <f>Z175+AA175</f>
        <v/>
      </c>
      <c r="AC175" s="35">
        <f>AH174</f>
        <v/>
      </c>
      <c r="AD175" s="35">
        <f>AC175*(1+'Parámetros Proyección'!$E$15)</f>
        <v/>
      </c>
      <c r="AE175" s="35">
        <f>AD175*'Parámetros Proyección'!$F$15</f>
        <v/>
      </c>
      <c r="AF175" s="35">
        <f>AD175+AE175</f>
        <v/>
      </c>
      <c r="AG175" s="35">
        <f>IF((AF175/AI175&gt;'Parámetros Proyección'!$G$15),0,D175*'Parámetros Proyección'!$G$15/(IF((H175/AI175&gt;'Parámetros Proyección'!$G$11),0,'Parámetros Proyección'!$G$11)+IF((N175/AI175&gt;'Parámetros Proyección'!$G$12),0,'Parámetros Proyección'!$G$12)+IF((T175/AI175&gt;'Parámetros Proyección'!$G$13),0,'Parámetros Proyección'!$G$13)+IF((Z175/AI175&gt;'Parámetros Proyección'!$G$14),0,'Parámetros Proyección'!$G$14)+IF((AF175/AI175&gt;'Parámetros Proyección'!$G$15),0,'Parámetros Proyección'!$G$15)))</f>
        <v/>
      </c>
      <c r="AH175" s="35">
        <f>AF175+AG175</f>
        <v/>
      </c>
      <c r="AI175" s="35">
        <f>H175+N175+T175+Z175+AF175</f>
        <v/>
      </c>
      <c r="AJ175" s="33">
        <f>AF175/AI175</f>
        <v/>
      </c>
      <c r="AK175">
        <f>IF(AJ175&gt;'Parámetros Proyección'!$B$5,1,0)</f>
        <v/>
      </c>
      <c r="AL175" s="35">
        <f>G175+M175+S175+Y175+AE175</f>
        <v/>
      </c>
      <c r="AM175" s="35">
        <f>AM174+D175</f>
        <v/>
      </c>
      <c r="AN175" s="35">
        <f>AN174+AL175</f>
        <v/>
      </c>
      <c r="AO175" s="35">
        <f>J175+P175+V175+AB175+AH175</f>
        <v/>
      </c>
    </row>
    <row r="176">
      <c r="A176" t="n">
        <v>173</v>
      </c>
      <c r="B176" s="34">
        <f>EDATE(B175,1)</f>
        <v/>
      </c>
      <c r="C176">
        <f>YEAR(B176)</f>
        <v/>
      </c>
      <c r="D176" s="35">
        <f>'Parámetros Proyección'!$B$3*(1+'Parámetros Proyección'!$B$4)^(C176-YEAR('Parámetros Proyección'!$B$6))</f>
        <v/>
      </c>
      <c r="E176" s="35">
        <f>J175</f>
        <v/>
      </c>
      <c r="F176" s="35">
        <f>E176*(1+'Parámetros Proyección'!$E$11)</f>
        <v/>
      </c>
      <c r="G176" s="35">
        <f>F176*'Parámetros Proyección'!$F$11</f>
        <v/>
      </c>
      <c r="H176" s="35">
        <f>F176+G176</f>
        <v/>
      </c>
      <c r="I176" s="35">
        <f>IF((H176/AI176&gt;'Parámetros Proyección'!$G$11),0,D176*'Parámetros Proyección'!$G$11/(IF((H176/AI176&gt;'Parámetros Proyección'!$G$11),0,'Parámetros Proyección'!$G$11)+IF((N176/AI176&gt;'Parámetros Proyección'!$G$12),0,'Parámetros Proyección'!$G$12)+IF((T176/AI176&gt;'Parámetros Proyección'!$G$13),0,'Parámetros Proyección'!$G$13)+IF((Z176/AI176&gt;'Parámetros Proyección'!$G$14),0,'Parámetros Proyección'!$G$14)+IF((AF176/AI176&gt;'Parámetros Proyección'!$G$15),0,'Parámetros Proyección'!$G$15)))</f>
        <v/>
      </c>
      <c r="J176" s="35">
        <f>H176+I176</f>
        <v/>
      </c>
      <c r="K176" s="35">
        <f>P175</f>
        <v/>
      </c>
      <c r="L176" s="35">
        <f>K176*(1+'Parámetros Proyección'!$E$12)</f>
        <v/>
      </c>
      <c r="M176" s="35">
        <f>L176*'Parámetros Proyección'!$F$12</f>
        <v/>
      </c>
      <c r="N176" s="35">
        <f>L176+M176</f>
        <v/>
      </c>
      <c r="O176" s="35">
        <f>IF((N176/AI176&gt;'Parámetros Proyección'!$G$12),0,D176*'Parámetros Proyección'!$G$12/(IF((H176/AI176&gt;'Parámetros Proyección'!$G$11),0,'Parámetros Proyección'!$G$11)+IF((N176/AI176&gt;'Parámetros Proyección'!$G$12),0,'Parámetros Proyección'!$G$12)+IF((T176/AI176&gt;'Parámetros Proyección'!$G$13),0,'Parámetros Proyección'!$G$13)+IF((Z176/AI176&gt;'Parámetros Proyección'!$G$14),0,'Parámetros Proyección'!$G$14)+IF((AF176/AI176&gt;'Parámetros Proyección'!$G$15),0,'Parámetros Proyección'!$G$15)))</f>
        <v/>
      </c>
      <c r="P176" s="35">
        <f>N176+O176</f>
        <v/>
      </c>
      <c r="Q176" s="35">
        <f>V175</f>
        <v/>
      </c>
      <c r="R176" s="35">
        <f>Q176*(1+'Parámetros Proyección'!$E$13)</f>
        <v/>
      </c>
      <c r="S176" s="35">
        <f>R176*'Parámetros Proyección'!$F$13</f>
        <v/>
      </c>
      <c r="T176" s="35">
        <f>R176+S176</f>
        <v/>
      </c>
      <c r="U176" s="35">
        <f>IF((T176/AI176&gt;'Parámetros Proyección'!$G$13),0,D176*'Parámetros Proyección'!$G$13/(IF((H176/AI176&gt;'Parámetros Proyección'!$G$11),0,'Parámetros Proyección'!$G$11)+IF((N176/AI176&gt;'Parámetros Proyección'!$G$12),0,'Parámetros Proyección'!$G$12)+IF((T176/AI176&gt;'Parámetros Proyección'!$G$13),0,'Parámetros Proyección'!$G$13)+IF((Z176/AI176&gt;'Parámetros Proyección'!$G$14),0,'Parámetros Proyección'!$G$14)+IF((AF176/AI176&gt;'Parámetros Proyección'!$G$15),0,'Parámetros Proyección'!$G$15)))</f>
        <v/>
      </c>
      <c r="V176" s="35">
        <f>T176+U176</f>
        <v/>
      </c>
      <c r="W176" s="35">
        <f>AB175</f>
        <v/>
      </c>
      <c r="X176" s="35">
        <f>W176*(1+'Parámetros Proyección'!$E$14)</f>
        <v/>
      </c>
      <c r="Y176" s="35">
        <f>X176*'Parámetros Proyección'!$F$14</f>
        <v/>
      </c>
      <c r="Z176" s="35">
        <f>X176+Y176</f>
        <v/>
      </c>
      <c r="AA176" s="35">
        <f>IF((Z176/AI176&gt;'Parámetros Proyección'!$G$14),0,D176*'Parámetros Proyección'!$G$14/(IF((H176/AI176&gt;'Parámetros Proyección'!$G$11),0,'Parámetros Proyección'!$G$11)+IF((N176/AI176&gt;'Parámetros Proyección'!$G$12),0,'Parámetros Proyección'!$G$12)+IF((T176/AI176&gt;'Parámetros Proyección'!$G$13),0,'Parámetros Proyección'!$G$13)+IF((Z176/AI176&gt;'Parámetros Proyección'!$G$14),0,'Parámetros Proyección'!$G$14)+IF((AF176/AI176&gt;'Parámetros Proyección'!$G$15),0,'Parámetros Proyección'!$G$15)))</f>
        <v/>
      </c>
      <c r="AB176" s="35">
        <f>Z176+AA176</f>
        <v/>
      </c>
      <c r="AC176" s="35">
        <f>AH175</f>
        <v/>
      </c>
      <c r="AD176" s="35">
        <f>AC176*(1+'Parámetros Proyección'!$E$15)</f>
        <v/>
      </c>
      <c r="AE176" s="35">
        <f>AD176*'Parámetros Proyección'!$F$15</f>
        <v/>
      </c>
      <c r="AF176" s="35">
        <f>AD176+AE176</f>
        <v/>
      </c>
      <c r="AG176" s="35">
        <f>IF((AF176/AI176&gt;'Parámetros Proyección'!$G$15),0,D176*'Parámetros Proyección'!$G$15/(IF((H176/AI176&gt;'Parámetros Proyección'!$G$11),0,'Parámetros Proyección'!$G$11)+IF((N176/AI176&gt;'Parámetros Proyección'!$G$12),0,'Parámetros Proyección'!$G$12)+IF((T176/AI176&gt;'Parámetros Proyección'!$G$13),0,'Parámetros Proyección'!$G$13)+IF((Z176/AI176&gt;'Parámetros Proyección'!$G$14),0,'Parámetros Proyección'!$G$14)+IF((AF176/AI176&gt;'Parámetros Proyección'!$G$15),0,'Parámetros Proyección'!$G$15)))</f>
        <v/>
      </c>
      <c r="AH176" s="35">
        <f>AF176+AG176</f>
        <v/>
      </c>
      <c r="AI176" s="35">
        <f>H176+N176+T176+Z176+AF176</f>
        <v/>
      </c>
      <c r="AJ176" s="33">
        <f>AF176/AI176</f>
        <v/>
      </c>
      <c r="AK176">
        <f>IF(AJ176&gt;'Parámetros Proyección'!$B$5,1,0)</f>
        <v/>
      </c>
      <c r="AL176" s="35">
        <f>G176+M176+S176+Y176+AE176</f>
        <v/>
      </c>
      <c r="AM176" s="35">
        <f>AM175+D176</f>
        <v/>
      </c>
      <c r="AN176" s="35">
        <f>AN175+AL176</f>
        <v/>
      </c>
      <c r="AO176" s="35">
        <f>J176+P176+V176+AB176+AH176</f>
        <v/>
      </c>
    </row>
    <row r="177">
      <c r="A177" t="n">
        <v>174</v>
      </c>
      <c r="B177" s="34">
        <f>EDATE(B176,1)</f>
        <v/>
      </c>
      <c r="C177">
        <f>YEAR(B177)</f>
        <v/>
      </c>
      <c r="D177" s="35">
        <f>'Parámetros Proyección'!$B$3*(1+'Parámetros Proyección'!$B$4)^(C177-YEAR('Parámetros Proyección'!$B$6))</f>
        <v/>
      </c>
      <c r="E177" s="35">
        <f>J176</f>
        <v/>
      </c>
      <c r="F177" s="35">
        <f>E177*(1+'Parámetros Proyección'!$E$11)</f>
        <v/>
      </c>
      <c r="G177" s="35">
        <f>F177*'Parámetros Proyección'!$F$11</f>
        <v/>
      </c>
      <c r="H177" s="35">
        <f>F177+G177</f>
        <v/>
      </c>
      <c r="I177" s="35">
        <f>IF((H177/AI177&gt;'Parámetros Proyección'!$G$11),0,D177*'Parámetros Proyección'!$G$11/(IF((H177/AI177&gt;'Parámetros Proyección'!$G$11),0,'Parámetros Proyección'!$G$11)+IF((N177/AI177&gt;'Parámetros Proyección'!$G$12),0,'Parámetros Proyección'!$G$12)+IF((T177/AI177&gt;'Parámetros Proyección'!$G$13),0,'Parámetros Proyección'!$G$13)+IF((Z177/AI177&gt;'Parámetros Proyección'!$G$14),0,'Parámetros Proyección'!$G$14)+IF((AF177/AI177&gt;'Parámetros Proyección'!$G$15),0,'Parámetros Proyección'!$G$15)))</f>
        <v/>
      </c>
      <c r="J177" s="35">
        <f>H177+I177</f>
        <v/>
      </c>
      <c r="K177" s="35">
        <f>P176</f>
        <v/>
      </c>
      <c r="L177" s="35">
        <f>K177*(1+'Parámetros Proyección'!$E$12)</f>
        <v/>
      </c>
      <c r="M177" s="35">
        <f>L177*'Parámetros Proyección'!$F$12</f>
        <v/>
      </c>
      <c r="N177" s="35">
        <f>L177+M177</f>
        <v/>
      </c>
      <c r="O177" s="35">
        <f>IF((N177/AI177&gt;'Parámetros Proyección'!$G$12),0,D177*'Parámetros Proyección'!$G$12/(IF((H177/AI177&gt;'Parámetros Proyección'!$G$11),0,'Parámetros Proyección'!$G$11)+IF((N177/AI177&gt;'Parámetros Proyección'!$G$12),0,'Parámetros Proyección'!$G$12)+IF((T177/AI177&gt;'Parámetros Proyección'!$G$13),0,'Parámetros Proyección'!$G$13)+IF((Z177/AI177&gt;'Parámetros Proyección'!$G$14),0,'Parámetros Proyección'!$G$14)+IF((AF177/AI177&gt;'Parámetros Proyección'!$G$15),0,'Parámetros Proyección'!$G$15)))</f>
        <v/>
      </c>
      <c r="P177" s="35">
        <f>N177+O177</f>
        <v/>
      </c>
      <c r="Q177" s="35">
        <f>V176</f>
        <v/>
      </c>
      <c r="R177" s="35">
        <f>Q177*(1+'Parámetros Proyección'!$E$13)</f>
        <v/>
      </c>
      <c r="S177" s="35">
        <f>R177*'Parámetros Proyección'!$F$13</f>
        <v/>
      </c>
      <c r="T177" s="35">
        <f>R177+S177</f>
        <v/>
      </c>
      <c r="U177" s="35">
        <f>IF((T177/AI177&gt;'Parámetros Proyección'!$G$13),0,D177*'Parámetros Proyección'!$G$13/(IF((H177/AI177&gt;'Parámetros Proyección'!$G$11),0,'Parámetros Proyección'!$G$11)+IF((N177/AI177&gt;'Parámetros Proyección'!$G$12),0,'Parámetros Proyección'!$G$12)+IF((T177/AI177&gt;'Parámetros Proyección'!$G$13),0,'Parámetros Proyección'!$G$13)+IF((Z177/AI177&gt;'Parámetros Proyección'!$G$14),0,'Parámetros Proyección'!$G$14)+IF((AF177/AI177&gt;'Parámetros Proyección'!$G$15),0,'Parámetros Proyección'!$G$15)))</f>
        <v/>
      </c>
      <c r="V177" s="35">
        <f>T177+U177</f>
        <v/>
      </c>
      <c r="W177" s="35">
        <f>AB176</f>
        <v/>
      </c>
      <c r="X177" s="35">
        <f>W177*(1+'Parámetros Proyección'!$E$14)</f>
        <v/>
      </c>
      <c r="Y177" s="35">
        <f>X177*'Parámetros Proyección'!$F$14</f>
        <v/>
      </c>
      <c r="Z177" s="35">
        <f>X177+Y177</f>
        <v/>
      </c>
      <c r="AA177" s="35">
        <f>IF((Z177/AI177&gt;'Parámetros Proyección'!$G$14),0,D177*'Parámetros Proyección'!$G$14/(IF((H177/AI177&gt;'Parámetros Proyección'!$G$11),0,'Parámetros Proyección'!$G$11)+IF((N177/AI177&gt;'Parámetros Proyección'!$G$12),0,'Parámetros Proyección'!$G$12)+IF((T177/AI177&gt;'Parámetros Proyección'!$G$13),0,'Parámetros Proyección'!$G$13)+IF((Z177/AI177&gt;'Parámetros Proyección'!$G$14),0,'Parámetros Proyección'!$G$14)+IF((AF177/AI177&gt;'Parámetros Proyección'!$G$15),0,'Parámetros Proyección'!$G$15)))</f>
        <v/>
      </c>
      <c r="AB177" s="35">
        <f>Z177+AA177</f>
        <v/>
      </c>
      <c r="AC177" s="35">
        <f>AH176</f>
        <v/>
      </c>
      <c r="AD177" s="35">
        <f>AC177*(1+'Parámetros Proyección'!$E$15)</f>
        <v/>
      </c>
      <c r="AE177" s="35">
        <f>AD177*'Parámetros Proyección'!$F$15</f>
        <v/>
      </c>
      <c r="AF177" s="35">
        <f>AD177+AE177</f>
        <v/>
      </c>
      <c r="AG177" s="35">
        <f>IF((AF177/AI177&gt;'Parámetros Proyección'!$G$15),0,D177*'Parámetros Proyección'!$G$15/(IF((H177/AI177&gt;'Parámetros Proyección'!$G$11),0,'Parámetros Proyección'!$G$11)+IF((N177/AI177&gt;'Parámetros Proyección'!$G$12),0,'Parámetros Proyección'!$G$12)+IF((T177/AI177&gt;'Parámetros Proyección'!$G$13),0,'Parámetros Proyección'!$G$13)+IF((Z177/AI177&gt;'Parámetros Proyección'!$G$14),0,'Parámetros Proyección'!$G$14)+IF((AF177/AI177&gt;'Parámetros Proyección'!$G$15),0,'Parámetros Proyección'!$G$15)))</f>
        <v/>
      </c>
      <c r="AH177" s="35">
        <f>AF177+AG177</f>
        <v/>
      </c>
      <c r="AI177" s="35">
        <f>H177+N177+T177+Z177+AF177</f>
        <v/>
      </c>
      <c r="AJ177" s="33">
        <f>AF177/AI177</f>
        <v/>
      </c>
      <c r="AK177">
        <f>IF(AJ177&gt;'Parámetros Proyección'!$B$5,1,0)</f>
        <v/>
      </c>
      <c r="AL177" s="35">
        <f>G177+M177+S177+Y177+AE177</f>
        <v/>
      </c>
      <c r="AM177" s="35">
        <f>AM176+D177</f>
        <v/>
      </c>
      <c r="AN177" s="35">
        <f>AN176+AL177</f>
        <v/>
      </c>
      <c r="AO177" s="35">
        <f>J177+P177+V177+AB177+AH177</f>
        <v/>
      </c>
    </row>
    <row r="178">
      <c r="A178" t="n">
        <v>175</v>
      </c>
      <c r="B178" s="34">
        <f>EDATE(B177,1)</f>
        <v/>
      </c>
      <c r="C178">
        <f>YEAR(B178)</f>
        <v/>
      </c>
      <c r="D178" s="35">
        <f>'Parámetros Proyección'!$B$3*(1+'Parámetros Proyección'!$B$4)^(C178-YEAR('Parámetros Proyección'!$B$6))</f>
        <v/>
      </c>
      <c r="E178" s="35">
        <f>J177</f>
        <v/>
      </c>
      <c r="F178" s="35">
        <f>E178*(1+'Parámetros Proyección'!$E$11)</f>
        <v/>
      </c>
      <c r="G178" s="35">
        <f>F178*'Parámetros Proyección'!$F$11</f>
        <v/>
      </c>
      <c r="H178" s="35">
        <f>F178+G178</f>
        <v/>
      </c>
      <c r="I178" s="35">
        <f>IF((H178/AI178&gt;'Parámetros Proyección'!$G$11),0,D178*'Parámetros Proyección'!$G$11/(IF((H178/AI178&gt;'Parámetros Proyección'!$G$11),0,'Parámetros Proyección'!$G$11)+IF((N178/AI178&gt;'Parámetros Proyección'!$G$12),0,'Parámetros Proyección'!$G$12)+IF((T178/AI178&gt;'Parámetros Proyección'!$G$13),0,'Parámetros Proyección'!$G$13)+IF((Z178/AI178&gt;'Parámetros Proyección'!$G$14),0,'Parámetros Proyección'!$G$14)+IF((AF178/AI178&gt;'Parámetros Proyección'!$G$15),0,'Parámetros Proyección'!$G$15)))</f>
        <v/>
      </c>
      <c r="J178" s="35">
        <f>H178+I178</f>
        <v/>
      </c>
      <c r="K178" s="35">
        <f>P177</f>
        <v/>
      </c>
      <c r="L178" s="35">
        <f>K178*(1+'Parámetros Proyección'!$E$12)</f>
        <v/>
      </c>
      <c r="M178" s="35">
        <f>L178*'Parámetros Proyección'!$F$12</f>
        <v/>
      </c>
      <c r="N178" s="35">
        <f>L178+M178</f>
        <v/>
      </c>
      <c r="O178" s="35">
        <f>IF((N178/AI178&gt;'Parámetros Proyección'!$G$12),0,D178*'Parámetros Proyección'!$G$12/(IF((H178/AI178&gt;'Parámetros Proyección'!$G$11),0,'Parámetros Proyección'!$G$11)+IF((N178/AI178&gt;'Parámetros Proyección'!$G$12),0,'Parámetros Proyección'!$G$12)+IF((T178/AI178&gt;'Parámetros Proyección'!$G$13),0,'Parámetros Proyección'!$G$13)+IF((Z178/AI178&gt;'Parámetros Proyección'!$G$14),0,'Parámetros Proyección'!$G$14)+IF((AF178/AI178&gt;'Parámetros Proyección'!$G$15),0,'Parámetros Proyección'!$G$15)))</f>
        <v/>
      </c>
      <c r="P178" s="35">
        <f>N178+O178</f>
        <v/>
      </c>
      <c r="Q178" s="35">
        <f>V177</f>
        <v/>
      </c>
      <c r="R178" s="35">
        <f>Q178*(1+'Parámetros Proyección'!$E$13)</f>
        <v/>
      </c>
      <c r="S178" s="35">
        <f>R178*'Parámetros Proyección'!$F$13</f>
        <v/>
      </c>
      <c r="T178" s="35">
        <f>R178+S178</f>
        <v/>
      </c>
      <c r="U178" s="35">
        <f>IF((T178/AI178&gt;'Parámetros Proyección'!$G$13),0,D178*'Parámetros Proyección'!$G$13/(IF((H178/AI178&gt;'Parámetros Proyección'!$G$11),0,'Parámetros Proyección'!$G$11)+IF((N178/AI178&gt;'Parámetros Proyección'!$G$12),0,'Parámetros Proyección'!$G$12)+IF((T178/AI178&gt;'Parámetros Proyección'!$G$13),0,'Parámetros Proyección'!$G$13)+IF((Z178/AI178&gt;'Parámetros Proyección'!$G$14),0,'Parámetros Proyección'!$G$14)+IF((AF178/AI178&gt;'Parámetros Proyección'!$G$15),0,'Parámetros Proyección'!$G$15)))</f>
        <v/>
      </c>
      <c r="V178" s="35">
        <f>T178+U178</f>
        <v/>
      </c>
      <c r="W178" s="35">
        <f>AB177</f>
        <v/>
      </c>
      <c r="X178" s="35">
        <f>W178*(1+'Parámetros Proyección'!$E$14)</f>
        <v/>
      </c>
      <c r="Y178" s="35">
        <f>X178*'Parámetros Proyección'!$F$14</f>
        <v/>
      </c>
      <c r="Z178" s="35">
        <f>X178+Y178</f>
        <v/>
      </c>
      <c r="AA178" s="35">
        <f>IF((Z178/AI178&gt;'Parámetros Proyección'!$G$14),0,D178*'Parámetros Proyección'!$G$14/(IF((H178/AI178&gt;'Parámetros Proyección'!$G$11),0,'Parámetros Proyección'!$G$11)+IF((N178/AI178&gt;'Parámetros Proyección'!$G$12),0,'Parámetros Proyección'!$G$12)+IF((T178/AI178&gt;'Parámetros Proyección'!$G$13),0,'Parámetros Proyección'!$G$13)+IF((Z178/AI178&gt;'Parámetros Proyección'!$G$14),0,'Parámetros Proyección'!$G$14)+IF((AF178/AI178&gt;'Parámetros Proyección'!$G$15),0,'Parámetros Proyección'!$G$15)))</f>
        <v/>
      </c>
      <c r="AB178" s="35">
        <f>Z178+AA178</f>
        <v/>
      </c>
      <c r="AC178" s="35">
        <f>AH177</f>
        <v/>
      </c>
      <c r="AD178" s="35">
        <f>AC178*(1+'Parámetros Proyección'!$E$15)</f>
        <v/>
      </c>
      <c r="AE178" s="35">
        <f>AD178*'Parámetros Proyección'!$F$15</f>
        <v/>
      </c>
      <c r="AF178" s="35">
        <f>AD178+AE178</f>
        <v/>
      </c>
      <c r="AG178" s="35">
        <f>IF((AF178/AI178&gt;'Parámetros Proyección'!$G$15),0,D178*'Parámetros Proyección'!$G$15/(IF((H178/AI178&gt;'Parámetros Proyección'!$G$11),0,'Parámetros Proyección'!$G$11)+IF((N178/AI178&gt;'Parámetros Proyección'!$G$12),0,'Parámetros Proyección'!$G$12)+IF((T178/AI178&gt;'Parámetros Proyección'!$G$13),0,'Parámetros Proyección'!$G$13)+IF((Z178/AI178&gt;'Parámetros Proyección'!$G$14),0,'Parámetros Proyección'!$G$14)+IF((AF178/AI178&gt;'Parámetros Proyección'!$G$15),0,'Parámetros Proyección'!$G$15)))</f>
        <v/>
      </c>
      <c r="AH178" s="35">
        <f>AF178+AG178</f>
        <v/>
      </c>
      <c r="AI178" s="35">
        <f>H178+N178+T178+Z178+AF178</f>
        <v/>
      </c>
      <c r="AJ178" s="33">
        <f>AF178/AI178</f>
        <v/>
      </c>
      <c r="AK178">
        <f>IF(AJ178&gt;'Parámetros Proyección'!$B$5,1,0)</f>
        <v/>
      </c>
      <c r="AL178" s="35">
        <f>G178+M178+S178+Y178+AE178</f>
        <v/>
      </c>
      <c r="AM178" s="35">
        <f>AM177+D178</f>
        <v/>
      </c>
      <c r="AN178" s="35">
        <f>AN177+AL178</f>
        <v/>
      </c>
      <c r="AO178" s="35">
        <f>J178+P178+V178+AB178+AH178</f>
        <v/>
      </c>
    </row>
    <row r="179">
      <c r="A179" t="n">
        <v>176</v>
      </c>
      <c r="B179" s="34">
        <f>EDATE(B178,1)</f>
        <v/>
      </c>
      <c r="C179">
        <f>YEAR(B179)</f>
        <v/>
      </c>
      <c r="D179" s="35">
        <f>'Parámetros Proyección'!$B$3*(1+'Parámetros Proyección'!$B$4)^(C179-YEAR('Parámetros Proyección'!$B$6))</f>
        <v/>
      </c>
      <c r="E179" s="35">
        <f>J178</f>
        <v/>
      </c>
      <c r="F179" s="35">
        <f>E179*(1+'Parámetros Proyección'!$E$11)</f>
        <v/>
      </c>
      <c r="G179" s="35">
        <f>F179*'Parámetros Proyección'!$F$11</f>
        <v/>
      </c>
      <c r="H179" s="35">
        <f>F179+G179</f>
        <v/>
      </c>
      <c r="I179" s="35">
        <f>IF((H179/AI179&gt;'Parámetros Proyección'!$G$11),0,D179*'Parámetros Proyección'!$G$11/(IF((H179/AI179&gt;'Parámetros Proyección'!$G$11),0,'Parámetros Proyección'!$G$11)+IF((N179/AI179&gt;'Parámetros Proyección'!$G$12),0,'Parámetros Proyección'!$G$12)+IF((T179/AI179&gt;'Parámetros Proyección'!$G$13),0,'Parámetros Proyección'!$G$13)+IF((Z179/AI179&gt;'Parámetros Proyección'!$G$14),0,'Parámetros Proyección'!$G$14)+IF((AF179/AI179&gt;'Parámetros Proyección'!$G$15),0,'Parámetros Proyección'!$G$15)))</f>
        <v/>
      </c>
      <c r="J179" s="35">
        <f>H179+I179</f>
        <v/>
      </c>
      <c r="K179" s="35">
        <f>P178</f>
        <v/>
      </c>
      <c r="L179" s="35">
        <f>K179*(1+'Parámetros Proyección'!$E$12)</f>
        <v/>
      </c>
      <c r="M179" s="35">
        <f>L179*'Parámetros Proyección'!$F$12</f>
        <v/>
      </c>
      <c r="N179" s="35">
        <f>L179+M179</f>
        <v/>
      </c>
      <c r="O179" s="35">
        <f>IF((N179/AI179&gt;'Parámetros Proyección'!$G$12),0,D179*'Parámetros Proyección'!$G$12/(IF((H179/AI179&gt;'Parámetros Proyección'!$G$11),0,'Parámetros Proyección'!$G$11)+IF((N179/AI179&gt;'Parámetros Proyección'!$G$12),0,'Parámetros Proyección'!$G$12)+IF((T179/AI179&gt;'Parámetros Proyección'!$G$13),0,'Parámetros Proyección'!$G$13)+IF((Z179/AI179&gt;'Parámetros Proyección'!$G$14),0,'Parámetros Proyección'!$G$14)+IF((AF179/AI179&gt;'Parámetros Proyección'!$G$15),0,'Parámetros Proyección'!$G$15)))</f>
        <v/>
      </c>
      <c r="P179" s="35">
        <f>N179+O179</f>
        <v/>
      </c>
      <c r="Q179" s="35">
        <f>V178</f>
        <v/>
      </c>
      <c r="R179" s="35">
        <f>Q179*(1+'Parámetros Proyección'!$E$13)</f>
        <v/>
      </c>
      <c r="S179" s="35">
        <f>R179*'Parámetros Proyección'!$F$13</f>
        <v/>
      </c>
      <c r="T179" s="35">
        <f>R179+S179</f>
        <v/>
      </c>
      <c r="U179" s="35">
        <f>IF((T179/AI179&gt;'Parámetros Proyección'!$G$13),0,D179*'Parámetros Proyección'!$G$13/(IF((H179/AI179&gt;'Parámetros Proyección'!$G$11),0,'Parámetros Proyección'!$G$11)+IF((N179/AI179&gt;'Parámetros Proyección'!$G$12),0,'Parámetros Proyección'!$G$12)+IF((T179/AI179&gt;'Parámetros Proyección'!$G$13),0,'Parámetros Proyección'!$G$13)+IF((Z179/AI179&gt;'Parámetros Proyección'!$G$14),0,'Parámetros Proyección'!$G$14)+IF((AF179/AI179&gt;'Parámetros Proyección'!$G$15),0,'Parámetros Proyección'!$G$15)))</f>
        <v/>
      </c>
      <c r="V179" s="35">
        <f>T179+U179</f>
        <v/>
      </c>
      <c r="W179" s="35">
        <f>AB178</f>
        <v/>
      </c>
      <c r="X179" s="35">
        <f>W179*(1+'Parámetros Proyección'!$E$14)</f>
        <v/>
      </c>
      <c r="Y179" s="35">
        <f>X179*'Parámetros Proyección'!$F$14</f>
        <v/>
      </c>
      <c r="Z179" s="35">
        <f>X179+Y179</f>
        <v/>
      </c>
      <c r="AA179" s="35">
        <f>IF((Z179/AI179&gt;'Parámetros Proyección'!$G$14),0,D179*'Parámetros Proyección'!$G$14/(IF((H179/AI179&gt;'Parámetros Proyección'!$G$11),0,'Parámetros Proyección'!$G$11)+IF((N179/AI179&gt;'Parámetros Proyección'!$G$12),0,'Parámetros Proyección'!$G$12)+IF((T179/AI179&gt;'Parámetros Proyección'!$G$13),0,'Parámetros Proyección'!$G$13)+IF((Z179/AI179&gt;'Parámetros Proyección'!$G$14),0,'Parámetros Proyección'!$G$14)+IF((AF179/AI179&gt;'Parámetros Proyección'!$G$15),0,'Parámetros Proyección'!$G$15)))</f>
        <v/>
      </c>
      <c r="AB179" s="35">
        <f>Z179+AA179</f>
        <v/>
      </c>
      <c r="AC179" s="35">
        <f>AH178</f>
        <v/>
      </c>
      <c r="AD179" s="35">
        <f>AC179*(1+'Parámetros Proyección'!$E$15)</f>
        <v/>
      </c>
      <c r="AE179" s="35">
        <f>AD179*'Parámetros Proyección'!$F$15</f>
        <v/>
      </c>
      <c r="AF179" s="35">
        <f>AD179+AE179</f>
        <v/>
      </c>
      <c r="AG179" s="35">
        <f>IF((AF179/AI179&gt;'Parámetros Proyección'!$G$15),0,D179*'Parámetros Proyección'!$G$15/(IF((H179/AI179&gt;'Parámetros Proyección'!$G$11),0,'Parámetros Proyección'!$G$11)+IF((N179/AI179&gt;'Parámetros Proyección'!$G$12),0,'Parámetros Proyección'!$G$12)+IF((T179/AI179&gt;'Parámetros Proyección'!$G$13),0,'Parámetros Proyección'!$G$13)+IF((Z179/AI179&gt;'Parámetros Proyección'!$G$14),0,'Parámetros Proyección'!$G$14)+IF((AF179/AI179&gt;'Parámetros Proyección'!$G$15),0,'Parámetros Proyección'!$G$15)))</f>
        <v/>
      </c>
      <c r="AH179" s="35">
        <f>AF179+AG179</f>
        <v/>
      </c>
      <c r="AI179" s="35">
        <f>H179+N179+T179+Z179+AF179</f>
        <v/>
      </c>
      <c r="AJ179" s="33">
        <f>AF179/AI179</f>
        <v/>
      </c>
      <c r="AK179">
        <f>IF(AJ179&gt;'Parámetros Proyección'!$B$5,1,0)</f>
        <v/>
      </c>
      <c r="AL179" s="35">
        <f>G179+M179+S179+Y179+AE179</f>
        <v/>
      </c>
      <c r="AM179" s="35">
        <f>AM178+D179</f>
        <v/>
      </c>
      <c r="AN179" s="35">
        <f>AN178+AL179</f>
        <v/>
      </c>
      <c r="AO179" s="35">
        <f>J179+P179+V179+AB179+AH179</f>
        <v/>
      </c>
    </row>
    <row r="180">
      <c r="A180" t="n">
        <v>177</v>
      </c>
      <c r="B180" s="34">
        <f>EDATE(B179,1)</f>
        <v/>
      </c>
      <c r="C180">
        <f>YEAR(B180)</f>
        <v/>
      </c>
      <c r="D180" s="35">
        <f>'Parámetros Proyección'!$B$3*(1+'Parámetros Proyección'!$B$4)^(C180-YEAR('Parámetros Proyección'!$B$6))</f>
        <v/>
      </c>
      <c r="E180" s="35">
        <f>J179</f>
        <v/>
      </c>
      <c r="F180" s="35">
        <f>E180*(1+'Parámetros Proyección'!$E$11)</f>
        <v/>
      </c>
      <c r="G180" s="35">
        <f>F180*'Parámetros Proyección'!$F$11</f>
        <v/>
      </c>
      <c r="H180" s="35">
        <f>F180+G180</f>
        <v/>
      </c>
      <c r="I180" s="35">
        <f>IF((H180/AI180&gt;'Parámetros Proyección'!$G$11),0,D180*'Parámetros Proyección'!$G$11/(IF((H180/AI180&gt;'Parámetros Proyección'!$G$11),0,'Parámetros Proyección'!$G$11)+IF((N180/AI180&gt;'Parámetros Proyección'!$G$12),0,'Parámetros Proyección'!$G$12)+IF((T180/AI180&gt;'Parámetros Proyección'!$G$13),0,'Parámetros Proyección'!$G$13)+IF((Z180/AI180&gt;'Parámetros Proyección'!$G$14),0,'Parámetros Proyección'!$G$14)+IF((AF180/AI180&gt;'Parámetros Proyección'!$G$15),0,'Parámetros Proyección'!$G$15)))</f>
        <v/>
      </c>
      <c r="J180" s="35">
        <f>H180+I180</f>
        <v/>
      </c>
      <c r="K180" s="35">
        <f>P179</f>
        <v/>
      </c>
      <c r="L180" s="35">
        <f>K180*(1+'Parámetros Proyección'!$E$12)</f>
        <v/>
      </c>
      <c r="M180" s="35">
        <f>L180*'Parámetros Proyección'!$F$12</f>
        <v/>
      </c>
      <c r="N180" s="35">
        <f>L180+M180</f>
        <v/>
      </c>
      <c r="O180" s="35">
        <f>IF((N180/AI180&gt;'Parámetros Proyección'!$G$12),0,D180*'Parámetros Proyección'!$G$12/(IF((H180/AI180&gt;'Parámetros Proyección'!$G$11),0,'Parámetros Proyección'!$G$11)+IF((N180/AI180&gt;'Parámetros Proyección'!$G$12),0,'Parámetros Proyección'!$G$12)+IF((T180/AI180&gt;'Parámetros Proyección'!$G$13),0,'Parámetros Proyección'!$G$13)+IF((Z180/AI180&gt;'Parámetros Proyección'!$G$14),0,'Parámetros Proyección'!$G$14)+IF((AF180/AI180&gt;'Parámetros Proyección'!$G$15),0,'Parámetros Proyección'!$G$15)))</f>
        <v/>
      </c>
      <c r="P180" s="35">
        <f>N180+O180</f>
        <v/>
      </c>
      <c r="Q180" s="35">
        <f>V179</f>
        <v/>
      </c>
      <c r="R180" s="35">
        <f>Q180*(1+'Parámetros Proyección'!$E$13)</f>
        <v/>
      </c>
      <c r="S180" s="35">
        <f>R180*'Parámetros Proyección'!$F$13</f>
        <v/>
      </c>
      <c r="T180" s="35">
        <f>R180+S180</f>
        <v/>
      </c>
      <c r="U180" s="35">
        <f>IF((T180/AI180&gt;'Parámetros Proyección'!$G$13),0,D180*'Parámetros Proyección'!$G$13/(IF((H180/AI180&gt;'Parámetros Proyección'!$G$11),0,'Parámetros Proyección'!$G$11)+IF((N180/AI180&gt;'Parámetros Proyección'!$G$12),0,'Parámetros Proyección'!$G$12)+IF((T180/AI180&gt;'Parámetros Proyección'!$G$13),0,'Parámetros Proyección'!$G$13)+IF((Z180/AI180&gt;'Parámetros Proyección'!$G$14),0,'Parámetros Proyección'!$G$14)+IF((AF180/AI180&gt;'Parámetros Proyección'!$G$15),0,'Parámetros Proyección'!$G$15)))</f>
        <v/>
      </c>
      <c r="V180" s="35">
        <f>T180+U180</f>
        <v/>
      </c>
      <c r="W180" s="35">
        <f>AB179</f>
        <v/>
      </c>
      <c r="X180" s="35">
        <f>W180*(1+'Parámetros Proyección'!$E$14)</f>
        <v/>
      </c>
      <c r="Y180" s="35">
        <f>X180*'Parámetros Proyección'!$F$14</f>
        <v/>
      </c>
      <c r="Z180" s="35">
        <f>X180+Y180</f>
        <v/>
      </c>
      <c r="AA180" s="35">
        <f>IF((Z180/AI180&gt;'Parámetros Proyección'!$G$14),0,D180*'Parámetros Proyección'!$G$14/(IF((H180/AI180&gt;'Parámetros Proyección'!$G$11),0,'Parámetros Proyección'!$G$11)+IF((N180/AI180&gt;'Parámetros Proyección'!$G$12),0,'Parámetros Proyección'!$G$12)+IF((T180/AI180&gt;'Parámetros Proyección'!$G$13),0,'Parámetros Proyección'!$G$13)+IF((Z180/AI180&gt;'Parámetros Proyección'!$G$14),0,'Parámetros Proyección'!$G$14)+IF((AF180/AI180&gt;'Parámetros Proyección'!$G$15),0,'Parámetros Proyección'!$G$15)))</f>
        <v/>
      </c>
      <c r="AB180" s="35">
        <f>Z180+AA180</f>
        <v/>
      </c>
      <c r="AC180" s="35">
        <f>AH179</f>
        <v/>
      </c>
      <c r="AD180" s="35">
        <f>AC180*(1+'Parámetros Proyección'!$E$15)</f>
        <v/>
      </c>
      <c r="AE180" s="35">
        <f>AD180*'Parámetros Proyección'!$F$15</f>
        <v/>
      </c>
      <c r="AF180" s="35">
        <f>AD180+AE180</f>
        <v/>
      </c>
      <c r="AG180" s="35">
        <f>IF((AF180/AI180&gt;'Parámetros Proyección'!$G$15),0,D180*'Parámetros Proyección'!$G$15/(IF((H180/AI180&gt;'Parámetros Proyección'!$G$11),0,'Parámetros Proyección'!$G$11)+IF((N180/AI180&gt;'Parámetros Proyección'!$G$12),0,'Parámetros Proyección'!$G$12)+IF((T180/AI180&gt;'Parámetros Proyección'!$G$13),0,'Parámetros Proyección'!$G$13)+IF((Z180/AI180&gt;'Parámetros Proyección'!$G$14),0,'Parámetros Proyección'!$G$14)+IF((AF180/AI180&gt;'Parámetros Proyección'!$G$15),0,'Parámetros Proyección'!$G$15)))</f>
        <v/>
      </c>
      <c r="AH180" s="35">
        <f>AF180+AG180</f>
        <v/>
      </c>
      <c r="AI180" s="35">
        <f>H180+N180+T180+Z180+AF180</f>
        <v/>
      </c>
      <c r="AJ180" s="33">
        <f>AF180/AI180</f>
        <v/>
      </c>
      <c r="AK180">
        <f>IF(AJ180&gt;'Parámetros Proyección'!$B$5,1,0)</f>
        <v/>
      </c>
      <c r="AL180" s="35">
        <f>G180+M180+S180+Y180+AE180</f>
        <v/>
      </c>
      <c r="AM180" s="35">
        <f>AM179+D180</f>
        <v/>
      </c>
      <c r="AN180" s="35">
        <f>AN179+AL180</f>
        <v/>
      </c>
      <c r="AO180" s="35">
        <f>J180+P180+V180+AB180+AH180</f>
        <v/>
      </c>
    </row>
    <row r="181">
      <c r="A181" t="n">
        <v>178</v>
      </c>
      <c r="B181" s="34">
        <f>EDATE(B180,1)</f>
        <v/>
      </c>
      <c r="C181">
        <f>YEAR(B181)</f>
        <v/>
      </c>
      <c r="D181" s="35">
        <f>'Parámetros Proyección'!$B$3*(1+'Parámetros Proyección'!$B$4)^(C181-YEAR('Parámetros Proyección'!$B$6))</f>
        <v/>
      </c>
      <c r="E181" s="35">
        <f>J180</f>
        <v/>
      </c>
      <c r="F181" s="35">
        <f>E181*(1+'Parámetros Proyección'!$E$11)</f>
        <v/>
      </c>
      <c r="G181" s="35">
        <f>F181*'Parámetros Proyección'!$F$11</f>
        <v/>
      </c>
      <c r="H181" s="35">
        <f>F181+G181</f>
        <v/>
      </c>
      <c r="I181" s="35">
        <f>IF((H181/AI181&gt;'Parámetros Proyección'!$G$11),0,D181*'Parámetros Proyección'!$G$11/(IF((H181/AI181&gt;'Parámetros Proyección'!$G$11),0,'Parámetros Proyección'!$G$11)+IF((N181/AI181&gt;'Parámetros Proyección'!$G$12),0,'Parámetros Proyección'!$G$12)+IF((T181/AI181&gt;'Parámetros Proyección'!$G$13),0,'Parámetros Proyección'!$G$13)+IF((Z181/AI181&gt;'Parámetros Proyección'!$G$14),0,'Parámetros Proyección'!$G$14)+IF((AF181/AI181&gt;'Parámetros Proyección'!$G$15),0,'Parámetros Proyección'!$G$15)))</f>
        <v/>
      </c>
      <c r="J181" s="35">
        <f>H181+I181</f>
        <v/>
      </c>
      <c r="K181" s="35">
        <f>P180</f>
        <v/>
      </c>
      <c r="L181" s="35">
        <f>K181*(1+'Parámetros Proyección'!$E$12)</f>
        <v/>
      </c>
      <c r="M181" s="35">
        <f>L181*'Parámetros Proyección'!$F$12</f>
        <v/>
      </c>
      <c r="N181" s="35">
        <f>L181+M181</f>
        <v/>
      </c>
      <c r="O181" s="35">
        <f>IF((N181/AI181&gt;'Parámetros Proyección'!$G$12),0,D181*'Parámetros Proyección'!$G$12/(IF((H181/AI181&gt;'Parámetros Proyección'!$G$11),0,'Parámetros Proyección'!$G$11)+IF((N181/AI181&gt;'Parámetros Proyección'!$G$12),0,'Parámetros Proyección'!$G$12)+IF((T181/AI181&gt;'Parámetros Proyección'!$G$13),0,'Parámetros Proyección'!$G$13)+IF((Z181/AI181&gt;'Parámetros Proyección'!$G$14),0,'Parámetros Proyección'!$G$14)+IF((AF181/AI181&gt;'Parámetros Proyección'!$G$15),0,'Parámetros Proyección'!$G$15)))</f>
        <v/>
      </c>
      <c r="P181" s="35">
        <f>N181+O181</f>
        <v/>
      </c>
      <c r="Q181" s="35">
        <f>V180</f>
        <v/>
      </c>
      <c r="R181" s="35">
        <f>Q181*(1+'Parámetros Proyección'!$E$13)</f>
        <v/>
      </c>
      <c r="S181" s="35">
        <f>R181*'Parámetros Proyección'!$F$13</f>
        <v/>
      </c>
      <c r="T181" s="35">
        <f>R181+S181</f>
        <v/>
      </c>
      <c r="U181" s="35">
        <f>IF((T181/AI181&gt;'Parámetros Proyección'!$G$13),0,D181*'Parámetros Proyección'!$G$13/(IF((H181/AI181&gt;'Parámetros Proyección'!$G$11),0,'Parámetros Proyección'!$G$11)+IF((N181/AI181&gt;'Parámetros Proyección'!$G$12),0,'Parámetros Proyección'!$G$12)+IF((T181/AI181&gt;'Parámetros Proyección'!$G$13),0,'Parámetros Proyección'!$G$13)+IF((Z181/AI181&gt;'Parámetros Proyección'!$G$14),0,'Parámetros Proyección'!$G$14)+IF((AF181/AI181&gt;'Parámetros Proyección'!$G$15),0,'Parámetros Proyección'!$G$15)))</f>
        <v/>
      </c>
      <c r="V181" s="35">
        <f>T181+U181</f>
        <v/>
      </c>
      <c r="W181" s="35">
        <f>AB180</f>
        <v/>
      </c>
      <c r="X181" s="35">
        <f>W181*(1+'Parámetros Proyección'!$E$14)</f>
        <v/>
      </c>
      <c r="Y181" s="35">
        <f>X181*'Parámetros Proyección'!$F$14</f>
        <v/>
      </c>
      <c r="Z181" s="35">
        <f>X181+Y181</f>
        <v/>
      </c>
      <c r="AA181" s="35">
        <f>IF((Z181/AI181&gt;'Parámetros Proyección'!$G$14),0,D181*'Parámetros Proyección'!$G$14/(IF((H181/AI181&gt;'Parámetros Proyección'!$G$11),0,'Parámetros Proyección'!$G$11)+IF((N181/AI181&gt;'Parámetros Proyección'!$G$12),0,'Parámetros Proyección'!$G$12)+IF((T181/AI181&gt;'Parámetros Proyección'!$G$13),0,'Parámetros Proyección'!$G$13)+IF((Z181/AI181&gt;'Parámetros Proyección'!$G$14),0,'Parámetros Proyección'!$G$14)+IF((AF181/AI181&gt;'Parámetros Proyección'!$G$15),0,'Parámetros Proyección'!$G$15)))</f>
        <v/>
      </c>
      <c r="AB181" s="35">
        <f>Z181+AA181</f>
        <v/>
      </c>
      <c r="AC181" s="35">
        <f>AH180</f>
        <v/>
      </c>
      <c r="AD181" s="35">
        <f>AC181*(1+'Parámetros Proyección'!$E$15)</f>
        <v/>
      </c>
      <c r="AE181" s="35">
        <f>AD181*'Parámetros Proyección'!$F$15</f>
        <v/>
      </c>
      <c r="AF181" s="35">
        <f>AD181+AE181</f>
        <v/>
      </c>
      <c r="AG181" s="35">
        <f>IF((AF181/AI181&gt;'Parámetros Proyección'!$G$15),0,D181*'Parámetros Proyección'!$G$15/(IF((H181/AI181&gt;'Parámetros Proyección'!$G$11),0,'Parámetros Proyección'!$G$11)+IF((N181/AI181&gt;'Parámetros Proyección'!$G$12),0,'Parámetros Proyección'!$G$12)+IF((T181/AI181&gt;'Parámetros Proyección'!$G$13),0,'Parámetros Proyección'!$G$13)+IF((Z181/AI181&gt;'Parámetros Proyección'!$G$14),0,'Parámetros Proyección'!$G$14)+IF((AF181/AI181&gt;'Parámetros Proyección'!$G$15),0,'Parámetros Proyección'!$G$15)))</f>
        <v/>
      </c>
      <c r="AH181" s="35">
        <f>AF181+AG181</f>
        <v/>
      </c>
      <c r="AI181" s="35">
        <f>H181+N181+T181+Z181+AF181</f>
        <v/>
      </c>
      <c r="AJ181" s="33">
        <f>AF181/AI181</f>
        <v/>
      </c>
      <c r="AK181">
        <f>IF(AJ181&gt;'Parámetros Proyección'!$B$5,1,0)</f>
        <v/>
      </c>
      <c r="AL181" s="35">
        <f>G181+M181+S181+Y181+AE181</f>
        <v/>
      </c>
      <c r="AM181" s="35">
        <f>AM180+D181</f>
        <v/>
      </c>
      <c r="AN181" s="35">
        <f>AN180+AL181</f>
        <v/>
      </c>
      <c r="AO181" s="35">
        <f>J181+P181+V181+AB181+AH181</f>
        <v/>
      </c>
    </row>
    <row r="182">
      <c r="A182" t="n">
        <v>179</v>
      </c>
      <c r="B182" s="34">
        <f>EDATE(B181,1)</f>
        <v/>
      </c>
      <c r="C182">
        <f>YEAR(B182)</f>
        <v/>
      </c>
      <c r="D182" s="35">
        <f>'Parámetros Proyección'!$B$3*(1+'Parámetros Proyección'!$B$4)^(C182-YEAR('Parámetros Proyección'!$B$6))</f>
        <v/>
      </c>
      <c r="E182" s="35">
        <f>J181</f>
        <v/>
      </c>
      <c r="F182" s="35">
        <f>E182*(1+'Parámetros Proyección'!$E$11)</f>
        <v/>
      </c>
      <c r="G182" s="35">
        <f>F182*'Parámetros Proyección'!$F$11</f>
        <v/>
      </c>
      <c r="H182" s="35">
        <f>F182+G182</f>
        <v/>
      </c>
      <c r="I182" s="35">
        <f>IF((H182/AI182&gt;'Parámetros Proyección'!$G$11),0,D182*'Parámetros Proyección'!$G$11/(IF((H182/AI182&gt;'Parámetros Proyección'!$G$11),0,'Parámetros Proyección'!$G$11)+IF((N182/AI182&gt;'Parámetros Proyección'!$G$12),0,'Parámetros Proyección'!$G$12)+IF((T182/AI182&gt;'Parámetros Proyección'!$G$13),0,'Parámetros Proyección'!$G$13)+IF((Z182/AI182&gt;'Parámetros Proyección'!$G$14),0,'Parámetros Proyección'!$G$14)+IF((AF182/AI182&gt;'Parámetros Proyección'!$G$15),0,'Parámetros Proyección'!$G$15)))</f>
        <v/>
      </c>
      <c r="J182" s="35">
        <f>H182+I182</f>
        <v/>
      </c>
      <c r="K182" s="35">
        <f>P181</f>
        <v/>
      </c>
      <c r="L182" s="35">
        <f>K182*(1+'Parámetros Proyección'!$E$12)</f>
        <v/>
      </c>
      <c r="M182" s="35">
        <f>L182*'Parámetros Proyección'!$F$12</f>
        <v/>
      </c>
      <c r="N182" s="35">
        <f>L182+M182</f>
        <v/>
      </c>
      <c r="O182" s="35">
        <f>IF((N182/AI182&gt;'Parámetros Proyección'!$G$12),0,D182*'Parámetros Proyección'!$G$12/(IF((H182/AI182&gt;'Parámetros Proyección'!$G$11),0,'Parámetros Proyección'!$G$11)+IF((N182/AI182&gt;'Parámetros Proyección'!$G$12),0,'Parámetros Proyección'!$G$12)+IF((T182/AI182&gt;'Parámetros Proyección'!$G$13),0,'Parámetros Proyección'!$G$13)+IF((Z182/AI182&gt;'Parámetros Proyección'!$G$14),0,'Parámetros Proyección'!$G$14)+IF((AF182/AI182&gt;'Parámetros Proyección'!$G$15),0,'Parámetros Proyección'!$G$15)))</f>
        <v/>
      </c>
      <c r="P182" s="35">
        <f>N182+O182</f>
        <v/>
      </c>
      <c r="Q182" s="35">
        <f>V181</f>
        <v/>
      </c>
      <c r="R182" s="35">
        <f>Q182*(1+'Parámetros Proyección'!$E$13)</f>
        <v/>
      </c>
      <c r="S182" s="35">
        <f>R182*'Parámetros Proyección'!$F$13</f>
        <v/>
      </c>
      <c r="T182" s="35">
        <f>R182+S182</f>
        <v/>
      </c>
      <c r="U182" s="35">
        <f>IF((T182/AI182&gt;'Parámetros Proyección'!$G$13),0,D182*'Parámetros Proyección'!$G$13/(IF((H182/AI182&gt;'Parámetros Proyección'!$G$11),0,'Parámetros Proyección'!$G$11)+IF((N182/AI182&gt;'Parámetros Proyección'!$G$12),0,'Parámetros Proyección'!$G$12)+IF((T182/AI182&gt;'Parámetros Proyección'!$G$13),0,'Parámetros Proyección'!$G$13)+IF((Z182/AI182&gt;'Parámetros Proyección'!$G$14),0,'Parámetros Proyección'!$G$14)+IF((AF182/AI182&gt;'Parámetros Proyección'!$G$15),0,'Parámetros Proyección'!$G$15)))</f>
        <v/>
      </c>
      <c r="V182" s="35">
        <f>T182+U182</f>
        <v/>
      </c>
      <c r="W182" s="35">
        <f>AB181</f>
        <v/>
      </c>
      <c r="X182" s="35">
        <f>W182*(1+'Parámetros Proyección'!$E$14)</f>
        <v/>
      </c>
      <c r="Y182" s="35">
        <f>X182*'Parámetros Proyección'!$F$14</f>
        <v/>
      </c>
      <c r="Z182" s="35">
        <f>X182+Y182</f>
        <v/>
      </c>
      <c r="AA182" s="35">
        <f>IF((Z182/AI182&gt;'Parámetros Proyección'!$G$14),0,D182*'Parámetros Proyección'!$G$14/(IF((H182/AI182&gt;'Parámetros Proyección'!$G$11),0,'Parámetros Proyección'!$G$11)+IF((N182/AI182&gt;'Parámetros Proyección'!$G$12),0,'Parámetros Proyección'!$G$12)+IF((T182/AI182&gt;'Parámetros Proyección'!$G$13),0,'Parámetros Proyección'!$G$13)+IF((Z182/AI182&gt;'Parámetros Proyección'!$G$14),0,'Parámetros Proyección'!$G$14)+IF((AF182/AI182&gt;'Parámetros Proyección'!$G$15),0,'Parámetros Proyección'!$G$15)))</f>
        <v/>
      </c>
      <c r="AB182" s="35">
        <f>Z182+AA182</f>
        <v/>
      </c>
      <c r="AC182" s="35">
        <f>AH181</f>
        <v/>
      </c>
      <c r="AD182" s="35">
        <f>AC182*(1+'Parámetros Proyección'!$E$15)</f>
        <v/>
      </c>
      <c r="AE182" s="35">
        <f>AD182*'Parámetros Proyección'!$F$15</f>
        <v/>
      </c>
      <c r="AF182" s="35">
        <f>AD182+AE182</f>
        <v/>
      </c>
      <c r="AG182" s="35">
        <f>IF((AF182/AI182&gt;'Parámetros Proyección'!$G$15),0,D182*'Parámetros Proyección'!$G$15/(IF((H182/AI182&gt;'Parámetros Proyección'!$G$11),0,'Parámetros Proyección'!$G$11)+IF((N182/AI182&gt;'Parámetros Proyección'!$G$12),0,'Parámetros Proyección'!$G$12)+IF((T182/AI182&gt;'Parámetros Proyección'!$G$13),0,'Parámetros Proyección'!$G$13)+IF((Z182/AI182&gt;'Parámetros Proyección'!$G$14),0,'Parámetros Proyección'!$G$14)+IF((AF182/AI182&gt;'Parámetros Proyección'!$G$15),0,'Parámetros Proyección'!$G$15)))</f>
        <v/>
      </c>
      <c r="AH182" s="35">
        <f>AF182+AG182</f>
        <v/>
      </c>
      <c r="AI182" s="35">
        <f>H182+N182+T182+Z182+AF182</f>
        <v/>
      </c>
      <c r="AJ182" s="33">
        <f>AF182/AI182</f>
        <v/>
      </c>
      <c r="AK182">
        <f>IF(AJ182&gt;'Parámetros Proyección'!$B$5,1,0)</f>
        <v/>
      </c>
      <c r="AL182" s="35">
        <f>G182+M182+S182+Y182+AE182</f>
        <v/>
      </c>
      <c r="AM182" s="35">
        <f>AM181+D182</f>
        <v/>
      </c>
      <c r="AN182" s="35">
        <f>AN181+AL182</f>
        <v/>
      </c>
      <c r="AO182" s="35">
        <f>J182+P182+V182+AB182+AH182</f>
        <v/>
      </c>
    </row>
    <row r="183">
      <c r="A183" t="n">
        <v>180</v>
      </c>
      <c r="B183" s="34">
        <f>EDATE(B182,1)</f>
        <v/>
      </c>
      <c r="C183">
        <f>YEAR(B183)</f>
        <v/>
      </c>
      <c r="D183" s="35">
        <f>'Parámetros Proyección'!$B$3*(1+'Parámetros Proyección'!$B$4)^(C183-YEAR('Parámetros Proyección'!$B$6))</f>
        <v/>
      </c>
      <c r="E183" s="35">
        <f>J182</f>
        <v/>
      </c>
      <c r="F183" s="35">
        <f>E183*(1+'Parámetros Proyección'!$E$11)</f>
        <v/>
      </c>
      <c r="G183" s="35">
        <f>F183*'Parámetros Proyección'!$F$11</f>
        <v/>
      </c>
      <c r="H183" s="35">
        <f>F183+G183</f>
        <v/>
      </c>
      <c r="I183" s="35">
        <f>IF((H183/AI183&gt;'Parámetros Proyección'!$G$11),0,D183*'Parámetros Proyección'!$G$11/(IF((H183/AI183&gt;'Parámetros Proyección'!$G$11),0,'Parámetros Proyección'!$G$11)+IF((N183/AI183&gt;'Parámetros Proyección'!$G$12),0,'Parámetros Proyección'!$G$12)+IF((T183/AI183&gt;'Parámetros Proyección'!$G$13),0,'Parámetros Proyección'!$G$13)+IF((Z183/AI183&gt;'Parámetros Proyección'!$G$14),0,'Parámetros Proyección'!$G$14)+IF((AF183/AI183&gt;'Parámetros Proyección'!$G$15),0,'Parámetros Proyección'!$G$15)))</f>
        <v/>
      </c>
      <c r="J183" s="35">
        <f>H183+I183</f>
        <v/>
      </c>
      <c r="K183" s="35">
        <f>P182</f>
        <v/>
      </c>
      <c r="L183" s="35">
        <f>K183*(1+'Parámetros Proyección'!$E$12)</f>
        <v/>
      </c>
      <c r="M183" s="35">
        <f>L183*'Parámetros Proyección'!$F$12</f>
        <v/>
      </c>
      <c r="N183" s="35">
        <f>L183+M183</f>
        <v/>
      </c>
      <c r="O183" s="35">
        <f>IF((N183/AI183&gt;'Parámetros Proyección'!$G$12),0,D183*'Parámetros Proyección'!$G$12/(IF((H183/AI183&gt;'Parámetros Proyección'!$G$11),0,'Parámetros Proyección'!$G$11)+IF((N183/AI183&gt;'Parámetros Proyección'!$G$12),0,'Parámetros Proyección'!$G$12)+IF((T183/AI183&gt;'Parámetros Proyección'!$G$13),0,'Parámetros Proyección'!$G$13)+IF((Z183/AI183&gt;'Parámetros Proyección'!$G$14),0,'Parámetros Proyección'!$G$14)+IF((AF183/AI183&gt;'Parámetros Proyección'!$G$15),0,'Parámetros Proyección'!$G$15)))</f>
        <v/>
      </c>
      <c r="P183" s="35">
        <f>N183+O183</f>
        <v/>
      </c>
      <c r="Q183" s="35">
        <f>V182</f>
        <v/>
      </c>
      <c r="R183" s="35">
        <f>Q183*(1+'Parámetros Proyección'!$E$13)</f>
        <v/>
      </c>
      <c r="S183" s="35">
        <f>R183*'Parámetros Proyección'!$F$13</f>
        <v/>
      </c>
      <c r="T183" s="35">
        <f>R183+S183</f>
        <v/>
      </c>
      <c r="U183" s="35">
        <f>IF((T183/AI183&gt;'Parámetros Proyección'!$G$13),0,D183*'Parámetros Proyección'!$G$13/(IF((H183/AI183&gt;'Parámetros Proyección'!$G$11),0,'Parámetros Proyección'!$G$11)+IF((N183/AI183&gt;'Parámetros Proyección'!$G$12),0,'Parámetros Proyección'!$G$12)+IF((T183/AI183&gt;'Parámetros Proyección'!$G$13),0,'Parámetros Proyección'!$G$13)+IF((Z183/AI183&gt;'Parámetros Proyección'!$G$14),0,'Parámetros Proyección'!$G$14)+IF((AF183/AI183&gt;'Parámetros Proyección'!$G$15),0,'Parámetros Proyección'!$G$15)))</f>
        <v/>
      </c>
      <c r="V183" s="35">
        <f>T183+U183</f>
        <v/>
      </c>
      <c r="W183" s="35">
        <f>AB182</f>
        <v/>
      </c>
      <c r="X183" s="35">
        <f>W183*(1+'Parámetros Proyección'!$E$14)</f>
        <v/>
      </c>
      <c r="Y183" s="35">
        <f>X183*'Parámetros Proyección'!$F$14</f>
        <v/>
      </c>
      <c r="Z183" s="35">
        <f>X183+Y183</f>
        <v/>
      </c>
      <c r="AA183" s="35">
        <f>IF((Z183/AI183&gt;'Parámetros Proyección'!$G$14),0,D183*'Parámetros Proyección'!$G$14/(IF((H183/AI183&gt;'Parámetros Proyección'!$G$11),0,'Parámetros Proyección'!$G$11)+IF((N183/AI183&gt;'Parámetros Proyección'!$G$12),0,'Parámetros Proyección'!$G$12)+IF((T183/AI183&gt;'Parámetros Proyección'!$G$13),0,'Parámetros Proyección'!$G$13)+IF((Z183/AI183&gt;'Parámetros Proyección'!$G$14),0,'Parámetros Proyección'!$G$14)+IF((AF183/AI183&gt;'Parámetros Proyección'!$G$15),0,'Parámetros Proyección'!$G$15)))</f>
        <v/>
      </c>
      <c r="AB183" s="35">
        <f>Z183+AA183</f>
        <v/>
      </c>
      <c r="AC183" s="35">
        <f>AH182</f>
        <v/>
      </c>
      <c r="AD183" s="35">
        <f>AC183*(1+'Parámetros Proyección'!$E$15)</f>
        <v/>
      </c>
      <c r="AE183" s="35">
        <f>AD183*'Parámetros Proyección'!$F$15</f>
        <v/>
      </c>
      <c r="AF183" s="35">
        <f>AD183+AE183</f>
        <v/>
      </c>
      <c r="AG183" s="35">
        <f>IF((AF183/AI183&gt;'Parámetros Proyección'!$G$15),0,D183*'Parámetros Proyección'!$G$15/(IF((H183/AI183&gt;'Parámetros Proyección'!$G$11),0,'Parámetros Proyección'!$G$11)+IF((N183/AI183&gt;'Parámetros Proyección'!$G$12),0,'Parámetros Proyección'!$G$12)+IF((T183/AI183&gt;'Parámetros Proyección'!$G$13),0,'Parámetros Proyección'!$G$13)+IF((Z183/AI183&gt;'Parámetros Proyección'!$G$14),0,'Parámetros Proyección'!$G$14)+IF((AF183/AI183&gt;'Parámetros Proyección'!$G$15),0,'Parámetros Proyección'!$G$15)))</f>
        <v/>
      </c>
      <c r="AH183" s="35">
        <f>AF183+AG183</f>
        <v/>
      </c>
      <c r="AI183" s="35">
        <f>H183+N183+T183+Z183+AF183</f>
        <v/>
      </c>
      <c r="AJ183" s="33">
        <f>AF183/AI183</f>
        <v/>
      </c>
      <c r="AK183">
        <f>IF(AJ183&gt;'Parámetros Proyección'!$B$5,1,0)</f>
        <v/>
      </c>
      <c r="AL183" s="35">
        <f>G183+M183+S183+Y183+AE183</f>
        <v/>
      </c>
      <c r="AM183" s="35">
        <f>AM182+D183</f>
        <v/>
      </c>
      <c r="AN183" s="35">
        <f>AN182+AL183</f>
        <v/>
      </c>
      <c r="AO183" s="35">
        <f>J183+P183+V183+AB183+AH183</f>
        <v/>
      </c>
    </row>
    <row r="184">
      <c r="A184" t="n">
        <v>181</v>
      </c>
      <c r="B184" s="34">
        <f>EDATE(B183,1)</f>
        <v/>
      </c>
      <c r="C184">
        <f>YEAR(B184)</f>
        <v/>
      </c>
      <c r="D184" s="35">
        <f>'Parámetros Proyección'!$B$3*(1+'Parámetros Proyección'!$B$4)^(C184-YEAR('Parámetros Proyección'!$B$6))</f>
        <v/>
      </c>
      <c r="E184" s="35">
        <f>J183</f>
        <v/>
      </c>
      <c r="F184" s="35">
        <f>E184*(1+'Parámetros Proyección'!$E$11)</f>
        <v/>
      </c>
      <c r="G184" s="35">
        <f>F184*'Parámetros Proyección'!$F$11</f>
        <v/>
      </c>
      <c r="H184" s="35">
        <f>F184+G184</f>
        <v/>
      </c>
      <c r="I184" s="35">
        <f>IF((H184/AI184&gt;'Parámetros Proyección'!$G$11),0,D184*'Parámetros Proyección'!$G$11/(IF((H184/AI184&gt;'Parámetros Proyección'!$G$11),0,'Parámetros Proyección'!$G$11)+IF((N184/AI184&gt;'Parámetros Proyección'!$G$12),0,'Parámetros Proyección'!$G$12)+IF((T184/AI184&gt;'Parámetros Proyección'!$G$13),0,'Parámetros Proyección'!$G$13)+IF((Z184/AI184&gt;'Parámetros Proyección'!$G$14),0,'Parámetros Proyección'!$G$14)+IF((AF184/AI184&gt;'Parámetros Proyección'!$G$15),0,'Parámetros Proyección'!$G$15)))</f>
        <v/>
      </c>
      <c r="J184" s="35">
        <f>H184+I184</f>
        <v/>
      </c>
      <c r="K184" s="35">
        <f>P183</f>
        <v/>
      </c>
      <c r="L184" s="35">
        <f>K184*(1+'Parámetros Proyección'!$E$12)</f>
        <v/>
      </c>
      <c r="M184" s="35">
        <f>L184*'Parámetros Proyección'!$F$12</f>
        <v/>
      </c>
      <c r="N184" s="35">
        <f>L184+M184</f>
        <v/>
      </c>
      <c r="O184" s="35">
        <f>IF((N184/AI184&gt;'Parámetros Proyección'!$G$12),0,D184*'Parámetros Proyección'!$G$12/(IF((H184/AI184&gt;'Parámetros Proyección'!$G$11),0,'Parámetros Proyección'!$G$11)+IF((N184/AI184&gt;'Parámetros Proyección'!$G$12),0,'Parámetros Proyección'!$G$12)+IF((T184/AI184&gt;'Parámetros Proyección'!$G$13),0,'Parámetros Proyección'!$G$13)+IF((Z184/AI184&gt;'Parámetros Proyección'!$G$14),0,'Parámetros Proyección'!$G$14)+IF((AF184/AI184&gt;'Parámetros Proyección'!$G$15),0,'Parámetros Proyección'!$G$15)))</f>
        <v/>
      </c>
      <c r="P184" s="35">
        <f>N184+O184</f>
        <v/>
      </c>
      <c r="Q184" s="35">
        <f>V183</f>
        <v/>
      </c>
      <c r="R184" s="35">
        <f>Q184*(1+'Parámetros Proyección'!$E$13)</f>
        <v/>
      </c>
      <c r="S184" s="35">
        <f>R184*'Parámetros Proyección'!$F$13</f>
        <v/>
      </c>
      <c r="T184" s="35">
        <f>R184+S184</f>
        <v/>
      </c>
      <c r="U184" s="35">
        <f>IF((T184/AI184&gt;'Parámetros Proyección'!$G$13),0,D184*'Parámetros Proyección'!$G$13/(IF((H184/AI184&gt;'Parámetros Proyección'!$G$11),0,'Parámetros Proyección'!$G$11)+IF((N184/AI184&gt;'Parámetros Proyección'!$G$12),0,'Parámetros Proyección'!$G$12)+IF((T184/AI184&gt;'Parámetros Proyección'!$G$13),0,'Parámetros Proyección'!$G$13)+IF((Z184/AI184&gt;'Parámetros Proyección'!$G$14),0,'Parámetros Proyección'!$G$14)+IF((AF184/AI184&gt;'Parámetros Proyección'!$G$15),0,'Parámetros Proyección'!$G$15)))</f>
        <v/>
      </c>
      <c r="V184" s="35">
        <f>T184+U184</f>
        <v/>
      </c>
      <c r="W184" s="35">
        <f>AB183</f>
        <v/>
      </c>
      <c r="X184" s="35">
        <f>W184*(1+'Parámetros Proyección'!$E$14)</f>
        <v/>
      </c>
      <c r="Y184" s="35">
        <f>X184*'Parámetros Proyección'!$F$14</f>
        <v/>
      </c>
      <c r="Z184" s="35">
        <f>X184+Y184</f>
        <v/>
      </c>
      <c r="AA184" s="35">
        <f>IF((Z184/AI184&gt;'Parámetros Proyección'!$G$14),0,D184*'Parámetros Proyección'!$G$14/(IF((H184/AI184&gt;'Parámetros Proyección'!$G$11),0,'Parámetros Proyección'!$G$11)+IF((N184/AI184&gt;'Parámetros Proyección'!$G$12),0,'Parámetros Proyección'!$G$12)+IF((T184/AI184&gt;'Parámetros Proyección'!$G$13),0,'Parámetros Proyección'!$G$13)+IF((Z184/AI184&gt;'Parámetros Proyección'!$G$14),0,'Parámetros Proyección'!$G$14)+IF((AF184/AI184&gt;'Parámetros Proyección'!$G$15),0,'Parámetros Proyección'!$G$15)))</f>
        <v/>
      </c>
      <c r="AB184" s="35">
        <f>Z184+AA184</f>
        <v/>
      </c>
      <c r="AC184" s="35">
        <f>AH183</f>
        <v/>
      </c>
      <c r="AD184" s="35">
        <f>AC184*(1+'Parámetros Proyección'!$E$15)</f>
        <v/>
      </c>
      <c r="AE184" s="35">
        <f>AD184*'Parámetros Proyección'!$F$15</f>
        <v/>
      </c>
      <c r="AF184" s="35">
        <f>AD184+AE184</f>
        <v/>
      </c>
      <c r="AG184" s="35">
        <f>IF((AF184/AI184&gt;'Parámetros Proyección'!$G$15),0,D184*'Parámetros Proyección'!$G$15/(IF((H184/AI184&gt;'Parámetros Proyección'!$G$11),0,'Parámetros Proyección'!$G$11)+IF((N184/AI184&gt;'Parámetros Proyección'!$G$12),0,'Parámetros Proyección'!$G$12)+IF((T184/AI184&gt;'Parámetros Proyección'!$G$13),0,'Parámetros Proyección'!$G$13)+IF((Z184/AI184&gt;'Parámetros Proyección'!$G$14),0,'Parámetros Proyección'!$G$14)+IF((AF184/AI184&gt;'Parámetros Proyección'!$G$15),0,'Parámetros Proyección'!$G$15)))</f>
        <v/>
      </c>
      <c r="AH184" s="35">
        <f>AF184+AG184</f>
        <v/>
      </c>
      <c r="AI184" s="35">
        <f>H184+N184+T184+Z184+AF184</f>
        <v/>
      </c>
      <c r="AJ184" s="33">
        <f>AF184/AI184</f>
        <v/>
      </c>
      <c r="AK184">
        <f>IF(AJ184&gt;'Parámetros Proyección'!$B$5,1,0)</f>
        <v/>
      </c>
      <c r="AL184" s="35">
        <f>G184+M184+S184+Y184+AE184</f>
        <v/>
      </c>
      <c r="AM184" s="35">
        <f>AM183+D184</f>
        <v/>
      </c>
      <c r="AN184" s="35">
        <f>AN183+AL184</f>
        <v/>
      </c>
      <c r="AO184" s="35">
        <f>J184+P184+V184+AB184+AH184</f>
        <v/>
      </c>
    </row>
    <row r="185">
      <c r="A185" t="n">
        <v>182</v>
      </c>
      <c r="B185" s="34">
        <f>EDATE(B184,1)</f>
        <v/>
      </c>
      <c r="C185">
        <f>YEAR(B185)</f>
        <v/>
      </c>
      <c r="D185" s="35">
        <f>'Parámetros Proyección'!$B$3*(1+'Parámetros Proyección'!$B$4)^(C185-YEAR('Parámetros Proyección'!$B$6))</f>
        <v/>
      </c>
      <c r="E185" s="35">
        <f>J184</f>
        <v/>
      </c>
      <c r="F185" s="35">
        <f>E185*(1+'Parámetros Proyección'!$E$11)</f>
        <v/>
      </c>
      <c r="G185" s="35">
        <f>F185*'Parámetros Proyección'!$F$11</f>
        <v/>
      </c>
      <c r="H185" s="35">
        <f>F185+G185</f>
        <v/>
      </c>
      <c r="I185" s="35">
        <f>IF((H185/AI185&gt;'Parámetros Proyección'!$G$11),0,D185*'Parámetros Proyección'!$G$11/(IF((H185/AI185&gt;'Parámetros Proyección'!$G$11),0,'Parámetros Proyección'!$G$11)+IF((N185/AI185&gt;'Parámetros Proyección'!$G$12),0,'Parámetros Proyección'!$G$12)+IF((T185/AI185&gt;'Parámetros Proyección'!$G$13),0,'Parámetros Proyección'!$G$13)+IF((Z185/AI185&gt;'Parámetros Proyección'!$G$14),0,'Parámetros Proyección'!$G$14)+IF((AF185/AI185&gt;'Parámetros Proyección'!$G$15),0,'Parámetros Proyección'!$G$15)))</f>
        <v/>
      </c>
      <c r="J185" s="35">
        <f>H185+I185</f>
        <v/>
      </c>
      <c r="K185" s="35">
        <f>P184</f>
        <v/>
      </c>
      <c r="L185" s="35">
        <f>K185*(1+'Parámetros Proyección'!$E$12)</f>
        <v/>
      </c>
      <c r="M185" s="35">
        <f>L185*'Parámetros Proyección'!$F$12</f>
        <v/>
      </c>
      <c r="N185" s="35">
        <f>L185+M185</f>
        <v/>
      </c>
      <c r="O185" s="35">
        <f>IF((N185/AI185&gt;'Parámetros Proyección'!$G$12),0,D185*'Parámetros Proyección'!$G$12/(IF((H185/AI185&gt;'Parámetros Proyección'!$G$11),0,'Parámetros Proyección'!$G$11)+IF((N185/AI185&gt;'Parámetros Proyección'!$G$12),0,'Parámetros Proyección'!$G$12)+IF((T185/AI185&gt;'Parámetros Proyección'!$G$13),0,'Parámetros Proyección'!$G$13)+IF((Z185/AI185&gt;'Parámetros Proyección'!$G$14),0,'Parámetros Proyección'!$G$14)+IF((AF185/AI185&gt;'Parámetros Proyección'!$G$15),0,'Parámetros Proyección'!$G$15)))</f>
        <v/>
      </c>
      <c r="P185" s="35">
        <f>N185+O185</f>
        <v/>
      </c>
      <c r="Q185" s="35">
        <f>V184</f>
        <v/>
      </c>
      <c r="R185" s="35">
        <f>Q185*(1+'Parámetros Proyección'!$E$13)</f>
        <v/>
      </c>
      <c r="S185" s="35">
        <f>R185*'Parámetros Proyección'!$F$13</f>
        <v/>
      </c>
      <c r="T185" s="35">
        <f>R185+S185</f>
        <v/>
      </c>
      <c r="U185" s="35">
        <f>IF((T185/AI185&gt;'Parámetros Proyección'!$G$13),0,D185*'Parámetros Proyección'!$G$13/(IF((H185/AI185&gt;'Parámetros Proyección'!$G$11),0,'Parámetros Proyección'!$G$11)+IF((N185/AI185&gt;'Parámetros Proyección'!$G$12),0,'Parámetros Proyección'!$G$12)+IF((T185/AI185&gt;'Parámetros Proyección'!$G$13),0,'Parámetros Proyección'!$G$13)+IF((Z185/AI185&gt;'Parámetros Proyección'!$G$14),0,'Parámetros Proyección'!$G$14)+IF((AF185/AI185&gt;'Parámetros Proyección'!$G$15),0,'Parámetros Proyección'!$G$15)))</f>
        <v/>
      </c>
      <c r="V185" s="35">
        <f>T185+U185</f>
        <v/>
      </c>
      <c r="W185" s="35">
        <f>AB184</f>
        <v/>
      </c>
      <c r="X185" s="35">
        <f>W185*(1+'Parámetros Proyección'!$E$14)</f>
        <v/>
      </c>
      <c r="Y185" s="35">
        <f>X185*'Parámetros Proyección'!$F$14</f>
        <v/>
      </c>
      <c r="Z185" s="35">
        <f>X185+Y185</f>
        <v/>
      </c>
      <c r="AA185" s="35">
        <f>IF((Z185/AI185&gt;'Parámetros Proyección'!$G$14),0,D185*'Parámetros Proyección'!$G$14/(IF((H185/AI185&gt;'Parámetros Proyección'!$G$11),0,'Parámetros Proyección'!$G$11)+IF((N185/AI185&gt;'Parámetros Proyección'!$G$12),0,'Parámetros Proyección'!$G$12)+IF((T185/AI185&gt;'Parámetros Proyección'!$G$13),0,'Parámetros Proyección'!$G$13)+IF((Z185/AI185&gt;'Parámetros Proyección'!$G$14),0,'Parámetros Proyección'!$G$14)+IF((AF185/AI185&gt;'Parámetros Proyección'!$G$15),0,'Parámetros Proyección'!$G$15)))</f>
        <v/>
      </c>
      <c r="AB185" s="35">
        <f>Z185+AA185</f>
        <v/>
      </c>
      <c r="AC185" s="35">
        <f>AH184</f>
        <v/>
      </c>
      <c r="AD185" s="35">
        <f>AC185*(1+'Parámetros Proyección'!$E$15)</f>
        <v/>
      </c>
      <c r="AE185" s="35">
        <f>AD185*'Parámetros Proyección'!$F$15</f>
        <v/>
      </c>
      <c r="AF185" s="35">
        <f>AD185+AE185</f>
        <v/>
      </c>
      <c r="AG185" s="35">
        <f>IF((AF185/AI185&gt;'Parámetros Proyección'!$G$15),0,D185*'Parámetros Proyección'!$G$15/(IF((H185/AI185&gt;'Parámetros Proyección'!$G$11),0,'Parámetros Proyección'!$G$11)+IF((N185/AI185&gt;'Parámetros Proyección'!$G$12),0,'Parámetros Proyección'!$G$12)+IF((T185/AI185&gt;'Parámetros Proyección'!$G$13),0,'Parámetros Proyección'!$G$13)+IF((Z185/AI185&gt;'Parámetros Proyección'!$G$14),0,'Parámetros Proyección'!$G$14)+IF((AF185/AI185&gt;'Parámetros Proyección'!$G$15),0,'Parámetros Proyección'!$G$15)))</f>
        <v/>
      </c>
      <c r="AH185" s="35">
        <f>AF185+AG185</f>
        <v/>
      </c>
      <c r="AI185" s="35">
        <f>H185+N185+T185+Z185+AF185</f>
        <v/>
      </c>
      <c r="AJ185" s="33">
        <f>AF185/AI185</f>
        <v/>
      </c>
      <c r="AK185">
        <f>IF(AJ185&gt;'Parámetros Proyección'!$B$5,1,0)</f>
        <v/>
      </c>
      <c r="AL185" s="35">
        <f>G185+M185+S185+Y185+AE185</f>
        <v/>
      </c>
      <c r="AM185" s="35">
        <f>AM184+D185</f>
        <v/>
      </c>
      <c r="AN185" s="35">
        <f>AN184+AL185</f>
        <v/>
      </c>
      <c r="AO185" s="35">
        <f>J185+P185+V185+AB185+AH185</f>
        <v/>
      </c>
    </row>
    <row r="186">
      <c r="A186" t="n">
        <v>183</v>
      </c>
      <c r="B186" s="34">
        <f>EDATE(B185,1)</f>
        <v/>
      </c>
      <c r="C186">
        <f>YEAR(B186)</f>
        <v/>
      </c>
      <c r="D186" s="35">
        <f>'Parámetros Proyección'!$B$3*(1+'Parámetros Proyección'!$B$4)^(C186-YEAR('Parámetros Proyección'!$B$6))</f>
        <v/>
      </c>
      <c r="E186" s="35">
        <f>J185</f>
        <v/>
      </c>
      <c r="F186" s="35">
        <f>E186*(1+'Parámetros Proyección'!$E$11)</f>
        <v/>
      </c>
      <c r="G186" s="35">
        <f>F186*'Parámetros Proyección'!$F$11</f>
        <v/>
      </c>
      <c r="H186" s="35">
        <f>F186+G186</f>
        <v/>
      </c>
      <c r="I186" s="35">
        <f>IF((H186/AI186&gt;'Parámetros Proyección'!$G$11),0,D186*'Parámetros Proyección'!$G$11/(IF((H186/AI186&gt;'Parámetros Proyección'!$G$11),0,'Parámetros Proyección'!$G$11)+IF((N186/AI186&gt;'Parámetros Proyección'!$G$12),0,'Parámetros Proyección'!$G$12)+IF((T186/AI186&gt;'Parámetros Proyección'!$G$13),0,'Parámetros Proyección'!$G$13)+IF((Z186/AI186&gt;'Parámetros Proyección'!$G$14),0,'Parámetros Proyección'!$G$14)+IF((AF186/AI186&gt;'Parámetros Proyección'!$G$15),0,'Parámetros Proyección'!$G$15)))</f>
        <v/>
      </c>
      <c r="J186" s="35">
        <f>H186+I186</f>
        <v/>
      </c>
      <c r="K186" s="35">
        <f>P185</f>
        <v/>
      </c>
      <c r="L186" s="35">
        <f>K186*(1+'Parámetros Proyección'!$E$12)</f>
        <v/>
      </c>
      <c r="M186" s="35">
        <f>L186*'Parámetros Proyección'!$F$12</f>
        <v/>
      </c>
      <c r="N186" s="35">
        <f>L186+M186</f>
        <v/>
      </c>
      <c r="O186" s="35">
        <f>IF((N186/AI186&gt;'Parámetros Proyección'!$G$12),0,D186*'Parámetros Proyección'!$G$12/(IF((H186/AI186&gt;'Parámetros Proyección'!$G$11),0,'Parámetros Proyección'!$G$11)+IF((N186/AI186&gt;'Parámetros Proyección'!$G$12),0,'Parámetros Proyección'!$G$12)+IF((T186/AI186&gt;'Parámetros Proyección'!$G$13),0,'Parámetros Proyección'!$G$13)+IF((Z186/AI186&gt;'Parámetros Proyección'!$G$14),0,'Parámetros Proyección'!$G$14)+IF((AF186/AI186&gt;'Parámetros Proyección'!$G$15),0,'Parámetros Proyección'!$G$15)))</f>
        <v/>
      </c>
      <c r="P186" s="35">
        <f>N186+O186</f>
        <v/>
      </c>
      <c r="Q186" s="35">
        <f>V185</f>
        <v/>
      </c>
      <c r="R186" s="35">
        <f>Q186*(1+'Parámetros Proyección'!$E$13)</f>
        <v/>
      </c>
      <c r="S186" s="35">
        <f>R186*'Parámetros Proyección'!$F$13</f>
        <v/>
      </c>
      <c r="T186" s="35">
        <f>R186+S186</f>
        <v/>
      </c>
      <c r="U186" s="35">
        <f>IF((T186/AI186&gt;'Parámetros Proyección'!$G$13),0,D186*'Parámetros Proyección'!$G$13/(IF((H186/AI186&gt;'Parámetros Proyección'!$G$11),0,'Parámetros Proyección'!$G$11)+IF((N186/AI186&gt;'Parámetros Proyección'!$G$12),0,'Parámetros Proyección'!$G$12)+IF((T186/AI186&gt;'Parámetros Proyección'!$G$13),0,'Parámetros Proyección'!$G$13)+IF((Z186/AI186&gt;'Parámetros Proyección'!$G$14),0,'Parámetros Proyección'!$G$14)+IF((AF186/AI186&gt;'Parámetros Proyección'!$G$15),0,'Parámetros Proyección'!$G$15)))</f>
        <v/>
      </c>
      <c r="V186" s="35">
        <f>T186+U186</f>
        <v/>
      </c>
      <c r="W186" s="35">
        <f>AB185</f>
        <v/>
      </c>
      <c r="X186" s="35">
        <f>W186*(1+'Parámetros Proyección'!$E$14)</f>
        <v/>
      </c>
      <c r="Y186" s="35">
        <f>X186*'Parámetros Proyección'!$F$14</f>
        <v/>
      </c>
      <c r="Z186" s="35">
        <f>X186+Y186</f>
        <v/>
      </c>
      <c r="AA186" s="35">
        <f>IF((Z186/AI186&gt;'Parámetros Proyección'!$G$14),0,D186*'Parámetros Proyección'!$G$14/(IF((H186/AI186&gt;'Parámetros Proyección'!$G$11),0,'Parámetros Proyección'!$G$11)+IF((N186/AI186&gt;'Parámetros Proyección'!$G$12),0,'Parámetros Proyección'!$G$12)+IF((T186/AI186&gt;'Parámetros Proyección'!$G$13),0,'Parámetros Proyección'!$G$13)+IF((Z186/AI186&gt;'Parámetros Proyección'!$G$14),0,'Parámetros Proyección'!$G$14)+IF((AF186/AI186&gt;'Parámetros Proyección'!$G$15),0,'Parámetros Proyección'!$G$15)))</f>
        <v/>
      </c>
      <c r="AB186" s="35">
        <f>Z186+AA186</f>
        <v/>
      </c>
      <c r="AC186" s="35">
        <f>AH185</f>
        <v/>
      </c>
      <c r="AD186" s="35">
        <f>AC186*(1+'Parámetros Proyección'!$E$15)</f>
        <v/>
      </c>
      <c r="AE186" s="35">
        <f>AD186*'Parámetros Proyección'!$F$15</f>
        <v/>
      </c>
      <c r="AF186" s="35">
        <f>AD186+AE186</f>
        <v/>
      </c>
      <c r="AG186" s="35">
        <f>IF((AF186/AI186&gt;'Parámetros Proyección'!$G$15),0,D186*'Parámetros Proyección'!$G$15/(IF((H186/AI186&gt;'Parámetros Proyección'!$G$11),0,'Parámetros Proyección'!$G$11)+IF((N186/AI186&gt;'Parámetros Proyección'!$G$12),0,'Parámetros Proyección'!$G$12)+IF((T186/AI186&gt;'Parámetros Proyección'!$G$13),0,'Parámetros Proyección'!$G$13)+IF((Z186/AI186&gt;'Parámetros Proyección'!$G$14),0,'Parámetros Proyección'!$G$14)+IF((AF186/AI186&gt;'Parámetros Proyección'!$G$15),0,'Parámetros Proyección'!$G$15)))</f>
        <v/>
      </c>
      <c r="AH186" s="35">
        <f>AF186+AG186</f>
        <v/>
      </c>
      <c r="AI186" s="35">
        <f>H186+N186+T186+Z186+AF186</f>
        <v/>
      </c>
      <c r="AJ186" s="33">
        <f>AF186/AI186</f>
        <v/>
      </c>
      <c r="AK186">
        <f>IF(AJ186&gt;'Parámetros Proyección'!$B$5,1,0)</f>
        <v/>
      </c>
      <c r="AL186" s="35">
        <f>G186+M186+S186+Y186+AE186</f>
        <v/>
      </c>
      <c r="AM186" s="35">
        <f>AM185+D186</f>
        <v/>
      </c>
      <c r="AN186" s="35">
        <f>AN185+AL186</f>
        <v/>
      </c>
      <c r="AO186" s="35">
        <f>J186+P186+V186+AB186+AH186</f>
        <v/>
      </c>
    </row>
    <row r="187">
      <c r="A187" t="n">
        <v>184</v>
      </c>
      <c r="B187" s="34">
        <f>EDATE(B186,1)</f>
        <v/>
      </c>
      <c r="C187">
        <f>YEAR(B187)</f>
        <v/>
      </c>
      <c r="D187" s="35">
        <f>'Parámetros Proyección'!$B$3*(1+'Parámetros Proyección'!$B$4)^(C187-YEAR('Parámetros Proyección'!$B$6))</f>
        <v/>
      </c>
      <c r="E187" s="35">
        <f>J186</f>
        <v/>
      </c>
      <c r="F187" s="35">
        <f>E187*(1+'Parámetros Proyección'!$E$11)</f>
        <v/>
      </c>
      <c r="G187" s="35">
        <f>F187*'Parámetros Proyección'!$F$11</f>
        <v/>
      </c>
      <c r="H187" s="35">
        <f>F187+G187</f>
        <v/>
      </c>
      <c r="I187" s="35">
        <f>IF((H187/AI187&gt;'Parámetros Proyección'!$G$11),0,D187*'Parámetros Proyección'!$G$11/(IF((H187/AI187&gt;'Parámetros Proyección'!$G$11),0,'Parámetros Proyección'!$G$11)+IF((N187/AI187&gt;'Parámetros Proyección'!$G$12),0,'Parámetros Proyección'!$G$12)+IF((T187/AI187&gt;'Parámetros Proyección'!$G$13),0,'Parámetros Proyección'!$G$13)+IF((Z187/AI187&gt;'Parámetros Proyección'!$G$14),0,'Parámetros Proyección'!$G$14)+IF((AF187/AI187&gt;'Parámetros Proyección'!$G$15),0,'Parámetros Proyección'!$G$15)))</f>
        <v/>
      </c>
      <c r="J187" s="35">
        <f>H187+I187</f>
        <v/>
      </c>
      <c r="K187" s="35">
        <f>P186</f>
        <v/>
      </c>
      <c r="L187" s="35">
        <f>K187*(1+'Parámetros Proyección'!$E$12)</f>
        <v/>
      </c>
      <c r="M187" s="35">
        <f>L187*'Parámetros Proyección'!$F$12</f>
        <v/>
      </c>
      <c r="N187" s="35">
        <f>L187+M187</f>
        <v/>
      </c>
      <c r="O187" s="35">
        <f>IF((N187/AI187&gt;'Parámetros Proyección'!$G$12),0,D187*'Parámetros Proyección'!$G$12/(IF((H187/AI187&gt;'Parámetros Proyección'!$G$11),0,'Parámetros Proyección'!$G$11)+IF((N187/AI187&gt;'Parámetros Proyección'!$G$12),0,'Parámetros Proyección'!$G$12)+IF((T187/AI187&gt;'Parámetros Proyección'!$G$13),0,'Parámetros Proyección'!$G$13)+IF((Z187/AI187&gt;'Parámetros Proyección'!$G$14),0,'Parámetros Proyección'!$G$14)+IF((AF187/AI187&gt;'Parámetros Proyección'!$G$15),0,'Parámetros Proyección'!$G$15)))</f>
        <v/>
      </c>
      <c r="P187" s="35">
        <f>N187+O187</f>
        <v/>
      </c>
      <c r="Q187" s="35">
        <f>V186</f>
        <v/>
      </c>
      <c r="R187" s="35">
        <f>Q187*(1+'Parámetros Proyección'!$E$13)</f>
        <v/>
      </c>
      <c r="S187" s="35">
        <f>R187*'Parámetros Proyección'!$F$13</f>
        <v/>
      </c>
      <c r="T187" s="35">
        <f>R187+S187</f>
        <v/>
      </c>
      <c r="U187" s="35">
        <f>IF((T187/AI187&gt;'Parámetros Proyección'!$G$13),0,D187*'Parámetros Proyección'!$G$13/(IF((H187/AI187&gt;'Parámetros Proyección'!$G$11),0,'Parámetros Proyección'!$G$11)+IF((N187/AI187&gt;'Parámetros Proyección'!$G$12),0,'Parámetros Proyección'!$G$12)+IF((T187/AI187&gt;'Parámetros Proyección'!$G$13),0,'Parámetros Proyección'!$G$13)+IF((Z187/AI187&gt;'Parámetros Proyección'!$G$14),0,'Parámetros Proyección'!$G$14)+IF((AF187/AI187&gt;'Parámetros Proyección'!$G$15),0,'Parámetros Proyección'!$G$15)))</f>
        <v/>
      </c>
      <c r="V187" s="35">
        <f>T187+U187</f>
        <v/>
      </c>
      <c r="W187" s="35">
        <f>AB186</f>
        <v/>
      </c>
      <c r="X187" s="35">
        <f>W187*(1+'Parámetros Proyección'!$E$14)</f>
        <v/>
      </c>
      <c r="Y187" s="35">
        <f>X187*'Parámetros Proyección'!$F$14</f>
        <v/>
      </c>
      <c r="Z187" s="35">
        <f>X187+Y187</f>
        <v/>
      </c>
      <c r="AA187" s="35">
        <f>IF((Z187/AI187&gt;'Parámetros Proyección'!$G$14),0,D187*'Parámetros Proyección'!$G$14/(IF((H187/AI187&gt;'Parámetros Proyección'!$G$11),0,'Parámetros Proyección'!$G$11)+IF((N187/AI187&gt;'Parámetros Proyección'!$G$12),0,'Parámetros Proyección'!$G$12)+IF((T187/AI187&gt;'Parámetros Proyección'!$G$13),0,'Parámetros Proyección'!$G$13)+IF((Z187/AI187&gt;'Parámetros Proyección'!$G$14),0,'Parámetros Proyección'!$G$14)+IF((AF187/AI187&gt;'Parámetros Proyección'!$G$15),0,'Parámetros Proyección'!$G$15)))</f>
        <v/>
      </c>
      <c r="AB187" s="35">
        <f>Z187+AA187</f>
        <v/>
      </c>
      <c r="AC187" s="35">
        <f>AH186</f>
        <v/>
      </c>
      <c r="AD187" s="35">
        <f>AC187*(1+'Parámetros Proyección'!$E$15)</f>
        <v/>
      </c>
      <c r="AE187" s="35">
        <f>AD187*'Parámetros Proyección'!$F$15</f>
        <v/>
      </c>
      <c r="AF187" s="35">
        <f>AD187+AE187</f>
        <v/>
      </c>
      <c r="AG187" s="35">
        <f>IF((AF187/AI187&gt;'Parámetros Proyección'!$G$15),0,D187*'Parámetros Proyección'!$G$15/(IF((H187/AI187&gt;'Parámetros Proyección'!$G$11),0,'Parámetros Proyección'!$G$11)+IF((N187/AI187&gt;'Parámetros Proyección'!$G$12),0,'Parámetros Proyección'!$G$12)+IF((T187/AI187&gt;'Parámetros Proyección'!$G$13),0,'Parámetros Proyección'!$G$13)+IF((Z187/AI187&gt;'Parámetros Proyección'!$G$14),0,'Parámetros Proyección'!$G$14)+IF((AF187/AI187&gt;'Parámetros Proyección'!$G$15),0,'Parámetros Proyección'!$G$15)))</f>
        <v/>
      </c>
      <c r="AH187" s="35">
        <f>AF187+AG187</f>
        <v/>
      </c>
      <c r="AI187" s="35">
        <f>H187+N187+T187+Z187+AF187</f>
        <v/>
      </c>
      <c r="AJ187" s="33">
        <f>AF187/AI187</f>
        <v/>
      </c>
      <c r="AK187">
        <f>IF(AJ187&gt;'Parámetros Proyección'!$B$5,1,0)</f>
        <v/>
      </c>
      <c r="AL187" s="35">
        <f>G187+M187+S187+Y187+AE187</f>
        <v/>
      </c>
      <c r="AM187" s="35">
        <f>AM186+D187</f>
        <v/>
      </c>
      <c r="AN187" s="35">
        <f>AN186+AL187</f>
        <v/>
      </c>
      <c r="AO187" s="35">
        <f>J187+P187+V187+AB187+AH187</f>
        <v/>
      </c>
    </row>
    <row r="188">
      <c r="A188" t="n">
        <v>185</v>
      </c>
      <c r="B188" s="34">
        <f>EDATE(B187,1)</f>
        <v/>
      </c>
      <c r="C188">
        <f>YEAR(B188)</f>
        <v/>
      </c>
      <c r="D188" s="35">
        <f>'Parámetros Proyección'!$B$3*(1+'Parámetros Proyección'!$B$4)^(C188-YEAR('Parámetros Proyección'!$B$6))</f>
        <v/>
      </c>
      <c r="E188" s="35">
        <f>J187</f>
        <v/>
      </c>
      <c r="F188" s="35">
        <f>E188*(1+'Parámetros Proyección'!$E$11)</f>
        <v/>
      </c>
      <c r="G188" s="35">
        <f>F188*'Parámetros Proyección'!$F$11</f>
        <v/>
      </c>
      <c r="H188" s="35">
        <f>F188+G188</f>
        <v/>
      </c>
      <c r="I188" s="35">
        <f>IF((H188/AI188&gt;'Parámetros Proyección'!$G$11),0,D188*'Parámetros Proyección'!$G$11/(IF((H188/AI188&gt;'Parámetros Proyección'!$G$11),0,'Parámetros Proyección'!$G$11)+IF((N188/AI188&gt;'Parámetros Proyección'!$G$12),0,'Parámetros Proyección'!$G$12)+IF((T188/AI188&gt;'Parámetros Proyección'!$G$13),0,'Parámetros Proyección'!$G$13)+IF((Z188/AI188&gt;'Parámetros Proyección'!$G$14),0,'Parámetros Proyección'!$G$14)+IF((AF188/AI188&gt;'Parámetros Proyección'!$G$15),0,'Parámetros Proyección'!$G$15)))</f>
        <v/>
      </c>
      <c r="J188" s="35">
        <f>H188+I188</f>
        <v/>
      </c>
      <c r="K188" s="35">
        <f>P187</f>
        <v/>
      </c>
      <c r="L188" s="35">
        <f>K188*(1+'Parámetros Proyección'!$E$12)</f>
        <v/>
      </c>
      <c r="M188" s="35">
        <f>L188*'Parámetros Proyección'!$F$12</f>
        <v/>
      </c>
      <c r="N188" s="35">
        <f>L188+M188</f>
        <v/>
      </c>
      <c r="O188" s="35">
        <f>IF((N188/AI188&gt;'Parámetros Proyección'!$G$12),0,D188*'Parámetros Proyección'!$G$12/(IF((H188/AI188&gt;'Parámetros Proyección'!$G$11),0,'Parámetros Proyección'!$G$11)+IF((N188/AI188&gt;'Parámetros Proyección'!$G$12),0,'Parámetros Proyección'!$G$12)+IF((T188/AI188&gt;'Parámetros Proyección'!$G$13),0,'Parámetros Proyección'!$G$13)+IF((Z188/AI188&gt;'Parámetros Proyección'!$G$14),0,'Parámetros Proyección'!$G$14)+IF((AF188/AI188&gt;'Parámetros Proyección'!$G$15),0,'Parámetros Proyección'!$G$15)))</f>
        <v/>
      </c>
      <c r="P188" s="35">
        <f>N188+O188</f>
        <v/>
      </c>
      <c r="Q188" s="35">
        <f>V187</f>
        <v/>
      </c>
      <c r="R188" s="35">
        <f>Q188*(1+'Parámetros Proyección'!$E$13)</f>
        <v/>
      </c>
      <c r="S188" s="35">
        <f>R188*'Parámetros Proyección'!$F$13</f>
        <v/>
      </c>
      <c r="T188" s="35">
        <f>R188+S188</f>
        <v/>
      </c>
      <c r="U188" s="35">
        <f>IF((T188/AI188&gt;'Parámetros Proyección'!$G$13),0,D188*'Parámetros Proyección'!$G$13/(IF((H188/AI188&gt;'Parámetros Proyección'!$G$11),0,'Parámetros Proyección'!$G$11)+IF((N188/AI188&gt;'Parámetros Proyección'!$G$12),0,'Parámetros Proyección'!$G$12)+IF((T188/AI188&gt;'Parámetros Proyección'!$G$13),0,'Parámetros Proyección'!$G$13)+IF((Z188/AI188&gt;'Parámetros Proyección'!$G$14),0,'Parámetros Proyección'!$G$14)+IF((AF188/AI188&gt;'Parámetros Proyección'!$G$15),0,'Parámetros Proyección'!$G$15)))</f>
        <v/>
      </c>
      <c r="V188" s="35">
        <f>T188+U188</f>
        <v/>
      </c>
      <c r="W188" s="35">
        <f>AB187</f>
        <v/>
      </c>
      <c r="X188" s="35">
        <f>W188*(1+'Parámetros Proyección'!$E$14)</f>
        <v/>
      </c>
      <c r="Y188" s="35">
        <f>X188*'Parámetros Proyección'!$F$14</f>
        <v/>
      </c>
      <c r="Z188" s="35">
        <f>X188+Y188</f>
        <v/>
      </c>
      <c r="AA188" s="35">
        <f>IF((Z188/AI188&gt;'Parámetros Proyección'!$G$14),0,D188*'Parámetros Proyección'!$G$14/(IF((H188/AI188&gt;'Parámetros Proyección'!$G$11),0,'Parámetros Proyección'!$G$11)+IF((N188/AI188&gt;'Parámetros Proyección'!$G$12),0,'Parámetros Proyección'!$G$12)+IF((T188/AI188&gt;'Parámetros Proyección'!$G$13),0,'Parámetros Proyección'!$G$13)+IF((Z188/AI188&gt;'Parámetros Proyección'!$G$14),0,'Parámetros Proyección'!$G$14)+IF((AF188/AI188&gt;'Parámetros Proyección'!$G$15),0,'Parámetros Proyección'!$G$15)))</f>
        <v/>
      </c>
      <c r="AB188" s="35">
        <f>Z188+AA188</f>
        <v/>
      </c>
      <c r="AC188" s="35">
        <f>AH187</f>
        <v/>
      </c>
      <c r="AD188" s="35">
        <f>AC188*(1+'Parámetros Proyección'!$E$15)</f>
        <v/>
      </c>
      <c r="AE188" s="35">
        <f>AD188*'Parámetros Proyección'!$F$15</f>
        <v/>
      </c>
      <c r="AF188" s="35">
        <f>AD188+AE188</f>
        <v/>
      </c>
      <c r="AG188" s="35">
        <f>IF((AF188/AI188&gt;'Parámetros Proyección'!$G$15),0,D188*'Parámetros Proyección'!$G$15/(IF((H188/AI188&gt;'Parámetros Proyección'!$G$11),0,'Parámetros Proyección'!$G$11)+IF((N188/AI188&gt;'Parámetros Proyección'!$G$12),0,'Parámetros Proyección'!$G$12)+IF((T188/AI188&gt;'Parámetros Proyección'!$G$13),0,'Parámetros Proyección'!$G$13)+IF((Z188/AI188&gt;'Parámetros Proyección'!$G$14),0,'Parámetros Proyección'!$G$14)+IF((AF188/AI188&gt;'Parámetros Proyección'!$G$15),0,'Parámetros Proyección'!$G$15)))</f>
        <v/>
      </c>
      <c r="AH188" s="35">
        <f>AF188+AG188</f>
        <v/>
      </c>
      <c r="AI188" s="35">
        <f>H188+N188+T188+Z188+AF188</f>
        <v/>
      </c>
      <c r="AJ188" s="33">
        <f>AF188/AI188</f>
        <v/>
      </c>
      <c r="AK188">
        <f>IF(AJ188&gt;'Parámetros Proyección'!$B$5,1,0)</f>
        <v/>
      </c>
      <c r="AL188" s="35">
        <f>G188+M188+S188+Y188+AE188</f>
        <v/>
      </c>
      <c r="AM188" s="35">
        <f>AM187+D188</f>
        <v/>
      </c>
      <c r="AN188" s="35">
        <f>AN187+AL188</f>
        <v/>
      </c>
      <c r="AO188" s="35">
        <f>J188+P188+V188+AB188+AH188</f>
        <v/>
      </c>
    </row>
    <row r="189">
      <c r="A189" t="n">
        <v>186</v>
      </c>
      <c r="B189" s="34">
        <f>EDATE(B188,1)</f>
        <v/>
      </c>
      <c r="C189">
        <f>YEAR(B189)</f>
        <v/>
      </c>
      <c r="D189" s="35">
        <f>'Parámetros Proyección'!$B$3*(1+'Parámetros Proyección'!$B$4)^(C189-YEAR('Parámetros Proyección'!$B$6))</f>
        <v/>
      </c>
      <c r="E189" s="35">
        <f>J188</f>
        <v/>
      </c>
      <c r="F189" s="35">
        <f>E189*(1+'Parámetros Proyección'!$E$11)</f>
        <v/>
      </c>
      <c r="G189" s="35">
        <f>F189*'Parámetros Proyección'!$F$11</f>
        <v/>
      </c>
      <c r="H189" s="35">
        <f>F189+G189</f>
        <v/>
      </c>
      <c r="I189" s="35">
        <f>IF((H189/AI189&gt;'Parámetros Proyección'!$G$11),0,D189*'Parámetros Proyección'!$G$11/(IF((H189/AI189&gt;'Parámetros Proyección'!$G$11),0,'Parámetros Proyección'!$G$11)+IF((N189/AI189&gt;'Parámetros Proyección'!$G$12),0,'Parámetros Proyección'!$G$12)+IF((T189/AI189&gt;'Parámetros Proyección'!$G$13),0,'Parámetros Proyección'!$G$13)+IF((Z189/AI189&gt;'Parámetros Proyección'!$G$14),0,'Parámetros Proyección'!$G$14)+IF((AF189/AI189&gt;'Parámetros Proyección'!$G$15),0,'Parámetros Proyección'!$G$15)))</f>
        <v/>
      </c>
      <c r="J189" s="35">
        <f>H189+I189</f>
        <v/>
      </c>
      <c r="K189" s="35">
        <f>P188</f>
        <v/>
      </c>
      <c r="L189" s="35">
        <f>K189*(1+'Parámetros Proyección'!$E$12)</f>
        <v/>
      </c>
      <c r="M189" s="35">
        <f>L189*'Parámetros Proyección'!$F$12</f>
        <v/>
      </c>
      <c r="N189" s="35">
        <f>L189+M189</f>
        <v/>
      </c>
      <c r="O189" s="35">
        <f>IF((N189/AI189&gt;'Parámetros Proyección'!$G$12),0,D189*'Parámetros Proyección'!$G$12/(IF((H189/AI189&gt;'Parámetros Proyección'!$G$11),0,'Parámetros Proyección'!$G$11)+IF((N189/AI189&gt;'Parámetros Proyección'!$G$12),0,'Parámetros Proyección'!$G$12)+IF((T189/AI189&gt;'Parámetros Proyección'!$G$13),0,'Parámetros Proyección'!$G$13)+IF((Z189/AI189&gt;'Parámetros Proyección'!$G$14),0,'Parámetros Proyección'!$G$14)+IF((AF189/AI189&gt;'Parámetros Proyección'!$G$15),0,'Parámetros Proyección'!$G$15)))</f>
        <v/>
      </c>
      <c r="P189" s="35">
        <f>N189+O189</f>
        <v/>
      </c>
      <c r="Q189" s="35">
        <f>V188</f>
        <v/>
      </c>
      <c r="R189" s="35">
        <f>Q189*(1+'Parámetros Proyección'!$E$13)</f>
        <v/>
      </c>
      <c r="S189" s="35">
        <f>R189*'Parámetros Proyección'!$F$13</f>
        <v/>
      </c>
      <c r="T189" s="35">
        <f>R189+S189</f>
        <v/>
      </c>
      <c r="U189" s="35">
        <f>IF((T189/AI189&gt;'Parámetros Proyección'!$G$13),0,D189*'Parámetros Proyección'!$G$13/(IF((H189/AI189&gt;'Parámetros Proyección'!$G$11),0,'Parámetros Proyección'!$G$11)+IF((N189/AI189&gt;'Parámetros Proyección'!$G$12),0,'Parámetros Proyección'!$G$12)+IF((T189/AI189&gt;'Parámetros Proyección'!$G$13),0,'Parámetros Proyección'!$G$13)+IF((Z189/AI189&gt;'Parámetros Proyección'!$G$14),0,'Parámetros Proyección'!$G$14)+IF((AF189/AI189&gt;'Parámetros Proyección'!$G$15),0,'Parámetros Proyección'!$G$15)))</f>
        <v/>
      </c>
      <c r="V189" s="35">
        <f>T189+U189</f>
        <v/>
      </c>
      <c r="W189" s="35">
        <f>AB188</f>
        <v/>
      </c>
      <c r="X189" s="35">
        <f>W189*(1+'Parámetros Proyección'!$E$14)</f>
        <v/>
      </c>
      <c r="Y189" s="35">
        <f>X189*'Parámetros Proyección'!$F$14</f>
        <v/>
      </c>
      <c r="Z189" s="35">
        <f>X189+Y189</f>
        <v/>
      </c>
      <c r="AA189" s="35">
        <f>IF((Z189/AI189&gt;'Parámetros Proyección'!$G$14),0,D189*'Parámetros Proyección'!$G$14/(IF((H189/AI189&gt;'Parámetros Proyección'!$G$11),0,'Parámetros Proyección'!$G$11)+IF((N189/AI189&gt;'Parámetros Proyección'!$G$12),0,'Parámetros Proyección'!$G$12)+IF((T189/AI189&gt;'Parámetros Proyección'!$G$13),0,'Parámetros Proyección'!$G$13)+IF((Z189/AI189&gt;'Parámetros Proyección'!$G$14),0,'Parámetros Proyección'!$G$14)+IF((AF189/AI189&gt;'Parámetros Proyección'!$G$15),0,'Parámetros Proyección'!$G$15)))</f>
        <v/>
      </c>
      <c r="AB189" s="35">
        <f>Z189+AA189</f>
        <v/>
      </c>
      <c r="AC189" s="35">
        <f>AH188</f>
        <v/>
      </c>
      <c r="AD189" s="35">
        <f>AC189*(1+'Parámetros Proyección'!$E$15)</f>
        <v/>
      </c>
      <c r="AE189" s="35">
        <f>AD189*'Parámetros Proyección'!$F$15</f>
        <v/>
      </c>
      <c r="AF189" s="35">
        <f>AD189+AE189</f>
        <v/>
      </c>
      <c r="AG189" s="35">
        <f>IF((AF189/AI189&gt;'Parámetros Proyección'!$G$15),0,D189*'Parámetros Proyección'!$G$15/(IF((H189/AI189&gt;'Parámetros Proyección'!$G$11),0,'Parámetros Proyección'!$G$11)+IF((N189/AI189&gt;'Parámetros Proyección'!$G$12),0,'Parámetros Proyección'!$G$12)+IF((T189/AI189&gt;'Parámetros Proyección'!$G$13),0,'Parámetros Proyección'!$G$13)+IF((Z189/AI189&gt;'Parámetros Proyección'!$G$14),0,'Parámetros Proyección'!$G$14)+IF((AF189/AI189&gt;'Parámetros Proyección'!$G$15),0,'Parámetros Proyección'!$G$15)))</f>
        <v/>
      </c>
      <c r="AH189" s="35">
        <f>AF189+AG189</f>
        <v/>
      </c>
      <c r="AI189" s="35">
        <f>H189+N189+T189+Z189+AF189</f>
        <v/>
      </c>
      <c r="AJ189" s="33">
        <f>AF189/AI189</f>
        <v/>
      </c>
      <c r="AK189">
        <f>IF(AJ189&gt;'Parámetros Proyección'!$B$5,1,0)</f>
        <v/>
      </c>
      <c r="AL189" s="35">
        <f>G189+M189+S189+Y189+AE189</f>
        <v/>
      </c>
      <c r="AM189" s="35">
        <f>AM188+D189</f>
        <v/>
      </c>
      <c r="AN189" s="35">
        <f>AN188+AL189</f>
        <v/>
      </c>
      <c r="AO189" s="35">
        <f>J189+P189+V189+AB189+AH189</f>
        <v/>
      </c>
    </row>
    <row r="190">
      <c r="A190" t="n">
        <v>187</v>
      </c>
      <c r="B190" s="34">
        <f>EDATE(B189,1)</f>
        <v/>
      </c>
      <c r="C190">
        <f>YEAR(B190)</f>
        <v/>
      </c>
      <c r="D190" s="35">
        <f>'Parámetros Proyección'!$B$3*(1+'Parámetros Proyección'!$B$4)^(C190-YEAR('Parámetros Proyección'!$B$6))</f>
        <v/>
      </c>
      <c r="E190" s="35">
        <f>J189</f>
        <v/>
      </c>
      <c r="F190" s="35">
        <f>E190*(1+'Parámetros Proyección'!$E$11)</f>
        <v/>
      </c>
      <c r="G190" s="35">
        <f>F190*'Parámetros Proyección'!$F$11</f>
        <v/>
      </c>
      <c r="H190" s="35">
        <f>F190+G190</f>
        <v/>
      </c>
      <c r="I190" s="35">
        <f>IF((H190/AI190&gt;'Parámetros Proyección'!$G$11),0,D190*'Parámetros Proyección'!$G$11/(IF((H190/AI190&gt;'Parámetros Proyección'!$G$11),0,'Parámetros Proyección'!$G$11)+IF((N190/AI190&gt;'Parámetros Proyección'!$G$12),0,'Parámetros Proyección'!$G$12)+IF((T190/AI190&gt;'Parámetros Proyección'!$G$13),0,'Parámetros Proyección'!$G$13)+IF((Z190/AI190&gt;'Parámetros Proyección'!$G$14),0,'Parámetros Proyección'!$G$14)+IF((AF190/AI190&gt;'Parámetros Proyección'!$G$15),0,'Parámetros Proyección'!$G$15)))</f>
        <v/>
      </c>
      <c r="J190" s="35">
        <f>H190+I190</f>
        <v/>
      </c>
      <c r="K190" s="35">
        <f>P189</f>
        <v/>
      </c>
      <c r="L190" s="35">
        <f>K190*(1+'Parámetros Proyección'!$E$12)</f>
        <v/>
      </c>
      <c r="M190" s="35">
        <f>L190*'Parámetros Proyección'!$F$12</f>
        <v/>
      </c>
      <c r="N190" s="35">
        <f>L190+M190</f>
        <v/>
      </c>
      <c r="O190" s="35">
        <f>IF((N190/AI190&gt;'Parámetros Proyección'!$G$12),0,D190*'Parámetros Proyección'!$G$12/(IF((H190/AI190&gt;'Parámetros Proyección'!$G$11),0,'Parámetros Proyección'!$G$11)+IF((N190/AI190&gt;'Parámetros Proyección'!$G$12),0,'Parámetros Proyección'!$G$12)+IF((T190/AI190&gt;'Parámetros Proyección'!$G$13),0,'Parámetros Proyección'!$G$13)+IF((Z190/AI190&gt;'Parámetros Proyección'!$G$14),0,'Parámetros Proyección'!$G$14)+IF((AF190/AI190&gt;'Parámetros Proyección'!$G$15),0,'Parámetros Proyección'!$G$15)))</f>
        <v/>
      </c>
      <c r="P190" s="35">
        <f>N190+O190</f>
        <v/>
      </c>
      <c r="Q190" s="35">
        <f>V189</f>
        <v/>
      </c>
      <c r="R190" s="35">
        <f>Q190*(1+'Parámetros Proyección'!$E$13)</f>
        <v/>
      </c>
      <c r="S190" s="35">
        <f>R190*'Parámetros Proyección'!$F$13</f>
        <v/>
      </c>
      <c r="T190" s="35">
        <f>R190+S190</f>
        <v/>
      </c>
      <c r="U190" s="35">
        <f>IF((T190/AI190&gt;'Parámetros Proyección'!$G$13),0,D190*'Parámetros Proyección'!$G$13/(IF((H190/AI190&gt;'Parámetros Proyección'!$G$11),0,'Parámetros Proyección'!$G$11)+IF((N190/AI190&gt;'Parámetros Proyección'!$G$12),0,'Parámetros Proyección'!$G$12)+IF((T190/AI190&gt;'Parámetros Proyección'!$G$13),0,'Parámetros Proyección'!$G$13)+IF((Z190/AI190&gt;'Parámetros Proyección'!$G$14),0,'Parámetros Proyección'!$G$14)+IF((AF190/AI190&gt;'Parámetros Proyección'!$G$15),0,'Parámetros Proyección'!$G$15)))</f>
        <v/>
      </c>
      <c r="V190" s="35">
        <f>T190+U190</f>
        <v/>
      </c>
      <c r="W190" s="35">
        <f>AB189</f>
        <v/>
      </c>
      <c r="X190" s="35">
        <f>W190*(1+'Parámetros Proyección'!$E$14)</f>
        <v/>
      </c>
      <c r="Y190" s="35">
        <f>X190*'Parámetros Proyección'!$F$14</f>
        <v/>
      </c>
      <c r="Z190" s="35">
        <f>X190+Y190</f>
        <v/>
      </c>
      <c r="AA190" s="35">
        <f>IF((Z190/AI190&gt;'Parámetros Proyección'!$G$14),0,D190*'Parámetros Proyección'!$G$14/(IF((H190/AI190&gt;'Parámetros Proyección'!$G$11),0,'Parámetros Proyección'!$G$11)+IF((N190/AI190&gt;'Parámetros Proyección'!$G$12),0,'Parámetros Proyección'!$G$12)+IF((T190/AI190&gt;'Parámetros Proyección'!$G$13),0,'Parámetros Proyección'!$G$13)+IF((Z190/AI190&gt;'Parámetros Proyección'!$G$14),0,'Parámetros Proyección'!$G$14)+IF((AF190/AI190&gt;'Parámetros Proyección'!$G$15),0,'Parámetros Proyección'!$G$15)))</f>
        <v/>
      </c>
      <c r="AB190" s="35">
        <f>Z190+AA190</f>
        <v/>
      </c>
      <c r="AC190" s="35">
        <f>AH189</f>
        <v/>
      </c>
      <c r="AD190" s="35">
        <f>AC190*(1+'Parámetros Proyección'!$E$15)</f>
        <v/>
      </c>
      <c r="AE190" s="35">
        <f>AD190*'Parámetros Proyección'!$F$15</f>
        <v/>
      </c>
      <c r="AF190" s="35">
        <f>AD190+AE190</f>
        <v/>
      </c>
      <c r="AG190" s="35">
        <f>IF((AF190/AI190&gt;'Parámetros Proyección'!$G$15),0,D190*'Parámetros Proyección'!$G$15/(IF((H190/AI190&gt;'Parámetros Proyección'!$G$11),0,'Parámetros Proyección'!$G$11)+IF((N190/AI190&gt;'Parámetros Proyección'!$G$12),0,'Parámetros Proyección'!$G$12)+IF((T190/AI190&gt;'Parámetros Proyección'!$G$13),0,'Parámetros Proyección'!$G$13)+IF((Z190/AI190&gt;'Parámetros Proyección'!$G$14),0,'Parámetros Proyección'!$G$14)+IF((AF190/AI190&gt;'Parámetros Proyección'!$G$15),0,'Parámetros Proyección'!$G$15)))</f>
        <v/>
      </c>
      <c r="AH190" s="35">
        <f>AF190+AG190</f>
        <v/>
      </c>
      <c r="AI190" s="35">
        <f>H190+N190+T190+Z190+AF190</f>
        <v/>
      </c>
      <c r="AJ190" s="33">
        <f>AF190/AI190</f>
        <v/>
      </c>
      <c r="AK190">
        <f>IF(AJ190&gt;'Parámetros Proyección'!$B$5,1,0)</f>
        <v/>
      </c>
      <c r="AL190" s="35">
        <f>G190+M190+S190+Y190+AE190</f>
        <v/>
      </c>
      <c r="AM190" s="35">
        <f>AM189+D190</f>
        <v/>
      </c>
      <c r="AN190" s="35">
        <f>AN189+AL190</f>
        <v/>
      </c>
      <c r="AO190" s="35">
        <f>J190+P190+V190+AB190+AH190</f>
        <v/>
      </c>
    </row>
    <row r="191">
      <c r="A191" t="n">
        <v>188</v>
      </c>
      <c r="B191" s="34">
        <f>EDATE(B190,1)</f>
        <v/>
      </c>
      <c r="C191">
        <f>YEAR(B191)</f>
        <v/>
      </c>
      <c r="D191" s="35">
        <f>'Parámetros Proyección'!$B$3*(1+'Parámetros Proyección'!$B$4)^(C191-YEAR('Parámetros Proyección'!$B$6))</f>
        <v/>
      </c>
      <c r="E191" s="35">
        <f>J190</f>
        <v/>
      </c>
      <c r="F191" s="35">
        <f>E191*(1+'Parámetros Proyección'!$E$11)</f>
        <v/>
      </c>
      <c r="G191" s="35">
        <f>F191*'Parámetros Proyección'!$F$11</f>
        <v/>
      </c>
      <c r="H191" s="35">
        <f>F191+G191</f>
        <v/>
      </c>
      <c r="I191" s="35">
        <f>IF((H191/AI191&gt;'Parámetros Proyección'!$G$11),0,D191*'Parámetros Proyección'!$G$11/(IF((H191/AI191&gt;'Parámetros Proyección'!$G$11),0,'Parámetros Proyección'!$G$11)+IF((N191/AI191&gt;'Parámetros Proyección'!$G$12),0,'Parámetros Proyección'!$G$12)+IF((T191/AI191&gt;'Parámetros Proyección'!$G$13),0,'Parámetros Proyección'!$G$13)+IF((Z191/AI191&gt;'Parámetros Proyección'!$G$14),0,'Parámetros Proyección'!$G$14)+IF((AF191/AI191&gt;'Parámetros Proyección'!$G$15),0,'Parámetros Proyección'!$G$15)))</f>
        <v/>
      </c>
      <c r="J191" s="35">
        <f>H191+I191</f>
        <v/>
      </c>
      <c r="K191" s="35">
        <f>P190</f>
        <v/>
      </c>
      <c r="L191" s="35">
        <f>K191*(1+'Parámetros Proyección'!$E$12)</f>
        <v/>
      </c>
      <c r="M191" s="35">
        <f>L191*'Parámetros Proyección'!$F$12</f>
        <v/>
      </c>
      <c r="N191" s="35">
        <f>L191+M191</f>
        <v/>
      </c>
      <c r="O191" s="35">
        <f>IF((N191/AI191&gt;'Parámetros Proyección'!$G$12),0,D191*'Parámetros Proyección'!$G$12/(IF((H191/AI191&gt;'Parámetros Proyección'!$G$11),0,'Parámetros Proyección'!$G$11)+IF((N191/AI191&gt;'Parámetros Proyección'!$G$12),0,'Parámetros Proyección'!$G$12)+IF((T191/AI191&gt;'Parámetros Proyección'!$G$13),0,'Parámetros Proyección'!$G$13)+IF((Z191/AI191&gt;'Parámetros Proyección'!$G$14),0,'Parámetros Proyección'!$G$14)+IF((AF191/AI191&gt;'Parámetros Proyección'!$G$15),0,'Parámetros Proyección'!$G$15)))</f>
        <v/>
      </c>
      <c r="P191" s="35">
        <f>N191+O191</f>
        <v/>
      </c>
      <c r="Q191" s="35">
        <f>V190</f>
        <v/>
      </c>
      <c r="R191" s="35">
        <f>Q191*(1+'Parámetros Proyección'!$E$13)</f>
        <v/>
      </c>
      <c r="S191" s="35">
        <f>R191*'Parámetros Proyección'!$F$13</f>
        <v/>
      </c>
      <c r="T191" s="35">
        <f>R191+S191</f>
        <v/>
      </c>
      <c r="U191" s="35">
        <f>IF((T191/AI191&gt;'Parámetros Proyección'!$G$13),0,D191*'Parámetros Proyección'!$G$13/(IF((H191/AI191&gt;'Parámetros Proyección'!$G$11),0,'Parámetros Proyección'!$G$11)+IF((N191/AI191&gt;'Parámetros Proyección'!$G$12),0,'Parámetros Proyección'!$G$12)+IF((T191/AI191&gt;'Parámetros Proyección'!$G$13),0,'Parámetros Proyección'!$G$13)+IF((Z191/AI191&gt;'Parámetros Proyección'!$G$14),0,'Parámetros Proyección'!$G$14)+IF((AF191/AI191&gt;'Parámetros Proyección'!$G$15),0,'Parámetros Proyección'!$G$15)))</f>
        <v/>
      </c>
      <c r="V191" s="35">
        <f>T191+U191</f>
        <v/>
      </c>
      <c r="W191" s="35">
        <f>AB190</f>
        <v/>
      </c>
      <c r="X191" s="35">
        <f>W191*(1+'Parámetros Proyección'!$E$14)</f>
        <v/>
      </c>
      <c r="Y191" s="35">
        <f>X191*'Parámetros Proyección'!$F$14</f>
        <v/>
      </c>
      <c r="Z191" s="35">
        <f>X191+Y191</f>
        <v/>
      </c>
      <c r="AA191" s="35">
        <f>IF((Z191/AI191&gt;'Parámetros Proyección'!$G$14),0,D191*'Parámetros Proyección'!$G$14/(IF((H191/AI191&gt;'Parámetros Proyección'!$G$11),0,'Parámetros Proyección'!$G$11)+IF((N191/AI191&gt;'Parámetros Proyección'!$G$12),0,'Parámetros Proyección'!$G$12)+IF((T191/AI191&gt;'Parámetros Proyección'!$G$13),0,'Parámetros Proyección'!$G$13)+IF((Z191/AI191&gt;'Parámetros Proyección'!$G$14),0,'Parámetros Proyección'!$G$14)+IF((AF191/AI191&gt;'Parámetros Proyección'!$G$15),0,'Parámetros Proyección'!$G$15)))</f>
        <v/>
      </c>
      <c r="AB191" s="35">
        <f>Z191+AA191</f>
        <v/>
      </c>
      <c r="AC191" s="35">
        <f>AH190</f>
        <v/>
      </c>
      <c r="AD191" s="35">
        <f>AC191*(1+'Parámetros Proyección'!$E$15)</f>
        <v/>
      </c>
      <c r="AE191" s="35">
        <f>AD191*'Parámetros Proyección'!$F$15</f>
        <v/>
      </c>
      <c r="AF191" s="35">
        <f>AD191+AE191</f>
        <v/>
      </c>
      <c r="AG191" s="35">
        <f>IF((AF191/AI191&gt;'Parámetros Proyección'!$G$15),0,D191*'Parámetros Proyección'!$G$15/(IF((H191/AI191&gt;'Parámetros Proyección'!$G$11),0,'Parámetros Proyección'!$G$11)+IF((N191/AI191&gt;'Parámetros Proyección'!$G$12),0,'Parámetros Proyección'!$G$12)+IF((T191/AI191&gt;'Parámetros Proyección'!$G$13),0,'Parámetros Proyección'!$G$13)+IF((Z191/AI191&gt;'Parámetros Proyección'!$G$14),0,'Parámetros Proyección'!$G$14)+IF((AF191/AI191&gt;'Parámetros Proyección'!$G$15),0,'Parámetros Proyección'!$G$15)))</f>
        <v/>
      </c>
      <c r="AH191" s="35">
        <f>AF191+AG191</f>
        <v/>
      </c>
      <c r="AI191" s="35">
        <f>H191+N191+T191+Z191+AF191</f>
        <v/>
      </c>
      <c r="AJ191" s="33">
        <f>AF191/AI191</f>
        <v/>
      </c>
      <c r="AK191">
        <f>IF(AJ191&gt;'Parámetros Proyección'!$B$5,1,0)</f>
        <v/>
      </c>
      <c r="AL191" s="35">
        <f>G191+M191+S191+Y191+AE191</f>
        <v/>
      </c>
      <c r="AM191" s="35">
        <f>AM190+D191</f>
        <v/>
      </c>
      <c r="AN191" s="35">
        <f>AN190+AL191</f>
        <v/>
      </c>
      <c r="AO191" s="35">
        <f>J191+P191+V191+AB191+AH191</f>
        <v/>
      </c>
    </row>
    <row r="192">
      <c r="A192" t="n">
        <v>189</v>
      </c>
      <c r="B192" s="34">
        <f>EDATE(B191,1)</f>
        <v/>
      </c>
      <c r="C192">
        <f>YEAR(B192)</f>
        <v/>
      </c>
      <c r="D192" s="35">
        <f>'Parámetros Proyección'!$B$3*(1+'Parámetros Proyección'!$B$4)^(C192-YEAR('Parámetros Proyección'!$B$6))</f>
        <v/>
      </c>
      <c r="E192" s="35">
        <f>J191</f>
        <v/>
      </c>
      <c r="F192" s="35">
        <f>E192*(1+'Parámetros Proyección'!$E$11)</f>
        <v/>
      </c>
      <c r="G192" s="35">
        <f>F192*'Parámetros Proyección'!$F$11</f>
        <v/>
      </c>
      <c r="H192" s="35">
        <f>F192+G192</f>
        <v/>
      </c>
      <c r="I192" s="35">
        <f>IF((H192/AI192&gt;'Parámetros Proyección'!$G$11),0,D192*'Parámetros Proyección'!$G$11/(IF((H192/AI192&gt;'Parámetros Proyección'!$G$11),0,'Parámetros Proyección'!$G$11)+IF((N192/AI192&gt;'Parámetros Proyección'!$G$12),0,'Parámetros Proyección'!$G$12)+IF((T192/AI192&gt;'Parámetros Proyección'!$G$13),0,'Parámetros Proyección'!$G$13)+IF((Z192/AI192&gt;'Parámetros Proyección'!$G$14),0,'Parámetros Proyección'!$G$14)+IF((AF192/AI192&gt;'Parámetros Proyección'!$G$15),0,'Parámetros Proyección'!$G$15)))</f>
        <v/>
      </c>
      <c r="J192" s="35">
        <f>H192+I192</f>
        <v/>
      </c>
      <c r="K192" s="35">
        <f>P191</f>
        <v/>
      </c>
      <c r="L192" s="35">
        <f>K192*(1+'Parámetros Proyección'!$E$12)</f>
        <v/>
      </c>
      <c r="M192" s="35">
        <f>L192*'Parámetros Proyección'!$F$12</f>
        <v/>
      </c>
      <c r="N192" s="35">
        <f>L192+M192</f>
        <v/>
      </c>
      <c r="O192" s="35">
        <f>IF((N192/AI192&gt;'Parámetros Proyección'!$G$12),0,D192*'Parámetros Proyección'!$G$12/(IF((H192/AI192&gt;'Parámetros Proyección'!$G$11),0,'Parámetros Proyección'!$G$11)+IF((N192/AI192&gt;'Parámetros Proyección'!$G$12),0,'Parámetros Proyección'!$G$12)+IF((T192/AI192&gt;'Parámetros Proyección'!$G$13),0,'Parámetros Proyección'!$G$13)+IF((Z192/AI192&gt;'Parámetros Proyección'!$G$14),0,'Parámetros Proyección'!$G$14)+IF((AF192/AI192&gt;'Parámetros Proyección'!$G$15),0,'Parámetros Proyección'!$G$15)))</f>
        <v/>
      </c>
      <c r="P192" s="35">
        <f>N192+O192</f>
        <v/>
      </c>
      <c r="Q192" s="35">
        <f>V191</f>
        <v/>
      </c>
      <c r="R192" s="35">
        <f>Q192*(1+'Parámetros Proyección'!$E$13)</f>
        <v/>
      </c>
      <c r="S192" s="35">
        <f>R192*'Parámetros Proyección'!$F$13</f>
        <v/>
      </c>
      <c r="T192" s="35">
        <f>R192+S192</f>
        <v/>
      </c>
      <c r="U192" s="35">
        <f>IF((T192/AI192&gt;'Parámetros Proyección'!$G$13),0,D192*'Parámetros Proyección'!$G$13/(IF((H192/AI192&gt;'Parámetros Proyección'!$G$11),0,'Parámetros Proyección'!$G$11)+IF((N192/AI192&gt;'Parámetros Proyección'!$G$12),0,'Parámetros Proyección'!$G$12)+IF((T192/AI192&gt;'Parámetros Proyección'!$G$13),0,'Parámetros Proyección'!$G$13)+IF((Z192/AI192&gt;'Parámetros Proyección'!$G$14),0,'Parámetros Proyección'!$G$14)+IF((AF192/AI192&gt;'Parámetros Proyección'!$G$15),0,'Parámetros Proyección'!$G$15)))</f>
        <v/>
      </c>
      <c r="V192" s="35">
        <f>T192+U192</f>
        <v/>
      </c>
      <c r="W192" s="35">
        <f>AB191</f>
        <v/>
      </c>
      <c r="X192" s="35">
        <f>W192*(1+'Parámetros Proyección'!$E$14)</f>
        <v/>
      </c>
      <c r="Y192" s="35">
        <f>X192*'Parámetros Proyección'!$F$14</f>
        <v/>
      </c>
      <c r="Z192" s="35">
        <f>X192+Y192</f>
        <v/>
      </c>
      <c r="AA192" s="35">
        <f>IF((Z192/AI192&gt;'Parámetros Proyección'!$G$14),0,D192*'Parámetros Proyección'!$G$14/(IF((H192/AI192&gt;'Parámetros Proyección'!$G$11),0,'Parámetros Proyección'!$G$11)+IF((N192/AI192&gt;'Parámetros Proyección'!$G$12),0,'Parámetros Proyección'!$G$12)+IF((T192/AI192&gt;'Parámetros Proyección'!$G$13),0,'Parámetros Proyección'!$G$13)+IF((Z192/AI192&gt;'Parámetros Proyección'!$G$14),0,'Parámetros Proyección'!$G$14)+IF((AF192/AI192&gt;'Parámetros Proyección'!$G$15),0,'Parámetros Proyección'!$G$15)))</f>
        <v/>
      </c>
      <c r="AB192" s="35">
        <f>Z192+AA192</f>
        <v/>
      </c>
      <c r="AC192" s="35">
        <f>AH191</f>
        <v/>
      </c>
      <c r="AD192" s="35">
        <f>AC192*(1+'Parámetros Proyección'!$E$15)</f>
        <v/>
      </c>
      <c r="AE192" s="35">
        <f>AD192*'Parámetros Proyección'!$F$15</f>
        <v/>
      </c>
      <c r="AF192" s="35">
        <f>AD192+AE192</f>
        <v/>
      </c>
      <c r="AG192" s="35">
        <f>IF((AF192/AI192&gt;'Parámetros Proyección'!$G$15),0,D192*'Parámetros Proyección'!$G$15/(IF((H192/AI192&gt;'Parámetros Proyección'!$G$11),0,'Parámetros Proyección'!$G$11)+IF((N192/AI192&gt;'Parámetros Proyección'!$G$12),0,'Parámetros Proyección'!$G$12)+IF((T192/AI192&gt;'Parámetros Proyección'!$G$13),0,'Parámetros Proyección'!$G$13)+IF((Z192/AI192&gt;'Parámetros Proyección'!$G$14),0,'Parámetros Proyección'!$G$14)+IF((AF192/AI192&gt;'Parámetros Proyección'!$G$15),0,'Parámetros Proyección'!$G$15)))</f>
        <v/>
      </c>
      <c r="AH192" s="35">
        <f>AF192+AG192</f>
        <v/>
      </c>
      <c r="AI192" s="35">
        <f>H192+N192+T192+Z192+AF192</f>
        <v/>
      </c>
      <c r="AJ192" s="33">
        <f>AF192/AI192</f>
        <v/>
      </c>
      <c r="AK192">
        <f>IF(AJ192&gt;'Parámetros Proyección'!$B$5,1,0)</f>
        <v/>
      </c>
      <c r="AL192" s="35">
        <f>G192+M192+S192+Y192+AE192</f>
        <v/>
      </c>
      <c r="AM192" s="35">
        <f>AM191+D192</f>
        <v/>
      </c>
      <c r="AN192" s="35">
        <f>AN191+AL192</f>
        <v/>
      </c>
      <c r="AO192" s="35">
        <f>J192+P192+V192+AB192+AH192</f>
        <v/>
      </c>
    </row>
    <row r="193">
      <c r="A193" t="n">
        <v>190</v>
      </c>
      <c r="B193" s="34">
        <f>EDATE(B192,1)</f>
        <v/>
      </c>
      <c r="C193">
        <f>YEAR(B193)</f>
        <v/>
      </c>
      <c r="D193" s="35">
        <f>'Parámetros Proyección'!$B$3*(1+'Parámetros Proyección'!$B$4)^(C193-YEAR('Parámetros Proyección'!$B$6))</f>
        <v/>
      </c>
      <c r="E193" s="35">
        <f>J192</f>
        <v/>
      </c>
      <c r="F193" s="35">
        <f>E193*(1+'Parámetros Proyección'!$E$11)</f>
        <v/>
      </c>
      <c r="G193" s="35">
        <f>F193*'Parámetros Proyección'!$F$11</f>
        <v/>
      </c>
      <c r="H193" s="35">
        <f>F193+G193</f>
        <v/>
      </c>
      <c r="I193" s="35">
        <f>IF((H193/AI193&gt;'Parámetros Proyección'!$G$11),0,D193*'Parámetros Proyección'!$G$11/(IF((H193/AI193&gt;'Parámetros Proyección'!$G$11),0,'Parámetros Proyección'!$G$11)+IF((N193/AI193&gt;'Parámetros Proyección'!$G$12),0,'Parámetros Proyección'!$G$12)+IF((T193/AI193&gt;'Parámetros Proyección'!$G$13),0,'Parámetros Proyección'!$G$13)+IF((Z193/AI193&gt;'Parámetros Proyección'!$G$14),0,'Parámetros Proyección'!$G$14)+IF((AF193/AI193&gt;'Parámetros Proyección'!$G$15),0,'Parámetros Proyección'!$G$15)))</f>
        <v/>
      </c>
      <c r="J193" s="35">
        <f>H193+I193</f>
        <v/>
      </c>
      <c r="K193" s="35">
        <f>P192</f>
        <v/>
      </c>
      <c r="L193" s="35">
        <f>K193*(1+'Parámetros Proyección'!$E$12)</f>
        <v/>
      </c>
      <c r="M193" s="35">
        <f>L193*'Parámetros Proyección'!$F$12</f>
        <v/>
      </c>
      <c r="N193" s="35">
        <f>L193+M193</f>
        <v/>
      </c>
      <c r="O193" s="35">
        <f>IF((N193/AI193&gt;'Parámetros Proyección'!$G$12),0,D193*'Parámetros Proyección'!$G$12/(IF((H193/AI193&gt;'Parámetros Proyección'!$G$11),0,'Parámetros Proyección'!$G$11)+IF((N193/AI193&gt;'Parámetros Proyección'!$G$12),0,'Parámetros Proyección'!$G$12)+IF((T193/AI193&gt;'Parámetros Proyección'!$G$13),0,'Parámetros Proyección'!$G$13)+IF((Z193/AI193&gt;'Parámetros Proyección'!$G$14),0,'Parámetros Proyección'!$G$14)+IF((AF193/AI193&gt;'Parámetros Proyección'!$G$15),0,'Parámetros Proyección'!$G$15)))</f>
        <v/>
      </c>
      <c r="P193" s="35">
        <f>N193+O193</f>
        <v/>
      </c>
      <c r="Q193" s="35">
        <f>V192</f>
        <v/>
      </c>
      <c r="R193" s="35">
        <f>Q193*(1+'Parámetros Proyección'!$E$13)</f>
        <v/>
      </c>
      <c r="S193" s="35">
        <f>R193*'Parámetros Proyección'!$F$13</f>
        <v/>
      </c>
      <c r="T193" s="35">
        <f>R193+S193</f>
        <v/>
      </c>
      <c r="U193" s="35">
        <f>IF((T193/AI193&gt;'Parámetros Proyección'!$G$13),0,D193*'Parámetros Proyección'!$G$13/(IF((H193/AI193&gt;'Parámetros Proyección'!$G$11),0,'Parámetros Proyección'!$G$11)+IF((N193/AI193&gt;'Parámetros Proyección'!$G$12),0,'Parámetros Proyección'!$G$12)+IF((T193/AI193&gt;'Parámetros Proyección'!$G$13),0,'Parámetros Proyección'!$G$13)+IF((Z193/AI193&gt;'Parámetros Proyección'!$G$14),0,'Parámetros Proyección'!$G$14)+IF((AF193/AI193&gt;'Parámetros Proyección'!$G$15),0,'Parámetros Proyección'!$G$15)))</f>
        <v/>
      </c>
      <c r="V193" s="35">
        <f>T193+U193</f>
        <v/>
      </c>
      <c r="W193" s="35">
        <f>AB192</f>
        <v/>
      </c>
      <c r="X193" s="35">
        <f>W193*(1+'Parámetros Proyección'!$E$14)</f>
        <v/>
      </c>
      <c r="Y193" s="35">
        <f>X193*'Parámetros Proyección'!$F$14</f>
        <v/>
      </c>
      <c r="Z193" s="35">
        <f>X193+Y193</f>
        <v/>
      </c>
      <c r="AA193" s="35">
        <f>IF((Z193/AI193&gt;'Parámetros Proyección'!$G$14),0,D193*'Parámetros Proyección'!$G$14/(IF((H193/AI193&gt;'Parámetros Proyección'!$G$11),0,'Parámetros Proyección'!$G$11)+IF((N193/AI193&gt;'Parámetros Proyección'!$G$12),0,'Parámetros Proyección'!$G$12)+IF((T193/AI193&gt;'Parámetros Proyección'!$G$13),0,'Parámetros Proyección'!$G$13)+IF((Z193/AI193&gt;'Parámetros Proyección'!$G$14),0,'Parámetros Proyección'!$G$14)+IF((AF193/AI193&gt;'Parámetros Proyección'!$G$15),0,'Parámetros Proyección'!$G$15)))</f>
        <v/>
      </c>
      <c r="AB193" s="35">
        <f>Z193+AA193</f>
        <v/>
      </c>
      <c r="AC193" s="35">
        <f>AH192</f>
        <v/>
      </c>
      <c r="AD193" s="35">
        <f>AC193*(1+'Parámetros Proyección'!$E$15)</f>
        <v/>
      </c>
      <c r="AE193" s="35">
        <f>AD193*'Parámetros Proyección'!$F$15</f>
        <v/>
      </c>
      <c r="AF193" s="35">
        <f>AD193+AE193</f>
        <v/>
      </c>
      <c r="AG193" s="35">
        <f>IF((AF193/AI193&gt;'Parámetros Proyección'!$G$15),0,D193*'Parámetros Proyección'!$G$15/(IF((H193/AI193&gt;'Parámetros Proyección'!$G$11),0,'Parámetros Proyección'!$G$11)+IF((N193/AI193&gt;'Parámetros Proyección'!$G$12),0,'Parámetros Proyección'!$G$12)+IF((T193/AI193&gt;'Parámetros Proyección'!$G$13),0,'Parámetros Proyección'!$G$13)+IF((Z193/AI193&gt;'Parámetros Proyección'!$G$14),0,'Parámetros Proyección'!$G$14)+IF((AF193/AI193&gt;'Parámetros Proyección'!$G$15),0,'Parámetros Proyección'!$G$15)))</f>
        <v/>
      </c>
      <c r="AH193" s="35">
        <f>AF193+AG193</f>
        <v/>
      </c>
      <c r="AI193" s="35">
        <f>H193+N193+T193+Z193+AF193</f>
        <v/>
      </c>
      <c r="AJ193" s="33">
        <f>AF193/AI193</f>
        <v/>
      </c>
      <c r="AK193">
        <f>IF(AJ193&gt;'Parámetros Proyección'!$B$5,1,0)</f>
        <v/>
      </c>
      <c r="AL193" s="35">
        <f>G193+M193+S193+Y193+AE193</f>
        <v/>
      </c>
      <c r="AM193" s="35">
        <f>AM192+D193</f>
        <v/>
      </c>
      <c r="AN193" s="35">
        <f>AN192+AL193</f>
        <v/>
      </c>
      <c r="AO193" s="35">
        <f>J193+P193+V193+AB193+AH193</f>
        <v/>
      </c>
    </row>
    <row r="194">
      <c r="A194" t="n">
        <v>191</v>
      </c>
      <c r="B194" s="34">
        <f>EDATE(B193,1)</f>
        <v/>
      </c>
      <c r="C194">
        <f>YEAR(B194)</f>
        <v/>
      </c>
      <c r="D194" s="35">
        <f>'Parámetros Proyección'!$B$3*(1+'Parámetros Proyección'!$B$4)^(C194-YEAR('Parámetros Proyección'!$B$6))</f>
        <v/>
      </c>
      <c r="E194" s="35">
        <f>J193</f>
        <v/>
      </c>
      <c r="F194" s="35">
        <f>E194*(1+'Parámetros Proyección'!$E$11)</f>
        <v/>
      </c>
      <c r="G194" s="35">
        <f>F194*'Parámetros Proyección'!$F$11</f>
        <v/>
      </c>
      <c r="H194" s="35">
        <f>F194+G194</f>
        <v/>
      </c>
      <c r="I194" s="35">
        <f>IF((H194/AI194&gt;'Parámetros Proyección'!$G$11),0,D194*'Parámetros Proyección'!$G$11/(IF((H194/AI194&gt;'Parámetros Proyección'!$G$11),0,'Parámetros Proyección'!$G$11)+IF((N194/AI194&gt;'Parámetros Proyección'!$G$12),0,'Parámetros Proyección'!$G$12)+IF((T194/AI194&gt;'Parámetros Proyección'!$G$13),0,'Parámetros Proyección'!$G$13)+IF((Z194/AI194&gt;'Parámetros Proyección'!$G$14),0,'Parámetros Proyección'!$G$14)+IF((AF194/AI194&gt;'Parámetros Proyección'!$G$15),0,'Parámetros Proyección'!$G$15)))</f>
        <v/>
      </c>
      <c r="J194" s="35">
        <f>H194+I194</f>
        <v/>
      </c>
      <c r="K194" s="35">
        <f>P193</f>
        <v/>
      </c>
      <c r="L194" s="35">
        <f>K194*(1+'Parámetros Proyección'!$E$12)</f>
        <v/>
      </c>
      <c r="M194" s="35">
        <f>L194*'Parámetros Proyección'!$F$12</f>
        <v/>
      </c>
      <c r="N194" s="35">
        <f>L194+M194</f>
        <v/>
      </c>
      <c r="O194" s="35">
        <f>IF((N194/AI194&gt;'Parámetros Proyección'!$G$12),0,D194*'Parámetros Proyección'!$G$12/(IF((H194/AI194&gt;'Parámetros Proyección'!$G$11),0,'Parámetros Proyección'!$G$11)+IF((N194/AI194&gt;'Parámetros Proyección'!$G$12),0,'Parámetros Proyección'!$G$12)+IF((T194/AI194&gt;'Parámetros Proyección'!$G$13),0,'Parámetros Proyección'!$G$13)+IF((Z194/AI194&gt;'Parámetros Proyección'!$G$14),0,'Parámetros Proyección'!$G$14)+IF((AF194/AI194&gt;'Parámetros Proyección'!$G$15),0,'Parámetros Proyección'!$G$15)))</f>
        <v/>
      </c>
      <c r="P194" s="35">
        <f>N194+O194</f>
        <v/>
      </c>
      <c r="Q194" s="35">
        <f>V193</f>
        <v/>
      </c>
      <c r="R194" s="35">
        <f>Q194*(1+'Parámetros Proyección'!$E$13)</f>
        <v/>
      </c>
      <c r="S194" s="35">
        <f>R194*'Parámetros Proyección'!$F$13</f>
        <v/>
      </c>
      <c r="T194" s="35">
        <f>R194+S194</f>
        <v/>
      </c>
      <c r="U194" s="35">
        <f>IF((T194/AI194&gt;'Parámetros Proyección'!$G$13),0,D194*'Parámetros Proyección'!$G$13/(IF((H194/AI194&gt;'Parámetros Proyección'!$G$11),0,'Parámetros Proyección'!$G$11)+IF((N194/AI194&gt;'Parámetros Proyección'!$G$12),0,'Parámetros Proyección'!$G$12)+IF((T194/AI194&gt;'Parámetros Proyección'!$G$13),0,'Parámetros Proyección'!$G$13)+IF((Z194/AI194&gt;'Parámetros Proyección'!$G$14),0,'Parámetros Proyección'!$G$14)+IF((AF194/AI194&gt;'Parámetros Proyección'!$G$15),0,'Parámetros Proyección'!$G$15)))</f>
        <v/>
      </c>
      <c r="V194" s="35">
        <f>T194+U194</f>
        <v/>
      </c>
      <c r="W194" s="35">
        <f>AB193</f>
        <v/>
      </c>
      <c r="X194" s="35">
        <f>W194*(1+'Parámetros Proyección'!$E$14)</f>
        <v/>
      </c>
      <c r="Y194" s="35">
        <f>X194*'Parámetros Proyección'!$F$14</f>
        <v/>
      </c>
      <c r="Z194" s="35">
        <f>X194+Y194</f>
        <v/>
      </c>
      <c r="AA194" s="35">
        <f>IF((Z194/AI194&gt;'Parámetros Proyección'!$G$14),0,D194*'Parámetros Proyección'!$G$14/(IF((H194/AI194&gt;'Parámetros Proyección'!$G$11),0,'Parámetros Proyección'!$G$11)+IF((N194/AI194&gt;'Parámetros Proyección'!$G$12),0,'Parámetros Proyección'!$G$12)+IF((T194/AI194&gt;'Parámetros Proyección'!$G$13),0,'Parámetros Proyección'!$G$13)+IF((Z194/AI194&gt;'Parámetros Proyección'!$G$14),0,'Parámetros Proyección'!$G$14)+IF((AF194/AI194&gt;'Parámetros Proyección'!$G$15),0,'Parámetros Proyección'!$G$15)))</f>
        <v/>
      </c>
      <c r="AB194" s="35">
        <f>Z194+AA194</f>
        <v/>
      </c>
      <c r="AC194" s="35">
        <f>AH193</f>
        <v/>
      </c>
      <c r="AD194" s="35">
        <f>AC194*(1+'Parámetros Proyección'!$E$15)</f>
        <v/>
      </c>
      <c r="AE194" s="35">
        <f>AD194*'Parámetros Proyección'!$F$15</f>
        <v/>
      </c>
      <c r="AF194" s="35">
        <f>AD194+AE194</f>
        <v/>
      </c>
      <c r="AG194" s="35">
        <f>IF((AF194/AI194&gt;'Parámetros Proyección'!$G$15),0,D194*'Parámetros Proyección'!$G$15/(IF((H194/AI194&gt;'Parámetros Proyección'!$G$11),0,'Parámetros Proyección'!$G$11)+IF((N194/AI194&gt;'Parámetros Proyección'!$G$12),0,'Parámetros Proyección'!$G$12)+IF((T194/AI194&gt;'Parámetros Proyección'!$G$13),0,'Parámetros Proyección'!$G$13)+IF((Z194/AI194&gt;'Parámetros Proyección'!$G$14),0,'Parámetros Proyección'!$G$14)+IF((AF194/AI194&gt;'Parámetros Proyección'!$G$15),0,'Parámetros Proyección'!$G$15)))</f>
        <v/>
      </c>
      <c r="AH194" s="35">
        <f>AF194+AG194</f>
        <v/>
      </c>
      <c r="AI194" s="35">
        <f>H194+N194+T194+Z194+AF194</f>
        <v/>
      </c>
      <c r="AJ194" s="33">
        <f>AF194/AI194</f>
        <v/>
      </c>
      <c r="AK194">
        <f>IF(AJ194&gt;'Parámetros Proyección'!$B$5,1,0)</f>
        <v/>
      </c>
      <c r="AL194" s="35">
        <f>G194+M194+S194+Y194+AE194</f>
        <v/>
      </c>
      <c r="AM194" s="35">
        <f>AM193+D194</f>
        <v/>
      </c>
      <c r="AN194" s="35">
        <f>AN193+AL194</f>
        <v/>
      </c>
      <c r="AO194" s="35">
        <f>J194+P194+V194+AB194+AH194</f>
        <v/>
      </c>
    </row>
    <row r="195">
      <c r="A195" t="n">
        <v>192</v>
      </c>
      <c r="B195" s="34">
        <f>EDATE(B194,1)</f>
        <v/>
      </c>
      <c r="C195">
        <f>YEAR(B195)</f>
        <v/>
      </c>
      <c r="D195" s="35">
        <f>'Parámetros Proyección'!$B$3*(1+'Parámetros Proyección'!$B$4)^(C195-YEAR('Parámetros Proyección'!$B$6))</f>
        <v/>
      </c>
      <c r="E195" s="35">
        <f>J194</f>
        <v/>
      </c>
      <c r="F195" s="35">
        <f>E195*(1+'Parámetros Proyección'!$E$11)</f>
        <v/>
      </c>
      <c r="G195" s="35">
        <f>F195*'Parámetros Proyección'!$F$11</f>
        <v/>
      </c>
      <c r="H195" s="35">
        <f>F195+G195</f>
        <v/>
      </c>
      <c r="I195" s="35">
        <f>IF((H195/AI195&gt;'Parámetros Proyección'!$G$11),0,D195*'Parámetros Proyección'!$G$11/(IF((H195/AI195&gt;'Parámetros Proyección'!$G$11),0,'Parámetros Proyección'!$G$11)+IF((N195/AI195&gt;'Parámetros Proyección'!$G$12),0,'Parámetros Proyección'!$G$12)+IF((T195/AI195&gt;'Parámetros Proyección'!$G$13),0,'Parámetros Proyección'!$G$13)+IF((Z195/AI195&gt;'Parámetros Proyección'!$G$14),0,'Parámetros Proyección'!$G$14)+IF((AF195/AI195&gt;'Parámetros Proyección'!$G$15),0,'Parámetros Proyección'!$G$15)))</f>
        <v/>
      </c>
      <c r="J195" s="35">
        <f>H195+I195</f>
        <v/>
      </c>
      <c r="K195" s="35">
        <f>P194</f>
        <v/>
      </c>
      <c r="L195" s="35">
        <f>K195*(1+'Parámetros Proyección'!$E$12)</f>
        <v/>
      </c>
      <c r="M195" s="35">
        <f>L195*'Parámetros Proyección'!$F$12</f>
        <v/>
      </c>
      <c r="N195" s="35">
        <f>L195+M195</f>
        <v/>
      </c>
      <c r="O195" s="35">
        <f>IF((N195/AI195&gt;'Parámetros Proyección'!$G$12),0,D195*'Parámetros Proyección'!$G$12/(IF((H195/AI195&gt;'Parámetros Proyección'!$G$11),0,'Parámetros Proyección'!$G$11)+IF((N195/AI195&gt;'Parámetros Proyección'!$G$12),0,'Parámetros Proyección'!$G$12)+IF((T195/AI195&gt;'Parámetros Proyección'!$G$13),0,'Parámetros Proyección'!$G$13)+IF((Z195/AI195&gt;'Parámetros Proyección'!$G$14),0,'Parámetros Proyección'!$G$14)+IF((AF195/AI195&gt;'Parámetros Proyección'!$G$15),0,'Parámetros Proyección'!$G$15)))</f>
        <v/>
      </c>
      <c r="P195" s="35">
        <f>N195+O195</f>
        <v/>
      </c>
      <c r="Q195" s="35">
        <f>V194</f>
        <v/>
      </c>
      <c r="R195" s="35">
        <f>Q195*(1+'Parámetros Proyección'!$E$13)</f>
        <v/>
      </c>
      <c r="S195" s="35">
        <f>R195*'Parámetros Proyección'!$F$13</f>
        <v/>
      </c>
      <c r="T195" s="35">
        <f>R195+S195</f>
        <v/>
      </c>
      <c r="U195" s="35">
        <f>IF((T195/AI195&gt;'Parámetros Proyección'!$G$13),0,D195*'Parámetros Proyección'!$G$13/(IF((H195/AI195&gt;'Parámetros Proyección'!$G$11),0,'Parámetros Proyección'!$G$11)+IF((N195/AI195&gt;'Parámetros Proyección'!$G$12),0,'Parámetros Proyección'!$G$12)+IF((T195/AI195&gt;'Parámetros Proyección'!$G$13),0,'Parámetros Proyección'!$G$13)+IF((Z195/AI195&gt;'Parámetros Proyección'!$G$14),0,'Parámetros Proyección'!$G$14)+IF((AF195/AI195&gt;'Parámetros Proyección'!$G$15),0,'Parámetros Proyección'!$G$15)))</f>
        <v/>
      </c>
      <c r="V195" s="35">
        <f>T195+U195</f>
        <v/>
      </c>
      <c r="W195" s="35">
        <f>AB194</f>
        <v/>
      </c>
      <c r="X195" s="35">
        <f>W195*(1+'Parámetros Proyección'!$E$14)</f>
        <v/>
      </c>
      <c r="Y195" s="35">
        <f>X195*'Parámetros Proyección'!$F$14</f>
        <v/>
      </c>
      <c r="Z195" s="35">
        <f>X195+Y195</f>
        <v/>
      </c>
      <c r="AA195" s="35">
        <f>IF((Z195/AI195&gt;'Parámetros Proyección'!$G$14),0,D195*'Parámetros Proyección'!$G$14/(IF((H195/AI195&gt;'Parámetros Proyección'!$G$11),0,'Parámetros Proyección'!$G$11)+IF((N195/AI195&gt;'Parámetros Proyección'!$G$12),0,'Parámetros Proyección'!$G$12)+IF((T195/AI195&gt;'Parámetros Proyección'!$G$13),0,'Parámetros Proyección'!$G$13)+IF((Z195/AI195&gt;'Parámetros Proyección'!$G$14),0,'Parámetros Proyección'!$G$14)+IF((AF195/AI195&gt;'Parámetros Proyección'!$G$15),0,'Parámetros Proyección'!$G$15)))</f>
        <v/>
      </c>
      <c r="AB195" s="35">
        <f>Z195+AA195</f>
        <v/>
      </c>
      <c r="AC195" s="35">
        <f>AH194</f>
        <v/>
      </c>
      <c r="AD195" s="35">
        <f>AC195*(1+'Parámetros Proyección'!$E$15)</f>
        <v/>
      </c>
      <c r="AE195" s="35">
        <f>AD195*'Parámetros Proyección'!$F$15</f>
        <v/>
      </c>
      <c r="AF195" s="35">
        <f>AD195+AE195</f>
        <v/>
      </c>
      <c r="AG195" s="35">
        <f>IF((AF195/AI195&gt;'Parámetros Proyección'!$G$15),0,D195*'Parámetros Proyección'!$G$15/(IF((H195/AI195&gt;'Parámetros Proyección'!$G$11),0,'Parámetros Proyección'!$G$11)+IF((N195/AI195&gt;'Parámetros Proyección'!$G$12),0,'Parámetros Proyección'!$G$12)+IF((T195/AI195&gt;'Parámetros Proyección'!$G$13),0,'Parámetros Proyección'!$G$13)+IF((Z195/AI195&gt;'Parámetros Proyección'!$G$14),0,'Parámetros Proyección'!$G$14)+IF((AF195/AI195&gt;'Parámetros Proyección'!$G$15),0,'Parámetros Proyección'!$G$15)))</f>
        <v/>
      </c>
      <c r="AH195" s="35">
        <f>AF195+AG195</f>
        <v/>
      </c>
      <c r="AI195" s="35">
        <f>H195+N195+T195+Z195+AF195</f>
        <v/>
      </c>
      <c r="AJ195" s="33">
        <f>AF195/AI195</f>
        <v/>
      </c>
      <c r="AK195">
        <f>IF(AJ195&gt;'Parámetros Proyección'!$B$5,1,0)</f>
        <v/>
      </c>
      <c r="AL195" s="35">
        <f>G195+M195+S195+Y195+AE195</f>
        <v/>
      </c>
      <c r="AM195" s="35">
        <f>AM194+D195</f>
        <v/>
      </c>
      <c r="AN195" s="35">
        <f>AN194+AL195</f>
        <v/>
      </c>
      <c r="AO195" s="35">
        <f>J195+P195+V195+AB195+AH195</f>
        <v/>
      </c>
    </row>
    <row r="196">
      <c r="A196" t="n">
        <v>193</v>
      </c>
      <c r="B196" s="34">
        <f>EDATE(B195,1)</f>
        <v/>
      </c>
      <c r="C196">
        <f>YEAR(B196)</f>
        <v/>
      </c>
      <c r="D196" s="35">
        <f>'Parámetros Proyección'!$B$3*(1+'Parámetros Proyección'!$B$4)^(C196-YEAR('Parámetros Proyección'!$B$6))</f>
        <v/>
      </c>
      <c r="E196" s="35">
        <f>J195</f>
        <v/>
      </c>
      <c r="F196" s="35">
        <f>E196*(1+'Parámetros Proyección'!$E$11)</f>
        <v/>
      </c>
      <c r="G196" s="35">
        <f>F196*'Parámetros Proyección'!$F$11</f>
        <v/>
      </c>
      <c r="H196" s="35">
        <f>F196+G196</f>
        <v/>
      </c>
      <c r="I196" s="35">
        <f>IF((H196/AI196&gt;'Parámetros Proyección'!$G$11),0,D196*'Parámetros Proyección'!$G$11/(IF((H196/AI196&gt;'Parámetros Proyección'!$G$11),0,'Parámetros Proyección'!$G$11)+IF((N196/AI196&gt;'Parámetros Proyección'!$G$12),0,'Parámetros Proyección'!$G$12)+IF((T196/AI196&gt;'Parámetros Proyección'!$G$13),0,'Parámetros Proyección'!$G$13)+IF((Z196/AI196&gt;'Parámetros Proyección'!$G$14),0,'Parámetros Proyección'!$G$14)+IF((AF196/AI196&gt;'Parámetros Proyección'!$G$15),0,'Parámetros Proyección'!$G$15)))</f>
        <v/>
      </c>
      <c r="J196" s="35">
        <f>H196+I196</f>
        <v/>
      </c>
      <c r="K196" s="35">
        <f>P195</f>
        <v/>
      </c>
      <c r="L196" s="35">
        <f>K196*(1+'Parámetros Proyección'!$E$12)</f>
        <v/>
      </c>
      <c r="M196" s="35">
        <f>L196*'Parámetros Proyección'!$F$12</f>
        <v/>
      </c>
      <c r="N196" s="35">
        <f>L196+M196</f>
        <v/>
      </c>
      <c r="O196" s="35">
        <f>IF((N196/AI196&gt;'Parámetros Proyección'!$G$12),0,D196*'Parámetros Proyección'!$G$12/(IF((H196/AI196&gt;'Parámetros Proyección'!$G$11),0,'Parámetros Proyección'!$G$11)+IF((N196/AI196&gt;'Parámetros Proyección'!$G$12),0,'Parámetros Proyección'!$G$12)+IF((T196/AI196&gt;'Parámetros Proyección'!$G$13),0,'Parámetros Proyección'!$G$13)+IF((Z196/AI196&gt;'Parámetros Proyección'!$G$14),0,'Parámetros Proyección'!$G$14)+IF((AF196/AI196&gt;'Parámetros Proyección'!$G$15),0,'Parámetros Proyección'!$G$15)))</f>
        <v/>
      </c>
      <c r="P196" s="35">
        <f>N196+O196</f>
        <v/>
      </c>
      <c r="Q196" s="35">
        <f>V195</f>
        <v/>
      </c>
      <c r="R196" s="35">
        <f>Q196*(1+'Parámetros Proyección'!$E$13)</f>
        <v/>
      </c>
      <c r="S196" s="35">
        <f>R196*'Parámetros Proyección'!$F$13</f>
        <v/>
      </c>
      <c r="T196" s="35">
        <f>R196+S196</f>
        <v/>
      </c>
      <c r="U196" s="35">
        <f>IF((T196/AI196&gt;'Parámetros Proyección'!$G$13),0,D196*'Parámetros Proyección'!$G$13/(IF((H196/AI196&gt;'Parámetros Proyección'!$G$11),0,'Parámetros Proyección'!$G$11)+IF((N196/AI196&gt;'Parámetros Proyección'!$G$12),0,'Parámetros Proyección'!$G$12)+IF((T196/AI196&gt;'Parámetros Proyección'!$G$13),0,'Parámetros Proyección'!$G$13)+IF((Z196/AI196&gt;'Parámetros Proyección'!$G$14),0,'Parámetros Proyección'!$G$14)+IF((AF196/AI196&gt;'Parámetros Proyección'!$G$15),0,'Parámetros Proyección'!$G$15)))</f>
        <v/>
      </c>
      <c r="V196" s="35">
        <f>T196+U196</f>
        <v/>
      </c>
      <c r="W196" s="35">
        <f>AB195</f>
        <v/>
      </c>
      <c r="X196" s="35">
        <f>W196*(1+'Parámetros Proyección'!$E$14)</f>
        <v/>
      </c>
      <c r="Y196" s="35">
        <f>X196*'Parámetros Proyección'!$F$14</f>
        <v/>
      </c>
      <c r="Z196" s="35">
        <f>X196+Y196</f>
        <v/>
      </c>
      <c r="AA196" s="35">
        <f>IF((Z196/AI196&gt;'Parámetros Proyección'!$G$14),0,D196*'Parámetros Proyección'!$G$14/(IF((H196/AI196&gt;'Parámetros Proyección'!$G$11),0,'Parámetros Proyección'!$G$11)+IF((N196/AI196&gt;'Parámetros Proyección'!$G$12),0,'Parámetros Proyección'!$G$12)+IF((T196/AI196&gt;'Parámetros Proyección'!$G$13),0,'Parámetros Proyección'!$G$13)+IF((Z196/AI196&gt;'Parámetros Proyección'!$G$14),0,'Parámetros Proyección'!$G$14)+IF((AF196/AI196&gt;'Parámetros Proyección'!$G$15),0,'Parámetros Proyección'!$G$15)))</f>
        <v/>
      </c>
      <c r="AB196" s="35">
        <f>Z196+AA196</f>
        <v/>
      </c>
      <c r="AC196" s="35">
        <f>AH195</f>
        <v/>
      </c>
      <c r="AD196" s="35">
        <f>AC196*(1+'Parámetros Proyección'!$E$15)</f>
        <v/>
      </c>
      <c r="AE196" s="35">
        <f>AD196*'Parámetros Proyección'!$F$15</f>
        <v/>
      </c>
      <c r="AF196" s="35">
        <f>AD196+AE196</f>
        <v/>
      </c>
      <c r="AG196" s="35">
        <f>IF((AF196/AI196&gt;'Parámetros Proyección'!$G$15),0,D196*'Parámetros Proyección'!$G$15/(IF((H196/AI196&gt;'Parámetros Proyección'!$G$11),0,'Parámetros Proyección'!$G$11)+IF((N196/AI196&gt;'Parámetros Proyección'!$G$12),0,'Parámetros Proyección'!$G$12)+IF((T196/AI196&gt;'Parámetros Proyección'!$G$13),0,'Parámetros Proyección'!$G$13)+IF((Z196/AI196&gt;'Parámetros Proyección'!$G$14),0,'Parámetros Proyección'!$G$14)+IF((AF196/AI196&gt;'Parámetros Proyección'!$G$15),0,'Parámetros Proyección'!$G$15)))</f>
        <v/>
      </c>
      <c r="AH196" s="35">
        <f>AF196+AG196</f>
        <v/>
      </c>
      <c r="AI196" s="35">
        <f>H196+N196+T196+Z196+AF196</f>
        <v/>
      </c>
      <c r="AJ196" s="33">
        <f>AF196/AI196</f>
        <v/>
      </c>
      <c r="AK196">
        <f>IF(AJ196&gt;'Parámetros Proyección'!$B$5,1,0)</f>
        <v/>
      </c>
      <c r="AL196" s="35">
        <f>G196+M196+S196+Y196+AE196</f>
        <v/>
      </c>
      <c r="AM196" s="35">
        <f>AM195+D196</f>
        <v/>
      </c>
      <c r="AN196" s="35">
        <f>AN195+AL196</f>
        <v/>
      </c>
      <c r="AO196" s="35">
        <f>J196+P196+V196+AB196+AH196</f>
        <v/>
      </c>
    </row>
    <row r="197">
      <c r="A197" t="n">
        <v>194</v>
      </c>
      <c r="B197" s="34">
        <f>EDATE(B196,1)</f>
        <v/>
      </c>
      <c r="C197">
        <f>YEAR(B197)</f>
        <v/>
      </c>
      <c r="D197" s="35">
        <f>'Parámetros Proyección'!$B$3*(1+'Parámetros Proyección'!$B$4)^(C197-YEAR('Parámetros Proyección'!$B$6))</f>
        <v/>
      </c>
      <c r="E197" s="35">
        <f>J196</f>
        <v/>
      </c>
      <c r="F197" s="35">
        <f>E197*(1+'Parámetros Proyección'!$E$11)</f>
        <v/>
      </c>
      <c r="G197" s="35">
        <f>F197*'Parámetros Proyección'!$F$11</f>
        <v/>
      </c>
      <c r="H197" s="35">
        <f>F197+G197</f>
        <v/>
      </c>
      <c r="I197" s="35">
        <f>IF((H197/AI197&gt;'Parámetros Proyección'!$G$11),0,D197*'Parámetros Proyección'!$G$11/(IF((H197/AI197&gt;'Parámetros Proyección'!$G$11),0,'Parámetros Proyección'!$G$11)+IF((N197/AI197&gt;'Parámetros Proyección'!$G$12),0,'Parámetros Proyección'!$G$12)+IF((T197/AI197&gt;'Parámetros Proyección'!$G$13),0,'Parámetros Proyección'!$G$13)+IF((Z197/AI197&gt;'Parámetros Proyección'!$G$14),0,'Parámetros Proyección'!$G$14)+IF((AF197/AI197&gt;'Parámetros Proyección'!$G$15),0,'Parámetros Proyección'!$G$15)))</f>
        <v/>
      </c>
      <c r="J197" s="35">
        <f>H197+I197</f>
        <v/>
      </c>
      <c r="K197" s="35">
        <f>P196</f>
        <v/>
      </c>
      <c r="L197" s="35">
        <f>K197*(1+'Parámetros Proyección'!$E$12)</f>
        <v/>
      </c>
      <c r="M197" s="35">
        <f>L197*'Parámetros Proyección'!$F$12</f>
        <v/>
      </c>
      <c r="N197" s="35">
        <f>L197+M197</f>
        <v/>
      </c>
      <c r="O197" s="35">
        <f>IF((N197/AI197&gt;'Parámetros Proyección'!$G$12),0,D197*'Parámetros Proyección'!$G$12/(IF((H197/AI197&gt;'Parámetros Proyección'!$G$11),0,'Parámetros Proyección'!$G$11)+IF((N197/AI197&gt;'Parámetros Proyección'!$G$12),0,'Parámetros Proyección'!$G$12)+IF((T197/AI197&gt;'Parámetros Proyección'!$G$13),0,'Parámetros Proyección'!$G$13)+IF((Z197/AI197&gt;'Parámetros Proyección'!$G$14),0,'Parámetros Proyección'!$G$14)+IF((AF197/AI197&gt;'Parámetros Proyección'!$G$15),0,'Parámetros Proyección'!$G$15)))</f>
        <v/>
      </c>
      <c r="P197" s="35">
        <f>N197+O197</f>
        <v/>
      </c>
      <c r="Q197" s="35">
        <f>V196</f>
        <v/>
      </c>
      <c r="R197" s="35">
        <f>Q197*(1+'Parámetros Proyección'!$E$13)</f>
        <v/>
      </c>
      <c r="S197" s="35">
        <f>R197*'Parámetros Proyección'!$F$13</f>
        <v/>
      </c>
      <c r="T197" s="35">
        <f>R197+S197</f>
        <v/>
      </c>
      <c r="U197" s="35">
        <f>IF((T197/AI197&gt;'Parámetros Proyección'!$G$13),0,D197*'Parámetros Proyección'!$G$13/(IF((H197/AI197&gt;'Parámetros Proyección'!$G$11),0,'Parámetros Proyección'!$G$11)+IF((N197/AI197&gt;'Parámetros Proyección'!$G$12),0,'Parámetros Proyección'!$G$12)+IF((T197/AI197&gt;'Parámetros Proyección'!$G$13),0,'Parámetros Proyección'!$G$13)+IF((Z197/AI197&gt;'Parámetros Proyección'!$G$14),0,'Parámetros Proyección'!$G$14)+IF((AF197/AI197&gt;'Parámetros Proyección'!$G$15),0,'Parámetros Proyección'!$G$15)))</f>
        <v/>
      </c>
      <c r="V197" s="35">
        <f>T197+U197</f>
        <v/>
      </c>
      <c r="W197" s="35">
        <f>AB196</f>
        <v/>
      </c>
      <c r="X197" s="35">
        <f>W197*(1+'Parámetros Proyección'!$E$14)</f>
        <v/>
      </c>
      <c r="Y197" s="35">
        <f>X197*'Parámetros Proyección'!$F$14</f>
        <v/>
      </c>
      <c r="Z197" s="35">
        <f>X197+Y197</f>
        <v/>
      </c>
      <c r="AA197" s="35">
        <f>IF((Z197/AI197&gt;'Parámetros Proyección'!$G$14),0,D197*'Parámetros Proyección'!$G$14/(IF((H197/AI197&gt;'Parámetros Proyección'!$G$11),0,'Parámetros Proyección'!$G$11)+IF((N197/AI197&gt;'Parámetros Proyección'!$G$12),0,'Parámetros Proyección'!$G$12)+IF((T197/AI197&gt;'Parámetros Proyección'!$G$13),0,'Parámetros Proyección'!$G$13)+IF((Z197/AI197&gt;'Parámetros Proyección'!$G$14),0,'Parámetros Proyección'!$G$14)+IF((AF197/AI197&gt;'Parámetros Proyección'!$G$15),0,'Parámetros Proyección'!$G$15)))</f>
        <v/>
      </c>
      <c r="AB197" s="35">
        <f>Z197+AA197</f>
        <v/>
      </c>
      <c r="AC197" s="35">
        <f>AH196</f>
        <v/>
      </c>
      <c r="AD197" s="35">
        <f>AC197*(1+'Parámetros Proyección'!$E$15)</f>
        <v/>
      </c>
      <c r="AE197" s="35">
        <f>AD197*'Parámetros Proyección'!$F$15</f>
        <v/>
      </c>
      <c r="AF197" s="35">
        <f>AD197+AE197</f>
        <v/>
      </c>
      <c r="AG197" s="35">
        <f>IF((AF197/AI197&gt;'Parámetros Proyección'!$G$15),0,D197*'Parámetros Proyección'!$G$15/(IF((H197/AI197&gt;'Parámetros Proyección'!$G$11),0,'Parámetros Proyección'!$G$11)+IF((N197/AI197&gt;'Parámetros Proyección'!$G$12),0,'Parámetros Proyección'!$G$12)+IF((T197/AI197&gt;'Parámetros Proyección'!$G$13),0,'Parámetros Proyección'!$G$13)+IF((Z197/AI197&gt;'Parámetros Proyección'!$G$14),0,'Parámetros Proyección'!$G$14)+IF((AF197/AI197&gt;'Parámetros Proyección'!$G$15),0,'Parámetros Proyección'!$G$15)))</f>
        <v/>
      </c>
      <c r="AH197" s="35">
        <f>AF197+AG197</f>
        <v/>
      </c>
      <c r="AI197" s="35">
        <f>H197+N197+T197+Z197+AF197</f>
        <v/>
      </c>
      <c r="AJ197" s="33">
        <f>AF197/AI197</f>
        <v/>
      </c>
      <c r="AK197">
        <f>IF(AJ197&gt;'Parámetros Proyección'!$B$5,1,0)</f>
        <v/>
      </c>
      <c r="AL197" s="35">
        <f>G197+M197+S197+Y197+AE197</f>
        <v/>
      </c>
      <c r="AM197" s="35">
        <f>AM196+D197</f>
        <v/>
      </c>
      <c r="AN197" s="35">
        <f>AN196+AL197</f>
        <v/>
      </c>
      <c r="AO197" s="35">
        <f>J197+P197+V197+AB197+AH197</f>
        <v/>
      </c>
    </row>
    <row r="198">
      <c r="A198" t="n">
        <v>195</v>
      </c>
      <c r="B198" s="34">
        <f>EDATE(B197,1)</f>
        <v/>
      </c>
      <c r="C198">
        <f>YEAR(B198)</f>
        <v/>
      </c>
      <c r="D198" s="35">
        <f>'Parámetros Proyección'!$B$3*(1+'Parámetros Proyección'!$B$4)^(C198-YEAR('Parámetros Proyección'!$B$6))</f>
        <v/>
      </c>
      <c r="E198" s="35">
        <f>J197</f>
        <v/>
      </c>
      <c r="F198" s="35">
        <f>E198*(1+'Parámetros Proyección'!$E$11)</f>
        <v/>
      </c>
      <c r="G198" s="35">
        <f>F198*'Parámetros Proyección'!$F$11</f>
        <v/>
      </c>
      <c r="H198" s="35">
        <f>F198+G198</f>
        <v/>
      </c>
      <c r="I198" s="35">
        <f>IF((H198/AI198&gt;'Parámetros Proyección'!$G$11),0,D198*'Parámetros Proyección'!$G$11/(IF((H198/AI198&gt;'Parámetros Proyección'!$G$11),0,'Parámetros Proyección'!$G$11)+IF((N198/AI198&gt;'Parámetros Proyección'!$G$12),0,'Parámetros Proyección'!$G$12)+IF((T198/AI198&gt;'Parámetros Proyección'!$G$13),0,'Parámetros Proyección'!$G$13)+IF((Z198/AI198&gt;'Parámetros Proyección'!$G$14),0,'Parámetros Proyección'!$G$14)+IF((AF198/AI198&gt;'Parámetros Proyección'!$G$15),0,'Parámetros Proyección'!$G$15)))</f>
        <v/>
      </c>
      <c r="J198" s="35">
        <f>H198+I198</f>
        <v/>
      </c>
      <c r="K198" s="35">
        <f>P197</f>
        <v/>
      </c>
      <c r="L198" s="35">
        <f>K198*(1+'Parámetros Proyección'!$E$12)</f>
        <v/>
      </c>
      <c r="M198" s="35">
        <f>L198*'Parámetros Proyección'!$F$12</f>
        <v/>
      </c>
      <c r="N198" s="35">
        <f>L198+M198</f>
        <v/>
      </c>
      <c r="O198" s="35">
        <f>IF((N198/AI198&gt;'Parámetros Proyección'!$G$12),0,D198*'Parámetros Proyección'!$G$12/(IF((H198/AI198&gt;'Parámetros Proyección'!$G$11),0,'Parámetros Proyección'!$G$11)+IF((N198/AI198&gt;'Parámetros Proyección'!$G$12),0,'Parámetros Proyección'!$G$12)+IF((T198/AI198&gt;'Parámetros Proyección'!$G$13),0,'Parámetros Proyección'!$G$13)+IF((Z198/AI198&gt;'Parámetros Proyección'!$G$14),0,'Parámetros Proyección'!$G$14)+IF((AF198/AI198&gt;'Parámetros Proyección'!$G$15),0,'Parámetros Proyección'!$G$15)))</f>
        <v/>
      </c>
      <c r="P198" s="35">
        <f>N198+O198</f>
        <v/>
      </c>
      <c r="Q198" s="35">
        <f>V197</f>
        <v/>
      </c>
      <c r="R198" s="35">
        <f>Q198*(1+'Parámetros Proyección'!$E$13)</f>
        <v/>
      </c>
      <c r="S198" s="35">
        <f>R198*'Parámetros Proyección'!$F$13</f>
        <v/>
      </c>
      <c r="T198" s="35">
        <f>R198+S198</f>
        <v/>
      </c>
      <c r="U198" s="35">
        <f>IF((T198/AI198&gt;'Parámetros Proyección'!$G$13),0,D198*'Parámetros Proyección'!$G$13/(IF((H198/AI198&gt;'Parámetros Proyección'!$G$11),0,'Parámetros Proyección'!$G$11)+IF((N198/AI198&gt;'Parámetros Proyección'!$G$12),0,'Parámetros Proyección'!$G$12)+IF((T198/AI198&gt;'Parámetros Proyección'!$G$13),0,'Parámetros Proyección'!$G$13)+IF((Z198/AI198&gt;'Parámetros Proyección'!$G$14),0,'Parámetros Proyección'!$G$14)+IF((AF198/AI198&gt;'Parámetros Proyección'!$G$15),0,'Parámetros Proyección'!$G$15)))</f>
        <v/>
      </c>
      <c r="V198" s="35">
        <f>T198+U198</f>
        <v/>
      </c>
      <c r="W198" s="35">
        <f>AB197</f>
        <v/>
      </c>
      <c r="X198" s="35">
        <f>W198*(1+'Parámetros Proyección'!$E$14)</f>
        <v/>
      </c>
      <c r="Y198" s="35">
        <f>X198*'Parámetros Proyección'!$F$14</f>
        <v/>
      </c>
      <c r="Z198" s="35">
        <f>X198+Y198</f>
        <v/>
      </c>
      <c r="AA198" s="35">
        <f>IF((Z198/AI198&gt;'Parámetros Proyección'!$G$14),0,D198*'Parámetros Proyección'!$G$14/(IF((H198/AI198&gt;'Parámetros Proyección'!$G$11),0,'Parámetros Proyección'!$G$11)+IF((N198/AI198&gt;'Parámetros Proyección'!$G$12),0,'Parámetros Proyección'!$G$12)+IF((T198/AI198&gt;'Parámetros Proyección'!$G$13),0,'Parámetros Proyección'!$G$13)+IF((Z198/AI198&gt;'Parámetros Proyección'!$G$14),0,'Parámetros Proyección'!$G$14)+IF((AF198/AI198&gt;'Parámetros Proyección'!$G$15),0,'Parámetros Proyección'!$G$15)))</f>
        <v/>
      </c>
      <c r="AB198" s="35">
        <f>Z198+AA198</f>
        <v/>
      </c>
      <c r="AC198" s="35">
        <f>AH197</f>
        <v/>
      </c>
      <c r="AD198" s="35">
        <f>AC198*(1+'Parámetros Proyección'!$E$15)</f>
        <v/>
      </c>
      <c r="AE198" s="35">
        <f>AD198*'Parámetros Proyección'!$F$15</f>
        <v/>
      </c>
      <c r="AF198" s="35">
        <f>AD198+AE198</f>
        <v/>
      </c>
      <c r="AG198" s="35">
        <f>IF((AF198/AI198&gt;'Parámetros Proyección'!$G$15),0,D198*'Parámetros Proyección'!$G$15/(IF((H198/AI198&gt;'Parámetros Proyección'!$G$11),0,'Parámetros Proyección'!$G$11)+IF((N198/AI198&gt;'Parámetros Proyección'!$G$12),0,'Parámetros Proyección'!$G$12)+IF((T198/AI198&gt;'Parámetros Proyección'!$G$13),0,'Parámetros Proyección'!$G$13)+IF((Z198/AI198&gt;'Parámetros Proyección'!$G$14),0,'Parámetros Proyección'!$G$14)+IF((AF198/AI198&gt;'Parámetros Proyección'!$G$15),0,'Parámetros Proyección'!$G$15)))</f>
        <v/>
      </c>
      <c r="AH198" s="35">
        <f>AF198+AG198</f>
        <v/>
      </c>
      <c r="AI198" s="35">
        <f>H198+N198+T198+Z198+AF198</f>
        <v/>
      </c>
      <c r="AJ198" s="33">
        <f>AF198/AI198</f>
        <v/>
      </c>
      <c r="AK198">
        <f>IF(AJ198&gt;'Parámetros Proyección'!$B$5,1,0)</f>
        <v/>
      </c>
      <c r="AL198" s="35">
        <f>G198+M198+S198+Y198+AE198</f>
        <v/>
      </c>
      <c r="AM198" s="35">
        <f>AM197+D198</f>
        <v/>
      </c>
      <c r="AN198" s="35">
        <f>AN197+AL198</f>
        <v/>
      </c>
      <c r="AO198" s="35">
        <f>J198+P198+V198+AB198+AH198</f>
        <v/>
      </c>
    </row>
    <row r="199">
      <c r="A199" t="n">
        <v>196</v>
      </c>
      <c r="B199" s="34">
        <f>EDATE(B198,1)</f>
        <v/>
      </c>
      <c r="C199">
        <f>YEAR(B199)</f>
        <v/>
      </c>
      <c r="D199" s="35">
        <f>'Parámetros Proyección'!$B$3*(1+'Parámetros Proyección'!$B$4)^(C199-YEAR('Parámetros Proyección'!$B$6))</f>
        <v/>
      </c>
      <c r="E199" s="35">
        <f>J198</f>
        <v/>
      </c>
      <c r="F199" s="35">
        <f>E199*(1+'Parámetros Proyección'!$E$11)</f>
        <v/>
      </c>
      <c r="G199" s="35">
        <f>F199*'Parámetros Proyección'!$F$11</f>
        <v/>
      </c>
      <c r="H199" s="35">
        <f>F199+G199</f>
        <v/>
      </c>
      <c r="I199" s="35">
        <f>IF((H199/AI199&gt;'Parámetros Proyección'!$G$11),0,D199*'Parámetros Proyección'!$G$11/(IF((H199/AI199&gt;'Parámetros Proyección'!$G$11),0,'Parámetros Proyección'!$G$11)+IF((N199/AI199&gt;'Parámetros Proyección'!$G$12),0,'Parámetros Proyección'!$G$12)+IF((T199/AI199&gt;'Parámetros Proyección'!$G$13),0,'Parámetros Proyección'!$G$13)+IF((Z199/AI199&gt;'Parámetros Proyección'!$G$14),0,'Parámetros Proyección'!$G$14)+IF((AF199/AI199&gt;'Parámetros Proyección'!$G$15),0,'Parámetros Proyección'!$G$15)))</f>
        <v/>
      </c>
      <c r="J199" s="35">
        <f>H199+I199</f>
        <v/>
      </c>
      <c r="K199" s="35">
        <f>P198</f>
        <v/>
      </c>
      <c r="L199" s="35">
        <f>K199*(1+'Parámetros Proyección'!$E$12)</f>
        <v/>
      </c>
      <c r="M199" s="35">
        <f>L199*'Parámetros Proyección'!$F$12</f>
        <v/>
      </c>
      <c r="N199" s="35">
        <f>L199+M199</f>
        <v/>
      </c>
      <c r="O199" s="35">
        <f>IF((N199/AI199&gt;'Parámetros Proyección'!$G$12),0,D199*'Parámetros Proyección'!$G$12/(IF((H199/AI199&gt;'Parámetros Proyección'!$G$11),0,'Parámetros Proyección'!$G$11)+IF((N199/AI199&gt;'Parámetros Proyección'!$G$12),0,'Parámetros Proyección'!$G$12)+IF((T199/AI199&gt;'Parámetros Proyección'!$G$13),0,'Parámetros Proyección'!$G$13)+IF((Z199/AI199&gt;'Parámetros Proyección'!$G$14),0,'Parámetros Proyección'!$G$14)+IF((AF199/AI199&gt;'Parámetros Proyección'!$G$15),0,'Parámetros Proyección'!$G$15)))</f>
        <v/>
      </c>
      <c r="P199" s="35">
        <f>N199+O199</f>
        <v/>
      </c>
      <c r="Q199" s="35">
        <f>V198</f>
        <v/>
      </c>
      <c r="R199" s="35">
        <f>Q199*(1+'Parámetros Proyección'!$E$13)</f>
        <v/>
      </c>
      <c r="S199" s="35">
        <f>R199*'Parámetros Proyección'!$F$13</f>
        <v/>
      </c>
      <c r="T199" s="35">
        <f>R199+S199</f>
        <v/>
      </c>
      <c r="U199" s="35">
        <f>IF((T199/AI199&gt;'Parámetros Proyección'!$G$13),0,D199*'Parámetros Proyección'!$G$13/(IF((H199/AI199&gt;'Parámetros Proyección'!$G$11),0,'Parámetros Proyección'!$G$11)+IF((N199/AI199&gt;'Parámetros Proyección'!$G$12),0,'Parámetros Proyección'!$G$12)+IF((T199/AI199&gt;'Parámetros Proyección'!$G$13),0,'Parámetros Proyección'!$G$13)+IF((Z199/AI199&gt;'Parámetros Proyección'!$G$14),0,'Parámetros Proyección'!$G$14)+IF((AF199/AI199&gt;'Parámetros Proyección'!$G$15),0,'Parámetros Proyección'!$G$15)))</f>
        <v/>
      </c>
      <c r="V199" s="35">
        <f>T199+U199</f>
        <v/>
      </c>
      <c r="W199" s="35">
        <f>AB198</f>
        <v/>
      </c>
      <c r="X199" s="35">
        <f>W199*(1+'Parámetros Proyección'!$E$14)</f>
        <v/>
      </c>
      <c r="Y199" s="35">
        <f>X199*'Parámetros Proyección'!$F$14</f>
        <v/>
      </c>
      <c r="Z199" s="35">
        <f>X199+Y199</f>
        <v/>
      </c>
      <c r="AA199" s="35">
        <f>IF((Z199/AI199&gt;'Parámetros Proyección'!$G$14),0,D199*'Parámetros Proyección'!$G$14/(IF((H199/AI199&gt;'Parámetros Proyección'!$G$11),0,'Parámetros Proyección'!$G$11)+IF((N199/AI199&gt;'Parámetros Proyección'!$G$12),0,'Parámetros Proyección'!$G$12)+IF((T199/AI199&gt;'Parámetros Proyección'!$G$13),0,'Parámetros Proyección'!$G$13)+IF((Z199/AI199&gt;'Parámetros Proyección'!$G$14),0,'Parámetros Proyección'!$G$14)+IF((AF199/AI199&gt;'Parámetros Proyección'!$G$15),0,'Parámetros Proyección'!$G$15)))</f>
        <v/>
      </c>
      <c r="AB199" s="35">
        <f>Z199+AA199</f>
        <v/>
      </c>
      <c r="AC199" s="35">
        <f>AH198</f>
        <v/>
      </c>
      <c r="AD199" s="35">
        <f>AC199*(1+'Parámetros Proyección'!$E$15)</f>
        <v/>
      </c>
      <c r="AE199" s="35">
        <f>AD199*'Parámetros Proyección'!$F$15</f>
        <v/>
      </c>
      <c r="AF199" s="35">
        <f>AD199+AE199</f>
        <v/>
      </c>
      <c r="AG199" s="35">
        <f>IF((AF199/AI199&gt;'Parámetros Proyección'!$G$15),0,D199*'Parámetros Proyección'!$G$15/(IF((H199/AI199&gt;'Parámetros Proyección'!$G$11),0,'Parámetros Proyección'!$G$11)+IF((N199/AI199&gt;'Parámetros Proyección'!$G$12),0,'Parámetros Proyección'!$G$12)+IF((T199/AI199&gt;'Parámetros Proyección'!$G$13),0,'Parámetros Proyección'!$G$13)+IF((Z199/AI199&gt;'Parámetros Proyección'!$G$14),0,'Parámetros Proyección'!$G$14)+IF((AF199/AI199&gt;'Parámetros Proyección'!$G$15),0,'Parámetros Proyección'!$G$15)))</f>
        <v/>
      </c>
      <c r="AH199" s="35">
        <f>AF199+AG199</f>
        <v/>
      </c>
      <c r="AI199" s="35">
        <f>H199+N199+T199+Z199+AF199</f>
        <v/>
      </c>
      <c r="AJ199" s="33">
        <f>AF199/AI199</f>
        <v/>
      </c>
      <c r="AK199">
        <f>IF(AJ199&gt;'Parámetros Proyección'!$B$5,1,0)</f>
        <v/>
      </c>
      <c r="AL199" s="35">
        <f>G199+M199+S199+Y199+AE199</f>
        <v/>
      </c>
      <c r="AM199" s="35">
        <f>AM198+D199</f>
        <v/>
      </c>
      <c r="AN199" s="35">
        <f>AN198+AL199</f>
        <v/>
      </c>
      <c r="AO199" s="35">
        <f>J199+P199+V199+AB199+AH199</f>
        <v/>
      </c>
    </row>
    <row r="200">
      <c r="A200" t="n">
        <v>197</v>
      </c>
      <c r="B200" s="34">
        <f>EDATE(B199,1)</f>
        <v/>
      </c>
      <c r="C200">
        <f>YEAR(B200)</f>
        <v/>
      </c>
      <c r="D200" s="35">
        <f>'Parámetros Proyección'!$B$3*(1+'Parámetros Proyección'!$B$4)^(C200-YEAR('Parámetros Proyección'!$B$6))</f>
        <v/>
      </c>
      <c r="E200" s="35">
        <f>J199</f>
        <v/>
      </c>
      <c r="F200" s="35">
        <f>E200*(1+'Parámetros Proyección'!$E$11)</f>
        <v/>
      </c>
      <c r="G200" s="35">
        <f>F200*'Parámetros Proyección'!$F$11</f>
        <v/>
      </c>
      <c r="H200" s="35">
        <f>F200+G200</f>
        <v/>
      </c>
      <c r="I200" s="35">
        <f>IF((H200/AI200&gt;'Parámetros Proyección'!$G$11),0,D200*'Parámetros Proyección'!$G$11/(IF((H200/AI200&gt;'Parámetros Proyección'!$G$11),0,'Parámetros Proyección'!$G$11)+IF((N200/AI200&gt;'Parámetros Proyección'!$G$12),0,'Parámetros Proyección'!$G$12)+IF((T200/AI200&gt;'Parámetros Proyección'!$G$13),0,'Parámetros Proyección'!$G$13)+IF((Z200/AI200&gt;'Parámetros Proyección'!$G$14),0,'Parámetros Proyección'!$G$14)+IF((AF200/AI200&gt;'Parámetros Proyección'!$G$15),0,'Parámetros Proyección'!$G$15)))</f>
        <v/>
      </c>
      <c r="J200" s="35">
        <f>H200+I200</f>
        <v/>
      </c>
      <c r="K200" s="35">
        <f>P199</f>
        <v/>
      </c>
      <c r="L200" s="35">
        <f>K200*(1+'Parámetros Proyección'!$E$12)</f>
        <v/>
      </c>
      <c r="M200" s="35">
        <f>L200*'Parámetros Proyección'!$F$12</f>
        <v/>
      </c>
      <c r="N200" s="35">
        <f>L200+M200</f>
        <v/>
      </c>
      <c r="O200" s="35">
        <f>IF((N200/AI200&gt;'Parámetros Proyección'!$G$12),0,D200*'Parámetros Proyección'!$G$12/(IF((H200/AI200&gt;'Parámetros Proyección'!$G$11),0,'Parámetros Proyección'!$G$11)+IF((N200/AI200&gt;'Parámetros Proyección'!$G$12),0,'Parámetros Proyección'!$G$12)+IF((T200/AI200&gt;'Parámetros Proyección'!$G$13),0,'Parámetros Proyección'!$G$13)+IF((Z200/AI200&gt;'Parámetros Proyección'!$G$14),0,'Parámetros Proyección'!$G$14)+IF((AF200/AI200&gt;'Parámetros Proyección'!$G$15),0,'Parámetros Proyección'!$G$15)))</f>
        <v/>
      </c>
      <c r="P200" s="35">
        <f>N200+O200</f>
        <v/>
      </c>
      <c r="Q200" s="35">
        <f>V199</f>
        <v/>
      </c>
      <c r="R200" s="35">
        <f>Q200*(1+'Parámetros Proyección'!$E$13)</f>
        <v/>
      </c>
      <c r="S200" s="35">
        <f>R200*'Parámetros Proyección'!$F$13</f>
        <v/>
      </c>
      <c r="T200" s="35">
        <f>R200+S200</f>
        <v/>
      </c>
      <c r="U200" s="35">
        <f>IF((T200/AI200&gt;'Parámetros Proyección'!$G$13),0,D200*'Parámetros Proyección'!$G$13/(IF((H200/AI200&gt;'Parámetros Proyección'!$G$11),0,'Parámetros Proyección'!$G$11)+IF((N200/AI200&gt;'Parámetros Proyección'!$G$12),0,'Parámetros Proyección'!$G$12)+IF((T200/AI200&gt;'Parámetros Proyección'!$G$13),0,'Parámetros Proyección'!$G$13)+IF((Z200/AI200&gt;'Parámetros Proyección'!$G$14),0,'Parámetros Proyección'!$G$14)+IF((AF200/AI200&gt;'Parámetros Proyección'!$G$15),0,'Parámetros Proyección'!$G$15)))</f>
        <v/>
      </c>
      <c r="V200" s="35">
        <f>T200+U200</f>
        <v/>
      </c>
      <c r="W200" s="35">
        <f>AB199</f>
        <v/>
      </c>
      <c r="X200" s="35">
        <f>W200*(1+'Parámetros Proyección'!$E$14)</f>
        <v/>
      </c>
      <c r="Y200" s="35">
        <f>X200*'Parámetros Proyección'!$F$14</f>
        <v/>
      </c>
      <c r="Z200" s="35">
        <f>X200+Y200</f>
        <v/>
      </c>
      <c r="AA200" s="35">
        <f>IF((Z200/AI200&gt;'Parámetros Proyección'!$G$14),0,D200*'Parámetros Proyección'!$G$14/(IF((H200/AI200&gt;'Parámetros Proyección'!$G$11),0,'Parámetros Proyección'!$G$11)+IF((N200/AI200&gt;'Parámetros Proyección'!$G$12),0,'Parámetros Proyección'!$G$12)+IF((T200/AI200&gt;'Parámetros Proyección'!$G$13),0,'Parámetros Proyección'!$G$13)+IF((Z200/AI200&gt;'Parámetros Proyección'!$G$14),0,'Parámetros Proyección'!$G$14)+IF((AF200/AI200&gt;'Parámetros Proyección'!$G$15),0,'Parámetros Proyección'!$G$15)))</f>
        <v/>
      </c>
      <c r="AB200" s="35">
        <f>Z200+AA200</f>
        <v/>
      </c>
      <c r="AC200" s="35">
        <f>AH199</f>
        <v/>
      </c>
      <c r="AD200" s="35">
        <f>AC200*(1+'Parámetros Proyección'!$E$15)</f>
        <v/>
      </c>
      <c r="AE200" s="35">
        <f>AD200*'Parámetros Proyección'!$F$15</f>
        <v/>
      </c>
      <c r="AF200" s="35">
        <f>AD200+AE200</f>
        <v/>
      </c>
      <c r="AG200" s="35">
        <f>IF((AF200/AI200&gt;'Parámetros Proyección'!$G$15),0,D200*'Parámetros Proyección'!$G$15/(IF((H200/AI200&gt;'Parámetros Proyección'!$G$11),0,'Parámetros Proyección'!$G$11)+IF((N200/AI200&gt;'Parámetros Proyección'!$G$12),0,'Parámetros Proyección'!$G$12)+IF((T200/AI200&gt;'Parámetros Proyección'!$G$13),0,'Parámetros Proyección'!$G$13)+IF((Z200/AI200&gt;'Parámetros Proyección'!$G$14),0,'Parámetros Proyección'!$G$14)+IF((AF200/AI200&gt;'Parámetros Proyección'!$G$15),0,'Parámetros Proyección'!$G$15)))</f>
        <v/>
      </c>
      <c r="AH200" s="35">
        <f>AF200+AG200</f>
        <v/>
      </c>
      <c r="AI200" s="35">
        <f>H200+N200+T200+Z200+AF200</f>
        <v/>
      </c>
      <c r="AJ200" s="33">
        <f>AF200/AI200</f>
        <v/>
      </c>
      <c r="AK200">
        <f>IF(AJ200&gt;'Parámetros Proyección'!$B$5,1,0)</f>
        <v/>
      </c>
      <c r="AL200" s="35">
        <f>G200+M200+S200+Y200+AE200</f>
        <v/>
      </c>
      <c r="AM200" s="35">
        <f>AM199+D200</f>
        <v/>
      </c>
      <c r="AN200" s="35">
        <f>AN199+AL200</f>
        <v/>
      </c>
      <c r="AO200" s="35">
        <f>J200+P200+V200+AB200+AH200</f>
        <v/>
      </c>
    </row>
    <row r="201">
      <c r="A201" t="n">
        <v>198</v>
      </c>
      <c r="B201" s="34">
        <f>EDATE(B200,1)</f>
        <v/>
      </c>
      <c r="C201">
        <f>YEAR(B201)</f>
        <v/>
      </c>
      <c r="D201" s="35">
        <f>'Parámetros Proyección'!$B$3*(1+'Parámetros Proyección'!$B$4)^(C201-YEAR('Parámetros Proyección'!$B$6))</f>
        <v/>
      </c>
      <c r="E201" s="35">
        <f>J200</f>
        <v/>
      </c>
      <c r="F201" s="35">
        <f>E201*(1+'Parámetros Proyección'!$E$11)</f>
        <v/>
      </c>
      <c r="G201" s="35">
        <f>F201*'Parámetros Proyección'!$F$11</f>
        <v/>
      </c>
      <c r="H201" s="35">
        <f>F201+G201</f>
        <v/>
      </c>
      <c r="I201" s="35">
        <f>IF((H201/AI201&gt;'Parámetros Proyección'!$G$11),0,D201*'Parámetros Proyección'!$G$11/(IF((H201/AI201&gt;'Parámetros Proyección'!$G$11),0,'Parámetros Proyección'!$G$11)+IF((N201/AI201&gt;'Parámetros Proyección'!$G$12),0,'Parámetros Proyección'!$G$12)+IF((T201/AI201&gt;'Parámetros Proyección'!$G$13),0,'Parámetros Proyección'!$G$13)+IF((Z201/AI201&gt;'Parámetros Proyección'!$G$14),0,'Parámetros Proyección'!$G$14)+IF((AF201/AI201&gt;'Parámetros Proyección'!$G$15),0,'Parámetros Proyección'!$G$15)))</f>
        <v/>
      </c>
      <c r="J201" s="35">
        <f>H201+I201</f>
        <v/>
      </c>
      <c r="K201" s="35">
        <f>P200</f>
        <v/>
      </c>
      <c r="L201" s="35">
        <f>K201*(1+'Parámetros Proyección'!$E$12)</f>
        <v/>
      </c>
      <c r="M201" s="35">
        <f>L201*'Parámetros Proyección'!$F$12</f>
        <v/>
      </c>
      <c r="N201" s="35">
        <f>L201+M201</f>
        <v/>
      </c>
      <c r="O201" s="35">
        <f>IF((N201/AI201&gt;'Parámetros Proyección'!$G$12),0,D201*'Parámetros Proyección'!$G$12/(IF((H201/AI201&gt;'Parámetros Proyección'!$G$11),0,'Parámetros Proyección'!$G$11)+IF((N201/AI201&gt;'Parámetros Proyección'!$G$12),0,'Parámetros Proyección'!$G$12)+IF((T201/AI201&gt;'Parámetros Proyección'!$G$13),0,'Parámetros Proyección'!$G$13)+IF((Z201/AI201&gt;'Parámetros Proyección'!$G$14),0,'Parámetros Proyección'!$G$14)+IF((AF201/AI201&gt;'Parámetros Proyección'!$G$15),0,'Parámetros Proyección'!$G$15)))</f>
        <v/>
      </c>
      <c r="P201" s="35">
        <f>N201+O201</f>
        <v/>
      </c>
      <c r="Q201" s="35">
        <f>V200</f>
        <v/>
      </c>
      <c r="R201" s="35">
        <f>Q201*(1+'Parámetros Proyección'!$E$13)</f>
        <v/>
      </c>
      <c r="S201" s="35">
        <f>R201*'Parámetros Proyección'!$F$13</f>
        <v/>
      </c>
      <c r="T201" s="35">
        <f>R201+S201</f>
        <v/>
      </c>
      <c r="U201" s="35">
        <f>IF((T201/AI201&gt;'Parámetros Proyección'!$G$13),0,D201*'Parámetros Proyección'!$G$13/(IF((H201/AI201&gt;'Parámetros Proyección'!$G$11),0,'Parámetros Proyección'!$G$11)+IF((N201/AI201&gt;'Parámetros Proyección'!$G$12),0,'Parámetros Proyección'!$G$12)+IF((T201/AI201&gt;'Parámetros Proyección'!$G$13),0,'Parámetros Proyección'!$G$13)+IF((Z201/AI201&gt;'Parámetros Proyección'!$G$14),0,'Parámetros Proyección'!$G$14)+IF((AF201/AI201&gt;'Parámetros Proyección'!$G$15),0,'Parámetros Proyección'!$G$15)))</f>
        <v/>
      </c>
      <c r="V201" s="35">
        <f>T201+U201</f>
        <v/>
      </c>
      <c r="W201" s="35">
        <f>AB200</f>
        <v/>
      </c>
      <c r="X201" s="35">
        <f>W201*(1+'Parámetros Proyección'!$E$14)</f>
        <v/>
      </c>
      <c r="Y201" s="35">
        <f>X201*'Parámetros Proyección'!$F$14</f>
        <v/>
      </c>
      <c r="Z201" s="35">
        <f>X201+Y201</f>
        <v/>
      </c>
      <c r="AA201" s="35">
        <f>IF((Z201/AI201&gt;'Parámetros Proyección'!$G$14),0,D201*'Parámetros Proyección'!$G$14/(IF((H201/AI201&gt;'Parámetros Proyección'!$G$11),0,'Parámetros Proyección'!$G$11)+IF((N201/AI201&gt;'Parámetros Proyección'!$G$12),0,'Parámetros Proyección'!$G$12)+IF((T201/AI201&gt;'Parámetros Proyección'!$G$13),0,'Parámetros Proyección'!$G$13)+IF((Z201/AI201&gt;'Parámetros Proyección'!$G$14),0,'Parámetros Proyección'!$G$14)+IF((AF201/AI201&gt;'Parámetros Proyección'!$G$15),0,'Parámetros Proyección'!$G$15)))</f>
        <v/>
      </c>
      <c r="AB201" s="35">
        <f>Z201+AA201</f>
        <v/>
      </c>
      <c r="AC201" s="35">
        <f>AH200</f>
        <v/>
      </c>
      <c r="AD201" s="35">
        <f>AC201*(1+'Parámetros Proyección'!$E$15)</f>
        <v/>
      </c>
      <c r="AE201" s="35">
        <f>AD201*'Parámetros Proyección'!$F$15</f>
        <v/>
      </c>
      <c r="AF201" s="35">
        <f>AD201+AE201</f>
        <v/>
      </c>
      <c r="AG201" s="35">
        <f>IF((AF201/AI201&gt;'Parámetros Proyección'!$G$15),0,D201*'Parámetros Proyección'!$G$15/(IF((H201/AI201&gt;'Parámetros Proyección'!$G$11),0,'Parámetros Proyección'!$G$11)+IF((N201/AI201&gt;'Parámetros Proyección'!$G$12),0,'Parámetros Proyección'!$G$12)+IF((T201/AI201&gt;'Parámetros Proyección'!$G$13),0,'Parámetros Proyección'!$G$13)+IF((Z201/AI201&gt;'Parámetros Proyección'!$G$14),0,'Parámetros Proyección'!$G$14)+IF((AF201/AI201&gt;'Parámetros Proyección'!$G$15),0,'Parámetros Proyección'!$G$15)))</f>
        <v/>
      </c>
      <c r="AH201" s="35">
        <f>AF201+AG201</f>
        <v/>
      </c>
      <c r="AI201" s="35">
        <f>H201+N201+T201+Z201+AF201</f>
        <v/>
      </c>
      <c r="AJ201" s="33">
        <f>AF201/AI201</f>
        <v/>
      </c>
      <c r="AK201">
        <f>IF(AJ201&gt;'Parámetros Proyección'!$B$5,1,0)</f>
        <v/>
      </c>
      <c r="AL201" s="35">
        <f>G201+M201+S201+Y201+AE201</f>
        <v/>
      </c>
      <c r="AM201" s="35">
        <f>AM200+D201</f>
        <v/>
      </c>
      <c r="AN201" s="35">
        <f>AN200+AL201</f>
        <v/>
      </c>
      <c r="AO201" s="35">
        <f>J201+P201+V201+AB201+AH201</f>
        <v/>
      </c>
    </row>
    <row r="202">
      <c r="A202" t="n">
        <v>199</v>
      </c>
      <c r="B202" s="34">
        <f>EDATE(B201,1)</f>
        <v/>
      </c>
      <c r="C202">
        <f>YEAR(B202)</f>
        <v/>
      </c>
      <c r="D202" s="35">
        <f>'Parámetros Proyección'!$B$3*(1+'Parámetros Proyección'!$B$4)^(C202-YEAR('Parámetros Proyección'!$B$6))</f>
        <v/>
      </c>
      <c r="E202" s="35">
        <f>J201</f>
        <v/>
      </c>
      <c r="F202" s="35">
        <f>E202*(1+'Parámetros Proyección'!$E$11)</f>
        <v/>
      </c>
      <c r="G202" s="35">
        <f>F202*'Parámetros Proyección'!$F$11</f>
        <v/>
      </c>
      <c r="H202" s="35">
        <f>F202+G202</f>
        <v/>
      </c>
      <c r="I202" s="35">
        <f>IF((H202/AI202&gt;'Parámetros Proyección'!$G$11),0,D202*'Parámetros Proyección'!$G$11/(IF((H202/AI202&gt;'Parámetros Proyección'!$G$11),0,'Parámetros Proyección'!$G$11)+IF((N202/AI202&gt;'Parámetros Proyección'!$G$12),0,'Parámetros Proyección'!$G$12)+IF((T202/AI202&gt;'Parámetros Proyección'!$G$13),0,'Parámetros Proyección'!$G$13)+IF((Z202/AI202&gt;'Parámetros Proyección'!$G$14),0,'Parámetros Proyección'!$G$14)+IF((AF202/AI202&gt;'Parámetros Proyección'!$G$15),0,'Parámetros Proyección'!$G$15)))</f>
        <v/>
      </c>
      <c r="J202" s="35">
        <f>H202+I202</f>
        <v/>
      </c>
      <c r="K202" s="35">
        <f>P201</f>
        <v/>
      </c>
      <c r="L202" s="35">
        <f>K202*(1+'Parámetros Proyección'!$E$12)</f>
        <v/>
      </c>
      <c r="M202" s="35">
        <f>L202*'Parámetros Proyección'!$F$12</f>
        <v/>
      </c>
      <c r="N202" s="35">
        <f>L202+M202</f>
        <v/>
      </c>
      <c r="O202" s="35">
        <f>IF((N202/AI202&gt;'Parámetros Proyección'!$G$12),0,D202*'Parámetros Proyección'!$G$12/(IF((H202/AI202&gt;'Parámetros Proyección'!$G$11),0,'Parámetros Proyección'!$G$11)+IF((N202/AI202&gt;'Parámetros Proyección'!$G$12),0,'Parámetros Proyección'!$G$12)+IF((T202/AI202&gt;'Parámetros Proyección'!$G$13),0,'Parámetros Proyección'!$G$13)+IF((Z202/AI202&gt;'Parámetros Proyección'!$G$14),0,'Parámetros Proyección'!$G$14)+IF((AF202/AI202&gt;'Parámetros Proyección'!$G$15),0,'Parámetros Proyección'!$G$15)))</f>
        <v/>
      </c>
      <c r="P202" s="35">
        <f>N202+O202</f>
        <v/>
      </c>
      <c r="Q202" s="35">
        <f>V201</f>
        <v/>
      </c>
      <c r="R202" s="35">
        <f>Q202*(1+'Parámetros Proyección'!$E$13)</f>
        <v/>
      </c>
      <c r="S202" s="35">
        <f>R202*'Parámetros Proyección'!$F$13</f>
        <v/>
      </c>
      <c r="T202" s="35">
        <f>R202+S202</f>
        <v/>
      </c>
      <c r="U202" s="35">
        <f>IF((T202/AI202&gt;'Parámetros Proyección'!$G$13),0,D202*'Parámetros Proyección'!$G$13/(IF((H202/AI202&gt;'Parámetros Proyección'!$G$11),0,'Parámetros Proyección'!$G$11)+IF((N202/AI202&gt;'Parámetros Proyección'!$G$12),0,'Parámetros Proyección'!$G$12)+IF((T202/AI202&gt;'Parámetros Proyección'!$G$13),0,'Parámetros Proyección'!$G$13)+IF((Z202/AI202&gt;'Parámetros Proyección'!$G$14),0,'Parámetros Proyección'!$G$14)+IF((AF202/AI202&gt;'Parámetros Proyección'!$G$15),0,'Parámetros Proyección'!$G$15)))</f>
        <v/>
      </c>
      <c r="V202" s="35">
        <f>T202+U202</f>
        <v/>
      </c>
      <c r="W202" s="35">
        <f>AB201</f>
        <v/>
      </c>
      <c r="X202" s="35">
        <f>W202*(1+'Parámetros Proyección'!$E$14)</f>
        <v/>
      </c>
      <c r="Y202" s="35">
        <f>X202*'Parámetros Proyección'!$F$14</f>
        <v/>
      </c>
      <c r="Z202" s="35">
        <f>X202+Y202</f>
        <v/>
      </c>
      <c r="AA202" s="35">
        <f>IF((Z202/AI202&gt;'Parámetros Proyección'!$G$14),0,D202*'Parámetros Proyección'!$G$14/(IF((H202/AI202&gt;'Parámetros Proyección'!$G$11),0,'Parámetros Proyección'!$G$11)+IF((N202/AI202&gt;'Parámetros Proyección'!$G$12),0,'Parámetros Proyección'!$G$12)+IF((T202/AI202&gt;'Parámetros Proyección'!$G$13),0,'Parámetros Proyección'!$G$13)+IF((Z202/AI202&gt;'Parámetros Proyección'!$G$14),0,'Parámetros Proyección'!$G$14)+IF((AF202/AI202&gt;'Parámetros Proyección'!$G$15),0,'Parámetros Proyección'!$G$15)))</f>
        <v/>
      </c>
      <c r="AB202" s="35">
        <f>Z202+AA202</f>
        <v/>
      </c>
      <c r="AC202" s="35">
        <f>AH201</f>
        <v/>
      </c>
      <c r="AD202" s="35">
        <f>AC202*(1+'Parámetros Proyección'!$E$15)</f>
        <v/>
      </c>
      <c r="AE202" s="35">
        <f>AD202*'Parámetros Proyección'!$F$15</f>
        <v/>
      </c>
      <c r="AF202" s="35">
        <f>AD202+AE202</f>
        <v/>
      </c>
      <c r="AG202" s="35">
        <f>IF((AF202/AI202&gt;'Parámetros Proyección'!$G$15),0,D202*'Parámetros Proyección'!$G$15/(IF((H202/AI202&gt;'Parámetros Proyección'!$G$11),0,'Parámetros Proyección'!$G$11)+IF((N202/AI202&gt;'Parámetros Proyección'!$G$12),0,'Parámetros Proyección'!$G$12)+IF((T202/AI202&gt;'Parámetros Proyección'!$G$13),0,'Parámetros Proyección'!$G$13)+IF((Z202/AI202&gt;'Parámetros Proyección'!$G$14),0,'Parámetros Proyección'!$G$14)+IF((AF202/AI202&gt;'Parámetros Proyección'!$G$15),0,'Parámetros Proyección'!$G$15)))</f>
        <v/>
      </c>
      <c r="AH202" s="35">
        <f>AF202+AG202</f>
        <v/>
      </c>
      <c r="AI202" s="35">
        <f>H202+N202+T202+Z202+AF202</f>
        <v/>
      </c>
      <c r="AJ202" s="33">
        <f>AF202/AI202</f>
        <v/>
      </c>
      <c r="AK202">
        <f>IF(AJ202&gt;'Parámetros Proyección'!$B$5,1,0)</f>
        <v/>
      </c>
      <c r="AL202" s="35">
        <f>G202+M202+S202+Y202+AE202</f>
        <v/>
      </c>
      <c r="AM202" s="35">
        <f>AM201+D202</f>
        <v/>
      </c>
      <c r="AN202" s="35">
        <f>AN201+AL202</f>
        <v/>
      </c>
      <c r="AO202" s="35">
        <f>J202+P202+V202+AB202+AH202</f>
        <v/>
      </c>
    </row>
    <row r="203">
      <c r="A203" t="n">
        <v>200</v>
      </c>
      <c r="B203" s="34">
        <f>EDATE(B202,1)</f>
        <v/>
      </c>
      <c r="C203">
        <f>YEAR(B203)</f>
        <v/>
      </c>
      <c r="D203" s="35">
        <f>'Parámetros Proyección'!$B$3*(1+'Parámetros Proyección'!$B$4)^(C203-YEAR('Parámetros Proyección'!$B$6))</f>
        <v/>
      </c>
      <c r="E203" s="35">
        <f>J202</f>
        <v/>
      </c>
      <c r="F203" s="35">
        <f>E203*(1+'Parámetros Proyección'!$E$11)</f>
        <v/>
      </c>
      <c r="G203" s="35">
        <f>F203*'Parámetros Proyección'!$F$11</f>
        <v/>
      </c>
      <c r="H203" s="35">
        <f>F203+G203</f>
        <v/>
      </c>
      <c r="I203" s="35">
        <f>IF((H203/AI203&gt;'Parámetros Proyección'!$G$11),0,D203*'Parámetros Proyección'!$G$11/(IF((H203/AI203&gt;'Parámetros Proyección'!$G$11),0,'Parámetros Proyección'!$G$11)+IF((N203/AI203&gt;'Parámetros Proyección'!$G$12),0,'Parámetros Proyección'!$G$12)+IF((T203/AI203&gt;'Parámetros Proyección'!$G$13),0,'Parámetros Proyección'!$G$13)+IF((Z203/AI203&gt;'Parámetros Proyección'!$G$14),0,'Parámetros Proyección'!$G$14)+IF((AF203/AI203&gt;'Parámetros Proyección'!$G$15),0,'Parámetros Proyección'!$G$15)))</f>
        <v/>
      </c>
      <c r="J203" s="35">
        <f>H203+I203</f>
        <v/>
      </c>
      <c r="K203" s="35">
        <f>P202</f>
        <v/>
      </c>
      <c r="L203" s="35">
        <f>K203*(1+'Parámetros Proyección'!$E$12)</f>
        <v/>
      </c>
      <c r="M203" s="35">
        <f>L203*'Parámetros Proyección'!$F$12</f>
        <v/>
      </c>
      <c r="N203" s="35">
        <f>L203+M203</f>
        <v/>
      </c>
      <c r="O203" s="35">
        <f>IF((N203/AI203&gt;'Parámetros Proyección'!$G$12),0,D203*'Parámetros Proyección'!$G$12/(IF((H203/AI203&gt;'Parámetros Proyección'!$G$11),0,'Parámetros Proyección'!$G$11)+IF((N203/AI203&gt;'Parámetros Proyección'!$G$12),0,'Parámetros Proyección'!$G$12)+IF((T203/AI203&gt;'Parámetros Proyección'!$G$13),0,'Parámetros Proyección'!$G$13)+IF((Z203/AI203&gt;'Parámetros Proyección'!$G$14),0,'Parámetros Proyección'!$G$14)+IF((AF203/AI203&gt;'Parámetros Proyección'!$G$15),0,'Parámetros Proyección'!$G$15)))</f>
        <v/>
      </c>
      <c r="P203" s="35">
        <f>N203+O203</f>
        <v/>
      </c>
      <c r="Q203" s="35">
        <f>V202</f>
        <v/>
      </c>
      <c r="R203" s="35">
        <f>Q203*(1+'Parámetros Proyección'!$E$13)</f>
        <v/>
      </c>
      <c r="S203" s="35">
        <f>R203*'Parámetros Proyección'!$F$13</f>
        <v/>
      </c>
      <c r="T203" s="35">
        <f>R203+S203</f>
        <v/>
      </c>
      <c r="U203" s="35">
        <f>IF((T203/AI203&gt;'Parámetros Proyección'!$G$13),0,D203*'Parámetros Proyección'!$G$13/(IF((H203/AI203&gt;'Parámetros Proyección'!$G$11),0,'Parámetros Proyección'!$G$11)+IF((N203/AI203&gt;'Parámetros Proyección'!$G$12),0,'Parámetros Proyección'!$G$12)+IF((T203/AI203&gt;'Parámetros Proyección'!$G$13),0,'Parámetros Proyección'!$G$13)+IF((Z203/AI203&gt;'Parámetros Proyección'!$G$14),0,'Parámetros Proyección'!$G$14)+IF((AF203/AI203&gt;'Parámetros Proyección'!$G$15),0,'Parámetros Proyección'!$G$15)))</f>
        <v/>
      </c>
      <c r="V203" s="35">
        <f>T203+U203</f>
        <v/>
      </c>
      <c r="W203" s="35">
        <f>AB202</f>
        <v/>
      </c>
      <c r="X203" s="35">
        <f>W203*(1+'Parámetros Proyección'!$E$14)</f>
        <v/>
      </c>
      <c r="Y203" s="35">
        <f>X203*'Parámetros Proyección'!$F$14</f>
        <v/>
      </c>
      <c r="Z203" s="35">
        <f>X203+Y203</f>
        <v/>
      </c>
      <c r="AA203" s="35">
        <f>IF((Z203/AI203&gt;'Parámetros Proyección'!$G$14),0,D203*'Parámetros Proyección'!$G$14/(IF((H203/AI203&gt;'Parámetros Proyección'!$G$11),0,'Parámetros Proyección'!$G$11)+IF((N203/AI203&gt;'Parámetros Proyección'!$G$12),0,'Parámetros Proyección'!$G$12)+IF((T203/AI203&gt;'Parámetros Proyección'!$G$13),0,'Parámetros Proyección'!$G$13)+IF((Z203/AI203&gt;'Parámetros Proyección'!$G$14),0,'Parámetros Proyección'!$G$14)+IF((AF203/AI203&gt;'Parámetros Proyección'!$G$15),0,'Parámetros Proyección'!$G$15)))</f>
        <v/>
      </c>
      <c r="AB203" s="35">
        <f>Z203+AA203</f>
        <v/>
      </c>
      <c r="AC203" s="35">
        <f>AH202</f>
        <v/>
      </c>
      <c r="AD203" s="35">
        <f>AC203*(1+'Parámetros Proyección'!$E$15)</f>
        <v/>
      </c>
      <c r="AE203" s="35">
        <f>AD203*'Parámetros Proyección'!$F$15</f>
        <v/>
      </c>
      <c r="AF203" s="35">
        <f>AD203+AE203</f>
        <v/>
      </c>
      <c r="AG203" s="35">
        <f>IF((AF203/AI203&gt;'Parámetros Proyección'!$G$15),0,D203*'Parámetros Proyección'!$G$15/(IF((H203/AI203&gt;'Parámetros Proyección'!$G$11),0,'Parámetros Proyección'!$G$11)+IF((N203/AI203&gt;'Parámetros Proyección'!$G$12),0,'Parámetros Proyección'!$G$12)+IF((T203/AI203&gt;'Parámetros Proyección'!$G$13),0,'Parámetros Proyección'!$G$13)+IF((Z203/AI203&gt;'Parámetros Proyección'!$G$14),0,'Parámetros Proyección'!$G$14)+IF((AF203/AI203&gt;'Parámetros Proyección'!$G$15),0,'Parámetros Proyección'!$G$15)))</f>
        <v/>
      </c>
      <c r="AH203" s="35">
        <f>AF203+AG203</f>
        <v/>
      </c>
      <c r="AI203" s="35">
        <f>H203+N203+T203+Z203+AF203</f>
        <v/>
      </c>
      <c r="AJ203" s="33">
        <f>AF203/AI203</f>
        <v/>
      </c>
      <c r="AK203">
        <f>IF(AJ203&gt;'Parámetros Proyección'!$B$5,1,0)</f>
        <v/>
      </c>
      <c r="AL203" s="35">
        <f>G203+M203+S203+Y203+AE203</f>
        <v/>
      </c>
      <c r="AM203" s="35">
        <f>AM202+D203</f>
        <v/>
      </c>
      <c r="AN203" s="35">
        <f>AN202+AL203</f>
        <v/>
      </c>
      <c r="AO203" s="35">
        <f>J203+P203+V203+AB203+AH203</f>
        <v/>
      </c>
    </row>
    <row r="204">
      <c r="A204" t="n">
        <v>201</v>
      </c>
      <c r="B204" s="34">
        <f>EDATE(B203,1)</f>
        <v/>
      </c>
      <c r="C204">
        <f>YEAR(B204)</f>
        <v/>
      </c>
      <c r="D204" s="35">
        <f>'Parámetros Proyección'!$B$3*(1+'Parámetros Proyección'!$B$4)^(C204-YEAR('Parámetros Proyección'!$B$6))</f>
        <v/>
      </c>
      <c r="E204" s="35">
        <f>J203</f>
        <v/>
      </c>
      <c r="F204" s="35">
        <f>E204*(1+'Parámetros Proyección'!$E$11)</f>
        <v/>
      </c>
      <c r="G204" s="35">
        <f>F204*'Parámetros Proyección'!$F$11</f>
        <v/>
      </c>
      <c r="H204" s="35">
        <f>F204+G204</f>
        <v/>
      </c>
      <c r="I204" s="35">
        <f>IF((H204/AI204&gt;'Parámetros Proyección'!$G$11),0,D204*'Parámetros Proyección'!$G$11/(IF((H204/AI204&gt;'Parámetros Proyección'!$G$11),0,'Parámetros Proyección'!$G$11)+IF((N204/AI204&gt;'Parámetros Proyección'!$G$12),0,'Parámetros Proyección'!$G$12)+IF((T204/AI204&gt;'Parámetros Proyección'!$G$13),0,'Parámetros Proyección'!$G$13)+IF((Z204/AI204&gt;'Parámetros Proyección'!$G$14),0,'Parámetros Proyección'!$G$14)+IF((AF204/AI204&gt;'Parámetros Proyección'!$G$15),0,'Parámetros Proyección'!$G$15)))</f>
        <v/>
      </c>
      <c r="J204" s="35">
        <f>H204+I204</f>
        <v/>
      </c>
      <c r="K204" s="35">
        <f>P203</f>
        <v/>
      </c>
      <c r="L204" s="35">
        <f>K204*(1+'Parámetros Proyección'!$E$12)</f>
        <v/>
      </c>
      <c r="M204" s="35">
        <f>L204*'Parámetros Proyección'!$F$12</f>
        <v/>
      </c>
      <c r="N204" s="35">
        <f>L204+M204</f>
        <v/>
      </c>
      <c r="O204" s="35">
        <f>IF((N204/AI204&gt;'Parámetros Proyección'!$G$12),0,D204*'Parámetros Proyección'!$G$12/(IF((H204/AI204&gt;'Parámetros Proyección'!$G$11),0,'Parámetros Proyección'!$G$11)+IF((N204/AI204&gt;'Parámetros Proyección'!$G$12),0,'Parámetros Proyección'!$G$12)+IF((T204/AI204&gt;'Parámetros Proyección'!$G$13),0,'Parámetros Proyección'!$G$13)+IF((Z204/AI204&gt;'Parámetros Proyección'!$G$14),0,'Parámetros Proyección'!$G$14)+IF((AF204/AI204&gt;'Parámetros Proyección'!$G$15),0,'Parámetros Proyección'!$G$15)))</f>
        <v/>
      </c>
      <c r="P204" s="35">
        <f>N204+O204</f>
        <v/>
      </c>
      <c r="Q204" s="35">
        <f>V203</f>
        <v/>
      </c>
      <c r="R204" s="35">
        <f>Q204*(1+'Parámetros Proyección'!$E$13)</f>
        <v/>
      </c>
      <c r="S204" s="35">
        <f>R204*'Parámetros Proyección'!$F$13</f>
        <v/>
      </c>
      <c r="T204" s="35">
        <f>R204+S204</f>
        <v/>
      </c>
      <c r="U204" s="35">
        <f>IF((T204/AI204&gt;'Parámetros Proyección'!$G$13),0,D204*'Parámetros Proyección'!$G$13/(IF((H204/AI204&gt;'Parámetros Proyección'!$G$11),0,'Parámetros Proyección'!$G$11)+IF((N204/AI204&gt;'Parámetros Proyección'!$G$12),0,'Parámetros Proyección'!$G$12)+IF((T204/AI204&gt;'Parámetros Proyección'!$G$13),0,'Parámetros Proyección'!$G$13)+IF((Z204/AI204&gt;'Parámetros Proyección'!$G$14),0,'Parámetros Proyección'!$G$14)+IF((AF204/AI204&gt;'Parámetros Proyección'!$G$15),0,'Parámetros Proyección'!$G$15)))</f>
        <v/>
      </c>
      <c r="V204" s="35">
        <f>T204+U204</f>
        <v/>
      </c>
      <c r="W204" s="35">
        <f>AB203</f>
        <v/>
      </c>
      <c r="X204" s="35">
        <f>W204*(1+'Parámetros Proyección'!$E$14)</f>
        <v/>
      </c>
      <c r="Y204" s="35">
        <f>X204*'Parámetros Proyección'!$F$14</f>
        <v/>
      </c>
      <c r="Z204" s="35">
        <f>X204+Y204</f>
        <v/>
      </c>
      <c r="AA204" s="35">
        <f>IF((Z204/AI204&gt;'Parámetros Proyección'!$G$14),0,D204*'Parámetros Proyección'!$G$14/(IF((H204/AI204&gt;'Parámetros Proyección'!$G$11),0,'Parámetros Proyección'!$G$11)+IF((N204/AI204&gt;'Parámetros Proyección'!$G$12),0,'Parámetros Proyección'!$G$12)+IF((T204/AI204&gt;'Parámetros Proyección'!$G$13),0,'Parámetros Proyección'!$G$13)+IF((Z204/AI204&gt;'Parámetros Proyección'!$G$14),0,'Parámetros Proyección'!$G$14)+IF((AF204/AI204&gt;'Parámetros Proyección'!$G$15),0,'Parámetros Proyección'!$G$15)))</f>
        <v/>
      </c>
      <c r="AB204" s="35">
        <f>Z204+AA204</f>
        <v/>
      </c>
      <c r="AC204" s="35">
        <f>AH203</f>
        <v/>
      </c>
      <c r="AD204" s="35">
        <f>AC204*(1+'Parámetros Proyección'!$E$15)</f>
        <v/>
      </c>
      <c r="AE204" s="35">
        <f>AD204*'Parámetros Proyección'!$F$15</f>
        <v/>
      </c>
      <c r="AF204" s="35">
        <f>AD204+AE204</f>
        <v/>
      </c>
      <c r="AG204" s="35">
        <f>IF((AF204/AI204&gt;'Parámetros Proyección'!$G$15),0,D204*'Parámetros Proyección'!$G$15/(IF((H204/AI204&gt;'Parámetros Proyección'!$G$11),0,'Parámetros Proyección'!$G$11)+IF((N204/AI204&gt;'Parámetros Proyección'!$G$12),0,'Parámetros Proyección'!$G$12)+IF((T204/AI204&gt;'Parámetros Proyección'!$G$13),0,'Parámetros Proyección'!$G$13)+IF((Z204/AI204&gt;'Parámetros Proyección'!$G$14),0,'Parámetros Proyección'!$G$14)+IF((AF204/AI204&gt;'Parámetros Proyección'!$G$15),0,'Parámetros Proyección'!$G$15)))</f>
        <v/>
      </c>
      <c r="AH204" s="35">
        <f>AF204+AG204</f>
        <v/>
      </c>
      <c r="AI204" s="35">
        <f>H204+N204+T204+Z204+AF204</f>
        <v/>
      </c>
      <c r="AJ204" s="33">
        <f>AF204/AI204</f>
        <v/>
      </c>
      <c r="AK204">
        <f>IF(AJ204&gt;'Parámetros Proyección'!$B$5,1,0)</f>
        <v/>
      </c>
      <c r="AL204" s="35">
        <f>G204+M204+S204+Y204+AE204</f>
        <v/>
      </c>
      <c r="AM204" s="35">
        <f>AM203+D204</f>
        <v/>
      </c>
      <c r="AN204" s="35">
        <f>AN203+AL204</f>
        <v/>
      </c>
      <c r="AO204" s="35">
        <f>J204+P204+V204+AB204+AH204</f>
        <v/>
      </c>
    </row>
    <row r="205">
      <c r="A205" t="n">
        <v>202</v>
      </c>
      <c r="B205" s="34">
        <f>EDATE(B204,1)</f>
        <v/>
      </c>
      <c r="C205">
        <f>YEAR(B205)</f>
        <v/>
      </c>
      <c r="D205" s="35">
        <f>'Parámetros Proyección'!$B$3*(1+'Parámetros Proyección'!$B$4)^(C205-YEAR('Parámetros Proyección'!$B$6))</f>
        <v/>
      </c>
      <c r="E205" s="35">
        <f>J204</f>
        <v/>
      </c>
      <c r="F205" s="35">
        <f>E205*(1+'Parámetros Proyección'!$E$11)</f>
        <v/>
      </c>
      <c r="G205" s="35">
        <f>F205*'Parámetros Proyección'!$F$11</f>
        <v/>
      </c>
      <c r="H205" s="35">
        <f>F205+G205</f>
        <v/>
      </c>
      <c r="I205" s="35">
        <f>IF((H205/AI205&gt;'Parámetros Proyección'!$G$11),0,D205*'Parámetros Proyección'!$G$11/(IF((H205/AI205&gt;'Parámetros Proyección'!$G$11),0,'Parámetros Proyección'!$G$11)+IF((N205/AI205&gt;'Parámetros Proyección'!$G$12),0,'Parámetros Proyección'!$G$12)+IF((T205/AI205&gt;'Parámetros Proyección'!$G$13),0,'Parámetros Proyección'!$G$13)+IF((Z205/AI205&gt;'Parámetros Proyección'!$G$14),0,'Parámetros Proyección'!$G$14)+IF((AF205/AI205&gt;'Parámetros Proyección'!$G$15),0,'Parámetros Proyección'!$G$15)))</f>
        <v/>
      </c>
      <c r="J205" s="35">
        <f>H205+I205</f>
        <v/>
      </c>
      <c r="K205" s="35">
        <f>P204</f>
        <v/>
      </c>
      <c r="L205" s="35">
        <f>K205*(1+'Parámetros Proyección'!$E$12)</f>
        <v/>
      </c>
      <c r="M205" s="35">
        <f>L205*'Parámetros Proyección'!$F$12</f>
        <v/>
      </c>
      <c r="N205" s="35">
        <f>L205+M205</f>
        <v/>
      </c>
      <c r="O205" s="35">
        <f>IF((N205/AI205&gt;'Parámetros Proyección'!$G$12),0,D205*'Parámetros Proyección'!$G$12/(IF((H205/AI205&gt;'Parámetros Proyección'!$G$11),0,'Parámetros Proyección'!$G$11)+IF((N205/AI205&gt;'Parámetros Proyección'!$G$12),0,'Parámetros Proyección'!$G$12)+IF((T205/AI205&gt;'Parámetros Proyección'!$G$13),0,'Parámetros Proyección'!$G$13)+IF((Z205/AI205&gt;'Parámetros Proyección'!$G$14),0,'Parámetros Proyección'!$G$14)+IF((AF205/AI205&gt;'Parámetros Proyección'!$G$15),0,'Parámetros Proyección'!$G$15)))</f>
        <v/>
      </c>
      <c r="P205" s="35">
        <f>N205+O205</f>
        <v/>
      </c>
      <c r="Q205" s="35">
        <f>V204</f>
        <v/>
      </c>
      <c r="R205" s="35">
        <f>Q205*(1+'Parámetros Proyección'!$E$13)</f>
        <v/>
      </c>
      <c r="S205" s="35">
        <f>R205*'Parámetros Proyección'!$F$13</f>
        <v/>
      </c>
      <c r="T205" s="35">
        <f>R205+S205</f>
        <v/>
      </c>
      <c r="U205" s="35">
        <f>IF((T205/AI205&gt;'Parámetros Proyección'!$G$13),0,D205*'Parámetros Proyección'!$G$13/(IF((H205/AI205&gt;'Parámetros Proyección'!$G$11),0,'Parámetros Proyección'!$G$11)+IF((N205/AI205&gt;'Parámetros Proyección'!$G$12),0,'Parámetros Proyección'!$G$12)+IF((T205/AI205&gt;'Parámetros Proyección'!$G$13),0,'Parámetros Proyección'!$G$13)+IF((Z205/AI205&gt;'Parámetros Proyección'!$G$14),0,'Parámetros Proyección'!$G$14)+IF((AF205/AI205&gt;'Parámetros Proyección'!$G$15),0,'Parámetros Proyección'!$G$15)))</f>
        <v/>
      </c>
      <c r="V205" s="35">
        <f>T205+U205</f>
        <v/>
      </c>
      <c r="W205" s="35">
        <f>AB204</f>
        <v/>
      </c>
      <c r="X205" s="35">
        <f>W205*(1+'Parámetros Proyección'!$E$14)</f>
        <v/>
      </c>
      <c r="Y205" s="35">
        <f>X205*'Parámetros Proyección'!$F$14</f>
        <v/>
      </c>
      <c r="Z205" s="35">
        <f>X205+Y205</f>
        <v/>
      </c>
      <c r="AA205" s="35">
        <f>IF((Z205/AI205&gt;'Parámetros Proyección'!$G$14),0,D205*'Parámetros Proyección'!$G$14/(IF((H205/AI205&gt;'Parámetros Proyección'!$G$11),0,'Parámetros Proyección'!$G$11)+IF((N205/AI205&gt;'Parámetros Proyección'!$G$12),0,'Parámetros Proyección'!$G$12)+IF((T205/AI205&gt;'Parámetros Proyección'!$G$13),0,'Parámetros Proyección'!$G$13)+IF((Z205/AI205&gt;'Parámetros Proyección'!$G$14),0,'Parámetros Proyección'!$G$14)+IF((AF205/AI205&gt;'Parámetros Proyección'!$G$15),0,'Parámetros Proyección'!$G$15)))</f>
        <v/>
      </c>
      <c r="AB205" s="35">
        <f>Z205+AA205</f>
        <v/>
      </c>
      <c r="AC205" s="35">
        <f>AH204</f>
        <v/>
      </c>
      <c r="AD205" s="35">
        <f>AC205*(1+'Parámetros Proyección'!$E$15)</f>
        <v/>
      </c>
      <c r="AE205" s="35">
        <f>AD205*'Parámetros Proyección'!$F$15</f>
        <v/>
      </c>
      <c r="AF205" s="35">
        <f>AD205+AE205</f>
        <v/>
      </c>
      <c r="AG205" s="35">
        <f>IF((AF205/AI205&gt;'Parámetros Proyección'!$G$15),0,D205*'Parámetros Proyección'!$G$15/(IF((H205/AI205&gt;'Parámetros Proyección'!$G$11),0,'Parámetros Proyección'!$G$11)+IF((N205/AI205&gt;'Parámetros Proyección'!$G$12),0,'Parámetros Proyección'!$G$12)+IF((T205/AI205&gt;'Parámetros Proyección'!$G$13),0,'Parámetros Proyección'!$G$13)+IF((Z205/AI205&gt;'Parámetros Proyección'!$G$14),0,'Parámetros Proyección'!$G$14)+IF((AF205/AI205&gt;'Parámetros Proyección'!$G$15),0,'Parámetros Proyección'!$G$15)))</f>
        <v/>
      </c>
      <c r="AH205" s="35">
        <f>AF205+AG205</f>
        <v/>
      </c>
      <c r="AI205" s="35">
        <f>H205+N205+T205+Z205+AF205</f>
        <v/>
      </c>
      <c r="AJ205" s="33">
        <f>AF205/AI205</f>
        <v/>
      </c>
      <c r="AK205">
        <f>IF(AJ205&gt;'Parámetros Proyección'!$B$5,1,0)</f>
        <v/>
      </c>
      <c r="AL205" s="35">
        <f>G205+M205+S205+Y205+AE205</f>
        <v/>
      </c>
      <c r="AM205" s="35">
        <f>AM204+D205</f>
        <v/>
      </c>
      <c r="AN205" s="35">
        <f>AN204+AL205</f>
        <v/>
      </c>
      <c r="AO205" s="35">
        <f>J205+P205+V205+AB205+AH205</f>
        <v/>
      </c>
    </row>
    <row r="206">
      <c r="A206" t="n">
        <v>203</v>
      </c>
      <c r="B206" s="34">
        <f>EDATE(B205,1)</f>
        <v/>
      </c>
      <c r="C206">
        <f>YEAR(B206)</f>
        <v/>
      </c>
      <c r="D206" s="35">
        <f>'Parámetros Proyección'!$B$3*(1+'Parámetros Proyección'!$B$4)^(C206-YEAR('Parámetros Proyección'!$B$6))</f>
        <v/>
      </c>
      <c r="E206" s="35">
        <f>J205</f>
        <v/>
      </c>
      <c r="F206" s="35">
        <f>E206*(1+'Parámetros Proyección'!$E$11)</f>
        <v/>
      </c>
      <c r="G206" s="35">
        <f>F206*'Parámetros Proyección'!$F$11</f>
        <v/>
      </c>
      <c r="H206" s="35">
        <f>F206+G206</f>
        <v/>
      </c>
      <c r="I206" s="35">
        <f>IF((H206/AI206&gt;'Parámetros Proyección'!$G$11),0,D206*'Parámetros Proyección'!$G$11/(IF((H206/AI206&gt;'Parámetros Proyección'!$G$11),0,'Parámetros Proyección'!$G$11)+IF((N206/AI206&gt;'Parámetros Proyección'!$G$12),0,'Parámetros Proyección'!$G$12)+IF((T206/AI206&gt;'Parámetros Proyección'!$G$13),0,'Parámetros Proyección'!$G$13)+IF((Z206/AI206&gt;'Parámetros Proyección'!$G$14),0,'Parámetros Proyección'!$G$14)+IF((AF206/AI206&gt;'Parámetros Proyección'!$G$15),0,'Parámetros Proyección'!$G$15)))</f>
        <v/>
      </c>
      <c r="J206" s="35">
        <f>H206+I206</f>
        <v/>
      </c>
      <c r="K206" s="35">
        <f>P205</f>
        <v/>
      </c>
      <c r="L206" s="35">
        <f>K206*(1+'Parámetros Proyección'!$E$12)</f>
        <v/>
      </c>
      <c r="M206" s="35">
        <f>L206*'Parámetros Proyección'!$F$12</f>
        <v/>
      </c>
      <c r="N206" s="35">
        <f>L206+M206</f>
        <v/>
      </c>
      <c r="O206" s="35">
        <f>IF((N206/AI206&gt;'Parámetros Proyección'!$G$12),0,D206*'Parámetros Proyección'!$G$12/(IF((H206/AI206&gt;'Parámetros Proyección'!$G$11),0,'Parámetros Proyección'!$G$11)+IF((N206/AI206&gt;'Parámetros Proyección'!$G$12),0,'Parámetros Proyección'!$G$12)+IF((T206/AI206&gt;'Parámetros Proyección'!$G$13),0,'Parámetros Proyección'!$G$13)+IF((Z206/AI206&gt;'Parámetros Proyección'!$G$14),0,'Parámetros Proyección'!$G$14)+IF((AF206/AI206&gt;'Parámetros Proyección'!$G$15),0,'Parámetros Proyección'!$G$15)))</f>
        <v/>
      </c>
      <c r="P206" s="35">
        <f>N206+O206</f>
        <v/>
      </c>
      <c r="Q206" s="35">
        <f>V205</f>
        <v/>
      </c>
      <c r="R206" s="35">
        <f>Q206*(1+'Parámetros Proyección'!$E$13)</f>
        <v/>
      </c>
      <c r="S206" s="35">
        <f>R206*'Parámetros Proyección'!$F$13</f>
        <v/>
      </c>
      <c r="T206" s="35">
        <f>R206+S206</f>
        <v/>
      </c>
      <c r="U206" s="35">
        <f>IF((T206/AI206&gt;'Parámetros Proyección'!$G$13),0,D206*'Parámetros Proyección'!$G$13/(IF((H206/AI206&gt;'Parámetros Proyección'!$G$11),0,'Parámetros Proyección'!$G$11)+IF((N206/AI206&gt;'Parámetros Proyección'!$G$12),0,'Parámetros Proyección'!$G$12)+IF((T206/AI206&gt;'Parámetros Proyección'!$G$13),0,'Parámetros Proyección'!$G$13)+IF((Z206/AI206&gt;'Parámetros Proyección'!$G$14),0,'Parámetros Proyección'!$G$14)+IF((AF206/AI206&gt;'Parámetros Proyección'!$G$15),0,'Parámetros Proyección'!$G$15)))</f>
        <v/>
      </c>
      <c r="V206" s="35">
        <f>T206+U206</f>
        <v/>
      </c>
      <c r="W206" s="35">
        <f>AB205</f>
        <v/>
      </c>
      <c r="X206" s="35">
        <f>W206*(1+'Parámetros Proyección'!$E$14)</f>
        <v/>
      </c>
      <c r="Y206" s="35">
        <f>X206*'Parámetros Proyección'!$F$14</f>
        <v/>
      </c>
      <c r="Z206" s="35">
        <f>X206+Y206</f>
        <v/>
      </c>
      <c r="AA206" s="35">
        <f>IF((Z206/AI206&gt;'Parámetros Proyección'!$G$14),0,D206*'Parámetros Proyección'!$G$14/(IF((H206/AI206&gt;'Parámetros Proyección'!$G$11),0,'Parámetros Proyección'!$G$11)+IF((N206/AI206&gt;'Parámetros Proyección'!$G$12),0,'Parámetros Proyección'!$G$12)+IF((T206/AI206&gt;'Parámetros Proyección'!$G$13),0,'Parámetros Proyección'!$G$13)+IF((Z206/AI206&gt;'Parámetros Proyección'!$G$14),0,'Parámetros Proyección'!$G$14)+IF((AF206/AI206&gt;'Parámetros Proyección'!$G$15),0,'Parámetros Proyección'!$G$15)))</f>
        <v/>
      </c>
      <c r="AB206" s="35">
        <f>Z206+AA206</f>
        <v/>
      </c>
      <c r="AC206" s="35">
        <f>AH205</f>
        <v/>
      </c>
      <c r="AD206" s="35">
        <f>AC206*(1+'Parámetros Proyección'!$E$15)</f>
        <v/>
      </c>
      <c r="AE206" s="35">
        <f>AD206*'Parámetros Proyección'!$F$15</f>
        <v/>
      </c>
      <c r="AF206" s="35">
        <f>AD206+AE206</f>
        <v/>
      </c>
      <c r="AG206" s="35">
        <f>IF((AF206/AI206&gt;'Parámetros Proyección'!$G$15),0,D206*'Parámetros Proyección'!$G$15/(IF((H206/AI206&gt;'Parámetros Proyección'!$G$11),0,'Parámetros Proyección'!$G$11)+IF((N206/AI206&gt;'Parámetros Proyección'!$G$12),0,'Parámetros Proyección'!$G$12)+IF((T206/AI206&gt;'Parámetros Proyección'!$G$13),0,'Parámetros Proyección'!$G$13)+IF((Z206/AI206&gt;'Parámetros Proyección'!$G$14),0,'Parámetros Proyección'!$G$14)+IF((AF206/AI206&gt;'Parámetros Proyección'!$G$15),0,'Parámetros Proyección'!$G$15)))</f>
        <v/>
      </c>
      <c r="AH206" s="35">
        <f>AF206+AG206</f>
        <v/>
      </c>
      <c r="AI206" s="35">
        <f>H206+N206+T206+Z206+AF206</f>
        <v/>
      </c>
      <c r="AJ206" s="33">
        <f>AF206/AI206</f>
        <v/>
      </c>
      <c r="AK206">
        <f>IF(AJ206&gt;'Parámetros Proyección'!$B$5,1,0)</f>
        <v/>
      </c>
      <c r="AL206" s="35">
        <f>G206+M206+S206+Y206+AE206</f>
        <v/>
      </c>
      <c r="AM206" s="35">
        <f>AM205+D206</f>
        <v/>
      </c>
      <c r="AN206" s="35">
        <f>AN205+AL206</f>
        <v/>
      </c>
      <c r="AO206" s="35">
        <f>J206+P206+V206+AB206+AH206</f>
        <v/>
      </c>
    </row>
    <row r="207">
      <c r="A207" t="n">
        <v>204</v>
      </c>
      <c r="B207" s="34">
        <f>EDATE(B206,1)</f>
        <v/>
      </c>
      <c r="C207">
        <f>YEAR(B207)</f>
        <v/>
      </c>
      <c r="D207" s="35">
        <f>'Parámetros Proyección'!$B$3*(1+'Parámetros Proyección'!$B$4)^(C207-YEAR('Parámetros Proyección'!$B$6))</f>
        <v/>
      </c>
      <c r="E207" s="35">
        <f>J206</f>
        <v/>
      </c>
      <c r="F207" s="35">
        <f>E207*(1+'Parámetros Proyección'!$E$11)</f>
        <v/>
      </c>
      <c r="G207" s="35">
        <f>F207*'Parámetros Proyección'!$F$11</f>
        <v/>
      </c>
      <c r="H207" s="35">
        <f>F207+G207</f>
        <v/>
      </c>
      <c r="I207" s="35">
        <f>IF((H207/AI207&gt;'Parámetros Proyección'!$G$11),0,D207*'Parámetros Proyección'!$G$11/(IF((H207/AI207&gt;'Parámetros Proyección'!$G$11),0,'Parámetros Proyección'!$G$11)+IF((N207/AI207&gt;'Parámetros Proyección'!$G$12),0,'Parámetros Proyección'!$G$12)+IF((T207/AI207&gt;'Parámetros Proyección'!$G$13),0,'Parámetros Proyección'!$G$13)+IF((Z207/AI207&gt;'Parámetros Proyección'!$G$14),0,'Parámetros Proyección'!$G$14)+IF((AF207/AI207&gt;'Parámetros Proyección'!$G$15),0,'Parámetros Proyección'!$G$15)))</f>
        <v/>
      </c>
      <c r="J207" s="35">
        <f>H207+I207</f>
        <v/>
      </c>
      <c r="K207" s="35">
        <f>P206</f>
        <v/>
      </c>
      <c r="L207" s="35">
        <f>K207*(1+'Parámetros Proyección'!$E$12)</f>
        <v/>
      </c>
      <c r="M207" s="35">
        <f>L207*'Parámetros Proyección'!$F$12</f>
        <v/>
      </c>
      <c r="N207" s="35">
        <f>L207+M207</f>
        <v/>
      </c>
      <c r="O207" s="35">
        <f>IF((N207/AI207&gt;'Parámetros Proyección'!$G$12),0,D207*'Parámetros Proyección'!$G$12/(IF((H207/AI207&gt;'Parámetros Proyección'!$G$11),0,'Parámetros Proyección'!$G$11)+IF((N207/AI207&gt;'Parámetros Proyección'!$G$12),0,'Parámetros Proyección'!$G$12)+IF((T207/AI207&gt;'Parámetros Proyección'!$G$13),0,'Parámetros Proyección'!$G$13)+IF((Z207/AI207&gt;'Parámetros Proyección'!$G$14),0,'Parámetros Proyección'!$G$14)+IF((AF207/AI207&gt;'Parámetros Proyección'!$G$15),0,'Parámetros Proyección'!$G$15)))</f>
        <v/>
      </c>
      <c r="P207" s="35">
        <f>N207+O207</f>
        <v/>
      </c>
      <c r="Q207" s="35">
        <f>V206</f>
        <v/>
      </c>
      <c r="R207" s="35">
        <f>Q207*(1+'Parámetros Proyección'!$E$13)</f>
        <v/>
      </c>
      <c r="S207" s="35">
        <f>R207*'Parámetros Proyección'!$F$13</f>
        <v/>
      </c>
      <c r="T207" s="35">
        <f>R207+S207</f>
        <v/>
      </c>
      <c r="U207" s="35">
        <f>IF((T207/AI207&gt;'Parámetros Proyección'!$G$13),0,D207*'Parámetros Proyección'!$G$13/(IF((H207/AI207&gt;'Parámetros Proyección'!$G$11),0,'Parámetros Proyección'!$G$11)+IF((N207/AI207&gt;'Parámetros Proyección'!$G$12),0,'Parámetros Proyección'!$G$12)+IF((T207/AI207&gt;'Parámetros Proyección'!$G$13),0,'Parámetros Proyección'!$G$13)+IF((Z207/AI207&gt;'Parámetros Proyección'!$G$14),0,'Parámetros Proyección'!$G$14)+IF((AF207/AI207&gt;'Parámetros Proyección'!$G$15),0,'Parámetros Proyección'!$G$15)))</f>
        <v/>
      </c>
      <c r="V207" s="35">
        <f>T207+U207</f>
        <v/>
      </c>
      <c r="W207" s="35">
        <f>AB206</f>
        <v/>
      </c>
      <c r="X207" s="35">
        <f>W207*(1+'Parámetros Proyección'!$E$14)</f>
        <v/>
      </c>
      <c r="Y207" s="35">
        <f>X207*'Parámetros Proyección'!$F$14</f>
        <v/>
      </c>
      <c r="Z207" s="35">
        <f>X207+Y207</f>
        <v/>
      </c>
      <c r="AA207" s="35">
        <f>IF((Z207/AI207&gt;'Parámetros Proyección'!$G$14),0,D207*'Parámetros Proyección'!$G$14/(IF((H207/AI207&gt;'Parámetros Proyección'!$G$11),0,'Parámetros Proyección'!$G$11)+IF((N207/AI207&gt;'Parámetros Proyección'!$G$12),0,'Parámetros Proyección'!$G$12)+IF((T207/AI207&gt;'Parámetros Proyección'!$G$13),0,'Parámetros Proyección'!$G$13)+IF((Z207/AI207&gt;'Parámetros Proyección'!$G$14),0,'Parámetros Proyección'!$G$14)+IF((AF207/AI207&gt;'Parámetros Proyección'!$G$15),0,'Parámetros Proyección'!$G$15)))</f>
        <v/>
      </c>
      <c r="AB207" s="35">
        <f>Z207+AA207</f>
        <v/>
      </c>
      <c r="AC207" s="35">
        <f>AH206</f>
        <v/>
      </c>
      <c r="AD207" s="35">
        <f>AC207*(1+'Parámetros Proyección'!$E$15)</f>
        <v/>
      </c>
      <c r="AE207" s="35">
        <f>AD207*'Parámetros Proyección'!$F$15</f>
        <v/>
      </c>
      <c r="AF207" s="35">
        <f>AD207+AE207</f>
        <v/>
      </c>
      <c r="AG207" s="35">
        <f>IF((AF207/AI207&gt;'Parámetros Proyección'!$G$15),0,D207*'Parámetros Proyección'!$G$15/(IF((H207/AI207&gt;'Parámetros Proyección'!$G$11),0,'Parámetros Proyección'!$G$11)+IF((N207/AI207&gt;'Parámetros Proyección'!$G$12),0,'Parámetros Proyección'!$G$12)+IF((T207/AI207&gt;'Parámetros Proyección'!$G$13),0,'Parámetros Proyección'!$G$13)+IF((Z207/AI207&gt;'Parámetros Proyección'!$G$14),0,'Parámetros Proyección'!$G$14)+IF((AF207/AI207&gt;'Parámetros Proyección'!$G$15),0,'Parámetros Proyección'!$G$15)))</f>
        <v/>
      </c>
      <c r="AH207" s="35">
        <f>AF207+AG207</f>
        <v/>
      </c>
      <c r="AI207" s="35">
        <f>H207+N207+T207+Z207+AF207</f>
        <v/>
      </c>
      <c r="AJ207" s="33">
        <f>AF207/AI207</f>
        <v/>
      </c>
      <c r="AK207">
        <f>IF(AJ207&gt;'Parámetros Proyección'!$B$5,1,0)</f>
        <v/>
      </c>
      <c r="AL207" s="35">
        <f>G207+M207+S207+Y207+AE207</f>
        <v/>
      </c>
      <c r="AM207" s="35">
        <f>AM206+D207</f>
        <v/>
      </c>
      <c r="AN207" s="35">
        <f>AN206+AL207</f>
        <v/>
      </c>
      <c r="AO207" s="35">
        <f>J207+P207+V207+AB207+AH207</f>
        <v/>
      </c>
    </row>
    <row r="208">
      <c r="A208" t="n">
        <v>205</v>
      </c>
      <c r="B208" s="34">
        <f>EDATE(B207,1)</f>
        <v/>
      </c>
      <c r="C208">
        <f>YEAR(B208)</f>
        <v/>
      </c>
      <c r="D208" s="35">
        <f>'Parámetros Proyección'!$B$3*(1+'Parámetros Proyección'!$B$4)^(C208-YEAR('Parámetros Proyección'!$B$6))</f>
        <v/>
      </c>
      <c r="E208" s="35">
        <f>J207</f>
        <v/>
      </c>
      <c r="F208" s="35">
        <f>E208*(1+'Parámetros Proyección'!$E$11)</f>
        <v/>
      </c>
      <c r="G208" s="35">
        <f>F208*'Parámetros Proyección'!$F$11</f>
        <v/>
      </c>
      <c r="H208" s="35">
        <f>F208+G208</f>
        <v/>
      </c>
      <c r="I208" s="35">
        <f>IF((H208/AI208&gt;'Parámetros Proyección'!$G$11),0,D208*'Parámetros Proyección'!$G$11/(IF((H208/AI208&gt;'Parámetros Proyección'!$G$11),0,'Parámetros Proyección'!$G$11)+IF((N208/AI208&gt;'Parámetros Proyección'!$G$12),0,'Parámetros Proyección'!$G$12)+IF((T208/AI208&gt;'Parámetros Proyección'!$G$13),0,'Parámetros Proyección'!$G$13)+IF((Z208/AI208&gt;'Parámetros Proyección'!$G$14),0,'Parámetros Proyección'!$G$14)+IF((AF208/AI208&gt;'Parámetros Proyección'!$G$15),0,'Parámetros Proyección'!$G$15)))</f>
        <v/>
      </c>
      <c r="J208" s="35">
        <f>H208+I208</f>
        <v/>
      </c>
      <c r="K208" s="35">
        <f>P207</f>
        <v/>
      </c>
      <c r="L208" s="35">
        <f>K208*(1+'Parámetros Proyección'!$E$12)</f>
        <v/>
      </c>
      <c r="M208" s="35">
        <f>L208*'Parámetros Proyección'!$F$12</f>
        <v/>
      </c>
      <c r="N208" s="35">
        <f>L208+M208</f>
        <v/>
      </c>
      <c r="O208" s="35">
        <f>IF((N208/AI208&gt;'Parámetros Proyección'!$G$12),0,D208*'Parámetros Proyección'!$G$12/(IF((H208/AI208&gt;'Parámetros Proyección'!$G$11),0,'Parámetros Proyección'!$G$11)+IF((N208/AI208&gt;'Parámetros Proyección'!$G$12),0,'Parámetros Proyección'!$G$12)+IF((T208/AI208&gt;'Parámetros Proyección'!$G$13),0,'Parámetros Proyección'!$G$13)+IF((Z208/AI208&gt;'Parámetros Proyección'!$G$14),0,'Parámetros Proyección'!$G$14)+IF((AF208/AI208&gt;'Parámetros Proyección'!$G$15),0,'Parámetros Proyección'!$G$15)))</f>
        <v/>
      </c>
      <c r="P208" s="35">
        <f>N208+O208</f>
        <v/>
      </c>
      <c r="Q208" s="35">
        <f>V207</f>
        <v/>
      </c>
      <c r="R208" s="35">
        <f>Q208*(1+'Parámetros Proyección'!$E$13)</f>
        <v/>
      </c>
      <c r="S208" s="35">
        <f>R208*'Parámetros Proyección'!$F$13</f>
        <v/>
      </c>
      <c r="T208" s="35">
        <f>R208+S208</f>
        <v/>
      </c>
      <c r="U208" s="35">
        <f>IF((T208/AI208&gt;'Parámetros Proyección'!$G$13),0,D208*'Parámetros Proyección'!$G$13/(IF((H208/AI208&gt;'Parámetros Proyección'!$G$11),0,'Parámetros Proyección'!$G$11)+IF((N208/AI208&gt;'Parámetros Proyección'!$G$12),0,'Parámetros Proyección'!$G$12)+IF((T208/AI208&gt;'Parámetros Proyección'!$G$13),0,'Parámetros Proyección'!$G$13)+IF((Z208/AI208&gt;'Parámetros Proyección'!$G$14),0,'Parámetros Proyección'!$G$14)+IF((AF208/AI208&gt;'Parámetros Proyección'!$G$15),0,'Parámetros Proyección'!$G$15)))</f>
        <v/>
      </c>
      <c r="V208" s="35">
        <f>T208+U208</f>
        <v/>
      </c>
      <c r="W208" s="35">
        <f>AB207</f>
        <v/>
      </c>
      <c r="X208" s="35">
        <f>W208*(1+'Parámetros Proyección'!$E$14)</f>
        <v/>
      </c>
      <c r="Y208" s="35">
        <f>X208*'Parámetros Proyección'!$F$14</f>
        <v/>
      </c>
      <c r="Z208" s="35">
        <f>X208+Y208</f>
        <v/>
      </c>
      <c r="AA208" s="35">
        <f>IF((Z208/AI208&gt;'Parámetros Proyección'!$G$14),0,D208*'Parámetros Proyección'!$G$14/(IF((H208/AI208&gt;'Parámetros Proyección'!$G$11),0,'Parámetros Proyección'!$G$11)+IF((N208/AI208&gt;'Parámetros Proyección'!$G$12),0,'Parámetros Proyección'!$G$12)+IF((T208/AI208&gt;'Parámetros Proyección'!$G$13),0,'Parámetros Proyección'!$G$13)+IF((Z208/AI208&gt;'Parámetros Proyección'!$G$14),0,'Parámetros Proyección'!$G$14)+IF((AF208/AI208&gt;'Parámetros Proyección'!$G$15),0,'Parámetros Proyección'!$G$15)))</f>
        <v/>
      </c>
      <c r="AB208" s="35">
        <f>Z208+AA208</f>
        <v/>
      </c>
      <c r="AC208" s="35">
        <f>AH207</f>
        <v/>
      </c>
      <c r="AD208" s="35">
        <f>AC208*(1+'Parámetros Proyección'!$E$15)</f>
        <v/>
      </c>
      <c r="AE208" s="35">
        <f>AD208*'Parámetros Proyección'!$F$15</f>
        <v/>
      </c>
      <c r="AF208" s="35">
        <f>AD208+AE208</f>
        <v/>
      </c>
      <c r="AG208" s="35">
        <f>IF((AF208/AI208&gt;'Parámetros Proyección'!$G$15),0,D208*'Parámetros Proyección'!$G$15/(IF((H208/AI208&gt;'Parámetros Proyección'!$G$11),0,'Parámetros Proyección'!$G$11)+IF((N208/AI208&gt;'Parámetros Proyección'!$G$12),0,'Parámetros Proyección'!$G$12)+IF((T208/AI208&gt;'Parámetros Proyección'!$G$13),0,'Parámetros Proyección'!$G$13)+IF((Z208/AI208&gt;'Parámetros Proyección'!$G$14),0,'Parámetros Proyección'!$G$14)+IF((AF208/AI208&gt;'Parámetros Proyección'!$G$15),0,'Parámetros Proyección'!$G$15)))</f>
        <v/>
      </c>
      <c r="AH208" s="35">
        <f>AF208+AG208</f>
        <v/>
      </c>
      <c r="AI208" s="35">
        <f>H208+N208+T208+Z208+AF208</f>
        <v/>
      </c>
      <c r="AJ208" s="33">
        <f>AF208/AI208</f>
        <v/>
      </c>
      <c r="AK208">
        <f>IF(AJ208&gt;'Parámetros Proyección'!$B$5,1,0)</f>
        <v/>
      </c>
      <c r="AL208" s="35">
        <f>G208+M208+S208+Y208+AE208</f>
        <v/>
      </c>
      <c r="AM208" s="35">
        <f>AM207+D208</f>
        <v/>
      </c>
      <c r="AN208" s="35">
        <f>AN207+AL208</f>
        <v/>
      </c>
      <c r="AO208" s="35">
        <f>J208+P208+V208+AB208+AH208</f>
        <v/>
      </c>
    </row>
    <row r="209">
      <c r="A209" t="n">
        <v>206</v>
      </c>
      <c r="B209" s="34">
        <f>EDATE(B208,1)</f>
        <v/>
      </c>
      <c r="C209">
        <f>YEAR(B209)</f>
        <v/>
      </c>
      <c r="D209" s="35">
        <f>'Parámetros Proyección'!$B$3*(1+'Parámetros Proyección'!$B$4)^(C209-YEAR('Parámetros Proyección'!$B$6))</f>
        <v/>
      </c>
      <c r="E209" s="35">
        <f>J208</f>
        <v/>
      </c>
      <c r="F209" s="35">
        <f>E209*(1+'Parámetros Proyección'!$E$11)</f>
        <v/>
      </c>
      <c r="G209" s="35">
        <f>F209*'Parámetros Proyección'!$F$11</f>
        <v/>
      </c>
      <c r="H209" s="35">
        <f>F209+G209</f>
        <v/>
      </c>
      <c r="I209" s="35">
        <f>IF((H209/AI209&gt;'Parámetros Proyección'!$G$11),0,D209*'Parámetros Proyección'!$G$11/(IF((H209/AI209&gt;'Parámetros Proyección'!$G$11),0,'Parámetros Proyección'!$G$11)+IF((N209/AI209&gt;'Parámetros Proyección'!$G$12),0,'Parámetros Proyección'!$G$12)+IF((T209/AI209&gt;'Parámetros Proyección'!$G$13),0,'Parámetros Proyección'!$G$13)+IF((Z209/AI209&gt;'Parámetros Proyección'!$G$14),0,'Parámetros Proyección'!$G$14)+IF((AF209/AI209&gt;'Parámetros Proyección'!$G$15),0,'Parámetros Proyección'!$G$15)))</f>
        <v/>
      </c>
      <c r="J209" s="35">
        <f>H209+I209</f>
        <v/>
      </c>
      <c r="K209" s="35">
        <f>P208</f>
        <v/>
      </c>
      <c r="L209" s="35">
        <f>K209*(1+'Parámetros Proyección'!$E$12)</f>
        <v/>
      </c>
      <c r="M209" s="35">
        <f>L209*'Parámetros Proyección'!$F$12</f>
        <v/>
      </c>
      <c r="N209" s="35">
        <f>L209+M209</f>
        <v/>
      </c>
      <c r="O209" s="35">
        <f>IF((N209/AI209&gt;'Parámetros Proyección'!$G$12),0,D209*'Parámetros Proyección'!$G$12/(IF((H209/AI209&gt;'Parámetros Proyección'!$G$11),0,'Parámetros Proyección'!$G$11)+IF((N209/AI209&gt;'Parámetros Proyección'!$G$12),0,'Parámetros Proyección'!$G$12)+IF((T209/AI209&gt;'Parámetros Proyección'!$G$13),0,'Parámetros Proyección'!$G$13)+IF((Z209/AI209&gt;'Parámetros Proyección'!$G$14),0,'Parámetros Proyección'!$G$14)+IF((AF209/AI209&gt;'Parámetros Proyección'!$G$15),0,'Parámetros Proyección'!$G$15)))</f>
        <v/>
      </c>
      <c r="P209" s="35">
        <f>N209+O209</f>
        <v/>
      </c>
      <c r="Q209" s="35">
        <f>V208</f>
        <v/>
      </c>
      <c r="R209" s="35">
        <f>Q209*(1+'Parámetros Proyección'!$E$13)</f>
        <v/>
      </c>
      <c r="S209" s="35">
        <f>R209*'Parámetros Proyección'!$F$13</f>
        <v/>
      </c>
      <c r="T209" s="35">
        <f>R209+S209</f>
        <v/>
      </c>
      <c r="U209" s="35">
        <f>IF((T209/AI209&gt;'Parámetros Proyección'!$G$13),0,D209*'Parámetros Proyección'!$G$13/(IF((H209/AI209&gt;'Parámetros Proyección'!$G$11),0,'Parámetros Proyección'!$G$11)+IF((N209/AI209&gt;'Parámetros Proyección'!$G$12),0,'Parámetros Proyección'!$G$12)+IF((T209/AI209&gt;'Parámetros Proyección'!$G$13),0,'Parámetros Proyección'!$G$13)+IF((Z209/AI209&gt;'Parámetros Proyección'!$G$14),0,'Parámetros Proyección'!$G$14)+IF((AF209/AI209&gt;'Parámetros Proyección'!$G$15),0,'Parámetros Proyección'!$G$15)))</f>
        <v/>
      </c>
      <c r="V209" s="35">
        <f>T209+U209</f>
        <v/>
      </c>
      <c r="W209" s="35">
        <f>AB208</f>
        <v/>
      </c>
      <c r="X209" s="35">
        <f>W209*(1+'Parámetros Proyección'!$E$14)</f>
        <v/>
      </c>
      <c r="Y209" s="35">
        <f>X209*'Parámetros Proyección'!$F$14</f>
        <v/>
      </c>
      <c r="Z209" s="35">
        <f>X209+Y209</f>
        <v/>
      </c>
      <c r="AA209" s="35">
        <f>IF((Z209/AI209&gt;'Parámetros Proyección'!$G$14),0,D209*'Parámetros Proyección'!$G$14/(IF((H209/AI209&gt;'Parámetros Proyección'!$G$11),0,'Parámetros Proyección'!$G$11)+IF((N209/AI209&gt;'Parámetros Proyección'!$G$12),0,'Parámetros Proyección'!$G$12)+IF((T209/AI209&gt;'Parámetros Proyección'!$G$13),0,'Parámetros Proyección'!$G$13)+IF((Z209/AI209&gt;'Parámetros Proyección'!$G$14),0,'Parámetros Proyección'!$G$14)+IF((AF209/AI209&gt;'Parámetros Proyección'!$G$15),0,'Parámetros Proyección'!$G$15)))</f>
        <v/>
      </c>
      <c r="AB209" s="35">
        <f>Z209+AA209</f>
        <v/>
      </c>
      <c r="AC209" s="35">
        <f>AH208</f>
        <v/>
      </c>
      <c r="AD209" s="35">
        <f>AC209*(1+'Parámetros Proyección'!$E$15)</f>
        <v/>
      </c>
      <c r="AE209" s="35">
        <f>AD209*'Parámetros Proyección'!$F$15</f>
        <v/>
      </c>
      <c r="AF209" s="35">
        <f>AD209+AE209</f>
        <v/>
      </c>
      <c r="AG209" s="35">
        <f>IF((AF209/AI209&gt;'Parámetros Proyección'!$G$15),0,D209*'Parámetros Proyección'!$G$15/(IF((H209/AI209&gt;'Parámetros Proyección'!$G$11),0,'Parámetros Proyección'!$G$11)+IF((N209/AI209&gt;'Parámetros Proyección'!$G$12),0,'Parámetros Proyección'!$G$12)+IF((T209/AI209&gt;'Parámetros Proyección'!$G$13),0,'Parámetros Proyección'!$G$13)+IF((Z209/AI209&gt;'Parámetros Proyección'!$G$14),0,'Parámetros Proyección'!$G$14)+IF((AF209/AI209&gt;'Parámetros Proyección'!$G$15),0,'Parámetros Proyección'!$G$15)))</f>
        <v/>
      </c>
      <c r="AH209" s="35">
        <f>AF209+AG209</f>
        <v/>
      </c>
      <c r="AI209" s="35">
        <f>H209+N209+T209+Z209+AF209</f>
        <v/>
      </c>
      <c r="AJ209" s="33">
        <f>AF209/AI209</f>
        <v/>
      </c>
      <c r="AK209">
        <f>IF(AJ209&gt;'Parámetros Proyección'!$B$5,1,0)</f>
        <v/>
      </c>
      <c r="AL209" s="35">
        <f>G209+M209+S209+Y209+AE209</f>
        <v/>
      </c>
      <c r="AM209" s="35">
        <f>AM208+D209</f>
        <v/>
      </c>
      <c r="AN209" s="35">
        <f>AN208+AL209</f>
        <v/>
      </c>
      <c r="AO209" s="35">
        <f>J209+P209+V209+AB209+AH209</f>
        <v/>
      </c>
    </row>
    <row r="210">
      <c r="A210" t="n">
        <v>207</v>
      </c>
      <c r="B210" s="34">
        <f>EDATE(B209,1)</f>
        <v/>
      </c>
      <c r="C210">
        <f>YEAR(B210)</f>
        <v/>
      </c>
      <c r="D210" s="35">
        <f>'Parámetros Proyección'!$B$3*(1+'Parámetros Proyección'!$B$4)^(C210-YEAR('Parámetros Proyección'!$B$6))</f>
        <v/>
      </c>
      <c r="E210" s="35">
        <f>J209</f>
        <v/>
      </c>
      <c r="F210" s="35">
        <f>E210*(1+'Parámetros Proyección'!$E$11)</f>
        <v/>
      </c>
      <c r="G210" s="35">
        <f>F210*'Parámetros Proyección'!$F$11</f>
        <v/>
      </c>
      <c r="H210" s="35">
        <f>F210+G210</f>
        <v/>
      </c>
      <c r="I210" s="35">
        <f>IF((H210/AI210&gt;'Parámetros Proyección'!$G$11),0,D210*'Parámetros Proyección'!$G$11/(IF((H210/AI210&gt;'Parámetros Proyección'!$G$11),0,'Parámetros Proyección'!$G$11)+IF((N210/AI210&gt;'Parámetros Proyección'!$G$12),0,'Parámetros Proyección'!$G$12)+IF((T210/AI210&gt;'Parámetros Proyección'!$G$13),0,'Parámetros Proyección'!$G$13)+IF((Z210/AI210&gt;'Parámetros Proyección'!$G$14),0,'Parámetros Proyección'!$G$14)+IF((AF210/AI210&gt;'Parámetros Proyección'!$G$15),0,'Parámetros Proyección'!$G$15)))</f>
        <v/>
      </c>
      <c r="J210" s="35">
        <f>H210+I210</f>
        <v/>
      </c>
      <c r="K210" s="35">
        <f>P209</f>
        <v/>
      </c>
      <c r="L210" s="35">
        <f>K210*(1+'Parámetros Proyección'!$E$12)</f>
        <v/>
      </c>
      <c r="M210" s="35">
        <f>L210*'Parámetros Proyección'!$F$12</f>
        <v/>
      </c>
      <c r="N210" s="35">
        <f>L210+M210</f>
        <v/>
      </c>
      <c r="O210" s="35">
        <f>IF((N210/AI210&gt;'Parámetros Proyección'!$G$12),0,D210*'Parámetros Proyección'!$G$12/(IF((H210/AI210&gt;'Parámetros Proyección'!$G$11),0,'Parámetros Proyección'!$G$11)+IF((N210/AI210&gt;'Parámetros Proyección'!$G$12),0,'Parámetros Proyección'!$G$12)+IF((T210/AI210&gt;'Parámetros Proyección'!$G$13),0,'Parámetros Proyección'!$G$13)+IF((Z210/AI210&gt;'Parámetros Proyección'!$G$14),0,'Parámetros Proyección'!$G$14)+IF((AF210/AI210&gt;'Parámetros Proyección'!$G$15),0,'Parámetros Proyección'!$G$15)))</f>
        <v/>
      </c>
      <c r="P210" s="35">
        <f>N210+O210</f>
        <v/>
      </c>
      <c r="Q210" s="35">
        <f>V209</f>
        <v/>
      </c>
      <c r="R210" s="35">
        <f>Q210*(1+'Parámetros Proyección'!$E$13)</f>
        <v/>
      </c>
      <c r="S210" s="35">
        <f>R210*'Parámetros Proyección'!$F$13</f>
        <v/>
      </c>
      <c r="T210" s="35">
        <f>R210+S210</f>
        <v/>
      </c>
      <c r="U210" s="35">
        <f>IF((T210/AI210&gt;'Parámetros Proyección'!$G$13),0,D210*'Parámetros Proyección'!$G$13/(IF((H210/AI210&gt;'Parámetros Proyección'!$G$11),0,'Parámetros Proyección'!$G$11)+IF((N210/AI210&gt;'Parámetros Proyección'!$G$12),0,'Parámetros Proyección'!$G$12)+IF((T210/AI210&gt;'Parámetros Proyección'!$G$13),0,'Parámetros Proyección'!$G$13)+IF((Z210/AI210&gt;'Parámetros Proyección'!$G$14),0,'Parámetros Proyección'!$G$14)+IF((AF210/AI210&gt;'Parámetros Proyección'!$G$15),0,'Parámetros Proyección'!$G$15)))</f>
        <v/>
      </c>
      <c r="V210" s="35">
        <f>T210+U210</f>
        <v/>
      </c>
      <c r="W210" s="35">
        <f>AB209</f>
        <v/>
      </c>
      <c r="X210" s="35">
        <f>W210*(1+'Parámetros Proyección'!$E$14)</f>
        <v/>
      </c>
      <c r="Y210" s="35">
        <f>X210*'Parámetros Proyección'!$F$14</f>
        <v/>
      </c>
      <c r="Z210" s="35">
        <f>X210+Y210</f>
        <v/>
      </c>
      <c r="AA210" s="35">
        <f>IF((Z210/AI210&gt;'Parámetros Proyección'!$G$14),0,D210*'Parámetros Proyección'!$G$14/(IF((H210/AI210&gt;'Parámetros Proyección'!$G$11),0,'Parámetros Proyección'!$G$11)+IF((N210/AI210&gt;'Parámetros Proyección'!$G$12),0,'Parámetros Proyección'!$G$12)+IF((T210/AI210&gt;'Parámetros Proyección'!$G$13),0,'Parámetros Proyección'!$G$13)+IF((Z210/AI210&gt;'Parámetros Proyección'!$G$14),0,'Parámetros Proyección'!$G$14)+IF((AF210/AI210&gt;'Parámetros Proyección'!$G$15),0,'Parámetros Proyección'!$G$15)))</f>
        <v/>
      </c>
      <c r="AB210" s="35">
        <f>Z210+AA210</f>
        <v/>
      </c>
      <c r="AC210" s="35">
        <f>AH209</f>
        <v/>
      </c>
      <c r="AD210" s="35">
        <f>AC210*(1+'Parámetros Proyección'!$E$15)</f>
        <v/>
      </c>
      <c r="AE210" s="35">
        <f>AD210*'Parámetros Proyección'!$F$15</f>
        <v/>
      </c>
      <c r="AF210" s="35">
        <f>AD210+AE210</f>
        <v/>
      </c>
      <c r="AG210" s="35">
        <f>IF((AF210/AI210&gt;'Parámetros Proyección'!$G$15),0,D210*'Parámetros Proyección'!$G$15/(IF((H210/AI210&gt;'Parámetros Proyección'!$G$11),0,'Parámetros Proyección'!$G$11)+IF((N210/AI210&gt;'Parámetros Proyección'!$G$12),0,'Parámetros Proyección'!$G$12)+IF((T210/AI210&gt;'Parámetros Proyección'!$G$13),0,'Parámetros Proyección'!$G$13)+IF((Z210/AI210&gt;'Parámetros Proyección'!$G$14),0,'Parámetros Proyección'!$G$14)+IF((AF210/AI210&gt;'Parámetros Proyección'!$G$15),0,'Parámetros Proyección'!$G$15)))</f>
        <v/>
      </c>
      <c r="AH210" s="35">
        <f>AF210+AG210</f>
        <v/>
      </c>
      <c r="AI210" s="35">
        <f>H210+N210+T210+Z210+AF210</f>
        <v/>
      </c>
      <c r="AJ210" s="33">
        <f>AF210/AI210</f>
        <v/>
      </c>
      <c r="AK210">
        <f>IF(AJ210&gt;'Parámetros Proyección'!$B$5,1,0)</f>
        <v/>
      </c>
      <c r="AL210" s="35">
        <f>G210+M210+S210+Y210+AE210</f>
        <v/>
      </c>
      <c r="AM210" s="35">
        <f>AM209+D210</f>
        <v/>
      </c>
      <c r="AN210" s="35">
        <f>AN209+AL210</f>
        <v/>
      </c>
      <c r="AO210" s="35">
        <f>J210+P210+V210+AB210+AH210</f>
        <v/>
      </c>
    </row>
    <row r="211">
      <c r="A211" t="n">
        <v>208</v>
      </c>
      <c r="B211" s="34">
        <f>EDATE(B210,1)</f>
        <v/>
      </c>
      <c r="C211">
        <f>YEAR(B211)</f>
        <v/>
      </c>
      <c r="D211" s="35">
        <f>'Parámetros Proyección'!$B$3*(1+'Parámetros Proyección'!$B$4)^(C211-YEAR('Parámetros Proyección'!$B$6))</f>
        <v/>
      </c>
      <c r="E211" s="35">
        <f>J210</f>
        <v/>
      </c>
      <c r="F211" s="35">
        <f>E211*(1+'Parámetros Proyección'!$E$11)</f>
        <v/>
      </c>
      <c r="G211" s="35">
        <f>F211*'Parámetros Proyección'!$F$11</f>
        <v/>
      </c>
      <c r="H211" s="35">
        <f>F211+G211</f>
        <v/>
      </c>
      <c r="I211" s="35">
        <f>IF((H211/AI211&gt;'Parámetros Proyección'!$G$11),0,D211*'Parámetros Proyección'!$G$11/(IF((H211/AI211&gt;'Parámetros Proyección'!$G$11),0,'Parámetros Proyección'!$G$11)+IF((N211/AI211&gt;'Parámetros Proyección'!$G$12),0,'Parámetros Proyección'!$G$12)+IF((T211/AI211&gt;'Parámetros Proyección'!$G$13),0,'Parámetros Proyección'!$G$13)+IF((Z211/AI211&gt;'Parámetros Proyección'!$G$14),0,'Parámetros Proyección'!$G$14)+IF((AF211/AI211&gt;'Parámetros Proyección'!$G$15),0,'Parámetros Proyección'!$G$15)))</f>
        <v/>
      </c>
      <c r="J211" s="35">
        <f>H211+I211</f>
        <v/>
      </c>
      <c r="K211" s="35">
        <f>P210</f>
        <v/>
      </c>
      <c r="L211" s="35">
        <f>K211*(1+'Parámetros Proyección'!$E$12)</f>
        <v/>
      </c>
      <c r="M211" s="35">
        <f>L211*'Parámetros Proyección'!$F$12</f>
        <v/>
      </c>
      <c r="N211" s="35">
        <f>L211+M211</f>
        <v/>
      </c>
      <c r="O211" s="35">
        <f>IF((N211/AI211&gt;'Parámetros Proyección'!$G$12),0,D211*'Parámetros Proyección'!$G$12/(IF((H211/AI211&gt;'Parámetros Proyección'!$G$11),0,'Parámetros Proyección'!$G$11)+IF((N211/AI211&gt;'Parámetros Proyección'!$G$12),0,'Parámetros Proyección'!$G$12)+IF((T211/AI211&gt;'Parámetros Proyección'!$G$13),0,'Parámetros Proyección'!$G$13)+IF((Z211/AI211&gt;'Parámetros Proyección'!$G$14),0,'Parámetros Proyección'!$G$14)+IF((AF211/AI211&gt;'Parámetros Proyección'!$G$15),0,'Parámetros Proyección'!$G$15)))</f>
        <v/>
      </c>
      <c r="P211" s="35">
        <f>N211+O211</f>
        <v/>
      </c>
      <c r="Q211" s="35">
        <f>V210</f>
        <v/>
      </c>
      <c r="R211" s="35">
        <f>Q211*(1+'Parámetros Proyección'!$E$13)</f>
        <v/>
      </c>
      <c r="S211" s="35">
        <f>R211*'Parámetros Proyección'!$F$13</f>
        <v/>
      </c>
      <c r="T211" s="35">
        <f>R211+S211</f>
        <v/>
      </c>
      <c r="U211" s="35">
        <f>IF((T211/AI211&gt;'Parámetros Proyección'!$G$13),0,D211*'Parámetros Proyección'!$G$13/(IF((H211/AI211&gt;'Parámetros Proyección'!$G$11),0,'Parámetros Proyección'!$G$11)+IF((N211/AI211&gt;'Parámetros Proyección'!$G$12),0,'Parámetros Proyección'!$G$12)+IF((T211/AI211&gt;'Parámetros Proyección'!$G$13),0,'Parámetros Proyección'!$G$13)+IF((Z211/AI211&gt;'Parámetros Proyección'!$G$14),0,'Parámetros Proyección'!$G$14)+IF((AF211/AI211&gt;'Parámetros Proyección'!$G$15),0,'Parámetros Proyección'!$G$15)))</f>
        <v/>
      </c>
      <c r="V211" s="35">
        <f>T211+U211</f>
        <v/>
      </c>
      <c r="W211" s="35">
        <f>AB210</f>
        <v/>
      </c>
      <c r="X211" s="35">
        <f>W211*(1+'Parámetros Proyección'!$E$14)</f>
        <v/>
      </c>
      <c r="Y211" s="35">
        <f>X211*'Parámetros Proyección'!$F$14</f>
        <v/>
      </c>
      <c r="Z211" s="35">
        <f>X211+Y211</f>
        <v/>
      </c>
      <c r="AA211" s="35">
        <f>IF((Z211/AI211&gt;'Parámetros Proyección'!$G$14),0,D211*'Parámetros Proyección'!$G$14/(IF((H211/AI211&gt;'Parámetros Proyección'!$G$11),0,'Parámetros Proyección'!$G$11)+IF((N211/AI211&gt;'Parámetros Proyección'!$G$12),0,'Parámetros Proyección'!$G$12)+IF((T211/AI211&gt;'Parámetros Proyección'!$G$13),0,'Parámetros Proyección'!$G$13)+IF((Z211/AI211&gt;'Parámetros Proyección'!$G$14),0,'Parámetros Proyección'!$G$14)+IF((AF211/AI211&gt;'Parámetros Proyección'!$G$15),0,'Parámetros Proyección'!$G$15)))</f>
        <v/>
      </c>
      <c r="AB211" s="35">
        <f>Z211+AA211</f>
        <v/>
      </c>
      <c r="AC211" s="35">
        <f>AH210</f>
        <v/>
      </c>
      <c r="AD211" s="35">
        <f>AC211*(1+'Parámetros Proyección'!$E$15)</f>
        <v/>
      </c>
      <c r="AE211" s="35">
        <f>AD211*'Parámetros Proyección'!$F$15</f>
        <v/>
      </c>
      <c r="AF211" s="35">
        <f>AD211+AE211</f>
        <v/>
      </c>
      <c r="AG211" s="35">
        <f>IF((AF211/AI211&gt;'Parámetros Proyección'!$G$15),0,D211*'Parámetros Proyección'!$G$15/(IF((H211/AI211&gt;'Parámetros Proyección'!$G$11),0,'Parámetros Proyección'!$G$11)+IF((N211/AI211&gt;'Parámetros Proyección'!$G$12),0,'Parámetros Proyección'!$G$12)+IF((T211/AI211&gt;'Parámetros Proyección'!$G$13),0,'Parámetros Proyección'!$G$13)+IF((Z211/AI211&gt;'Parámetros Proyección'!$G$14),0,'Parámetros Proyección'!$G$14)+IF((AF211/AI211&gt;'Parámetros Proyección'!$G$15),0,'Parámetros Proyección'!$G$15)))</f>
        <v/>
      </c>
      <c r="AH211" s="35">
        <f>AF211+AG211</f>
        <v/>
      </c>
      <c r="AI211" s="35">
        <f>H211+N211+T211+Z211+AF211</f>
        <v/>
      </c>
      <c r="AJ211" s="33">
        <f>AF211/AI211</f>
        <v/>
      </c>
      <c r="AK211">
        <f>IF(AJ211&gt;'Parámetros Proyección'!$B$5,1,0)</f>
        <v/>
      </c>
      <c r="AL211" s="35">
        <f>G211+M211+S211+Y211+AE211</f>
        <v/>
      </c>
      <c r="AM211" s="35">
        <f>AM210+D211</f>
        <v/>
      </c>
      <c r="AN211" s="35">
        <f>AN210+AL211</f>
        <v/>
      </c>
      <c r="AO211" s="35">
        <f>J211+P211+V211+AB211+AH211</f>
        <v/>
      </c>
    </row>
    <row r="212">
      <c r="A212" t="n">
        <v>209</v>
      </c>
      <c r="B212" s="34">
        <f>EDATE(B211,1)</f>
        <v/>
      </c>
      <c r="C212">
        <f>YEAR(B212)</f>
        <v/>
      </c>
      <c r="D212" s="35">
        <f>'Parámetros Proyección'!$B$3*(1+'Parámetros Proyección'!$B$4)^(C212-YEAR('Parámetros Proyección'!$B$6))</f>
        <v/>
      </c>
      <c r="E212" s="35">
        <f>J211</f>
        <v/>
      </c>
      <c r="F212" s="35">
        <f>E212*(1+'Parámetros Proyección'!$E$11)</f>
        <v/>
      </c>
      <c r="G212" s="35">
        <f>F212*'Parámetros Proyección'!$F$11</f>
        <v/>
      </c>
      <c r="H212" s="35">
        <f>F212+G212</f>
        <v/>
      </c>
      <c r="I212" s="35">
        <f>IF((H212/AI212&gt;'Parámetros Proyección'!$G$11),0,D212*'Parámetros Proyección'!$G$11/(IF((H212/AI212&gt;'Parámetros Proyección'!$G$11),0,'Parámetros Proyección'!$G$11)+IF((N212/AI212&gt;'Parámetros Proyección'!$G$12),0,'Parámetros Proyección'!$G$12)+IF((T212/AI212&gt;'Parámetros Proyección'!$G$13),0,'Parámetros Proyección'!$G$13)+IF((Z212/AI212&gt;'Parámetros Proyección'!$G$14),0,'Parámetros Proyección'!$G$14)+IF((AF212/AI212&gt;'Parámetros Proyección'!$G$15),0,'Parámetros Proyección'!$G$15)))</f>
        <v/>
      </c>
      <c r="J212" s="35">
        <f>H212+I212</f>
        <v/>
      </c>
      <c r="K212" s="35">
        <f>P211</f>
        <v/>
      </c>
      <c r="L212" s="35">
        <f>K212*(1+'Parámetros Proyección'!$E$12)</f>
        <v/>
      </c>
      <c r="M212" s="35">
        <f>L212*'Parámetros Proyección'!$F$12</f>
        <v/>
      </c>
      <c r="N212" s="35">
        <f>L212+M212</f>
        <v/>
      </c>
      <c r="O212" s="35">
        <f>IF((N212/AI212&gt;'Parámetros Proyección'!$G$12),0,D212*'Parámetros Proyección'!$G$12/(IF((H212/AI212&gt;'Parámetros Proyección'!$G$11),0,'Parámetros Proyección'!$G$11)+IF((N212/AI212&gt;'Parámetros Proyección'!$G$12),0,'Parámetros Proyección'!$G$12)+IF((T212/AI212&gt;'Parámetros Proyección'!$G$13),0,'Parámetros Proyección'!$G$13)+IF((Z212/AI212&gt;'Parámetros Proyección'!$G$14),0,'Parámetros Proyección'!$G$14)+IF((AF212/AI212&gt;'Parámetros Proyección'!$G$15),0,'Parámetros Proyección'!$G$15)))</f>
        <v/>
      </c>
      <c r="P212" s="35">
        <f>N212+O212</f>
        <v/>
      </c>
      <c r="Q212" s="35">
        <f>V211</f>
        <v/>
      </c>
      <c r="R212" s="35">
        <f>Q212*(1+'Parámetros Proyección'!$E$13)</f>
        <v/>
      </c>
      <c r="S212" s="35">
        <f>R212*'Parámetros Proyección'!$F$13</f>
        <v/>
      </c>
      <c r="T212" s="35">
        <f>R212+S212</f>
        <v/>
      </c>
      <c r="U212" s="35">
        <f>IF((T212/AI212&gt;'Parámetros Proyección'!$G$13),0,D212*'Parámetros Proyección'!$G$13/(IF((H212/AI212&gt;'Parámetros Proyección'!$G$11),0,'Parámetros Proyección'!$G$11)+IF((N212/AI212&gt;'Parámetros Proyección'!$G$12),0,'Parámetros Proyección'!$G$12)+IF((T212/AI212&gt;'Parámetros Proyección'!$G$13),0,'Parámetros Proyección'!$G$13)+IF((Z212/AI212&gt;'Parámetros Proyección'!$G$14),0,'Parámetros Proyección'!$G$14)+IF((AF212/AI212&gt;'Parámetros Proyección'!$G$15),0,'Parámetros Proyección'!$G$15)))</f>
        <v/>
      </c>
      <c r="V212" s="35">
        <f>T212+U212</f>
        <v/>
      </c>
      <c r="W212" s="35">
        <f>AB211</f>
        <v/>
      </c>
      <c r="X212" s="35">
        <f>W212*(1+'Parámetros Proyección'!$E$14)</f>
        <v/>
      </c>
      <c r="Y212" s="35">
        <f>X212*'Parámetros Proyección'!$F$14</f>
        <v/>
      </c>
      <c r="Z212" s="35">
        <f>X212+Y212</f>
        <v/>
      </c>
      <c r="AA212" s="35">
        <f>IF((Z212/AI212&gt;'Parámetros Proyección'!$G$14),0,D212*'Parámetros Proyección'!$G$14/(IF((H212/AI212&gt;'Parámetros Proyección'!$G$11),0,'Parámetros Proyección'!$G$11)+IF((N212/AI212&gt;'Parámetros Proyección'!$G$12),0,'Parámetros Proyección'!$G$12)+IF((T212/AI212&gt;'Parámetros Proyección'!$G$13),0,'Parámetros Proyección'!$G$13)+IF((Z212/AI212&gt;'Parámetros Proyección'!$G$14),0,'Parámetros Proyección'!$G$14)+IF((AF212/AI212&gt;'Parámetros Proyección'!$G$15),0,'Parámetros Proyección'!$G$15)))</f>
        <v/>
      </c>
      <c r="AB212" s="35">
        <f>Z212+AA212</f>
        <v/>
      </c>
      <c r="AC212" s="35">
        <f>AH211</f>
        <v/>
      </c>
      <c r="AD212" s="35">
        <f>AC212*(1+'Parámetros Proyección'!$E$15)</f>
        <v/>
      </c>
      <c r="AE212" s="35">
        <f>AD212*'Parámetros Proyección'!$F$15</f>
        <v/>
      </c>
      <c r="AF212" s="35">
        <f>AD212+AE212</f>
        <v/>
      </c>
      <c r="AG212" s="35">
        <f>IF((AF212/AI212&gt;'Parámetros Proyección'!$G$15),0,D212*'Parámetros Proyección'!$G$15/(IF((H212/AI212&gt;'Parámetros Proyección'!$G$11),0,'Parámetros Proyección'!$G$11)+IF((N212/AI212&gt;'Parámetros Proyección'!$G$12),0,'Parámetros Proyección'!$G$12)+IF((T212/AI212&gt;'Parámetros Proyección'!$G$13),0,'Parámetros Proyección'!$G$13)+IF((Z212/AI212&gt;'Parámetros Proyección'!$G$14),0,'Parámetros Proyección'!$G$14)+IF((AF212/AI212&gt;'Parámetros Proyección'!$G$15),0,'Parámetros Proyección'!$G$15)))</f>
        <v/>
      </c>
      <c r="AH212" s="35">
        <f>AF212+AG212</f>
        <v/>
      </c>
      <c r="AI212" s="35">
        <f>H212+N212+T212+Z212+AF212</f>
        <v/>
      </c>
      <c r="AJ212" s="33">
        <f>AF212/AI212</f>
        <v/>
      </c>
      <c r="AK212">
        <f>IF(AJ212&gt;'Parámetros Proyección'!$B$5,1,0)</f>
        <v/>
      </c>
      <c r="AL212" s="35">
        <f>G212+M212+S212+Y212+AE212</f>
        <v/>
      </c>
      <c r="AM212" s="35">
        <f>AM211+D212</f>
        <v/>
      </c>
      <c r="AN212" s="35">
        <f>AN211+AL212</f>
        <v/>
      </c>
      <c r="AO212" s="35">
        <f>J212+P212+V212+AB212+AH212</f>
        <v/>
      </c>
    </row>
    <row r="213">
      <c r="A213" t="n">
        <v>210</v>
      </c>
      <c r="B213" s="34">
        <f>EDATE(B212,1)</f>
        <v/>
      </c>
      <c r="C213">
        <f>YEAR(B213)</f>
        <v/>
      </c>
      <c r="D213" s="35">
        <f>'Parámetros Proyección'!$B$3*(1+'Parámetros Proyección'!$B$4)^(C213-YEAR('Parámetros Proyección'!$B$6))</f>
        <v/>
      </c>
      <c r="E213" s="35">
        <f>J212</f>
        <v/>
      </c>
      <c r="F213" s="35">
        <f>E213*(1+'Parámetros Proyección'!$E$11)</f>
        <v/>
      </c>
      <c r="G213" s="35">
        <f>F213*'Parámetros Proyección'!$F$11</f>
        <v/>
      </c>
      <c r="H213" s="35">
        <f>F213+G213</f>
        <v/>
      </c>
      <c r="I213" s="35">
        <f>IF((H213/AI213&gt;'Parámetros Proyección'!$G$11),0,D213*'Parámetros Proyección'!$G$11/(IF((H213/AI213&gt;'Parámetros Proyección'!$G$11),0,'Parámetros Proyección'!$G$11)+IF((N213/AI213&gt;'Parámetros Proyección'!$G$12),0,'Parámetros Proyección'!$G$12)+IF((T213/AI213&gt;'Parámetros Proyección'!$G$13),0,'Parámetros Proyección'!$G$13)+IF((Z213/AI213&gt;'Parámetros Proyección'!$G$14),0,'Parámetros Proyección'!$G$14)+IF((AF213/AI213&gt;'Parámetros Proyección'!$G$15),0,'Parámetros Proyección'!$G$15)))</f>
        <v/>
      </c>
      <c r="J213" s="35">
        <f>H213+I213</f>
        <v/>
      </c>
      <c r="K213" s="35">
        <f>P212</f>
        <v/>
      </c>
      <c r="L213" s="35">
        <f>K213*(1+'Parámetros Proyección'!$E$12)</f>
        <v/>
      </c>
      <c r="M213" s="35">
        <f>L213*'Parámetros Proyección'!$F$12</f>
        <v/>
      </c>
      <c r="N213" s="35">
        <f>L213+M213</f>
        <v/>
      </c>
      <c r="O213" s="35">
        <f>IF((N213/AI213&gt;'Parámetros Proyección'!$G$12),0,D213*'Parámetros Proyección'!$G$12/(IF((H213/AI213&gt;'Parámetros Proyección'!$G$11),0,'Parámetros Proyección'!$G$11)+IF((N213/AI213&gt;'Parámetros Proyección'!$G$12),0,'Parámetros Proyección'!$G$12)+IF((T213/AI213&gt;'Parámetros Proyección'!$G$13),0,'Parámetros Proyección'!$G$13)+IF((Z213/AI213&gt;'Parámetros Proyección'!$G$14),0,'Parámetros Proyección'!$G$14)+IF((AF213/AI213&gt;'Parámetros Proyección'!$G$15),0,'Parámetros Proyección'!$G$15)))</f>
        <v/>
      </c>
      <c r="P213" s="35">
        <f>N213+O213</f>
        <v/>
      </c>
      <c r="Q213" s="35">
        <f>V212</f>
        <v/>
      </c>
      <c r="R213" s="35">
        <f>Q213*(1+'Parámetros Proyección'!$E$13)</f>
        <v/>
      </c>
      <c r="S213" s="35">
        <f>R213*'Parámetros Proyección'!$F$13</f>
        <v/>
      </c>
      <c r="T213" s="35">
        <f>R213+S213</f>
        <v/>
      </c>
      <c r="U213" s="35">
        <f>IF((T213/AI213&gt;'Parámetros Proyección'!$G$13),0,D213*'Parámetros Proyección'!$G$13/(IF((H213/AI213&gt;'Parámetros Proyección'!$G$11),0,'Parámetros Proyección'!$G$11)+IF((N213/AI213&gt;'Parámetros Proyección'!$G$12),0,'Parámetros Proyección'!$G$12)+IF((T213/AI213&gt;'Parámetros Proyección'!$G$13),0,'Parámetros Proyección'!$G$13)+IF((Z213/AI213&gt;'Parámetros Proyección'!$G$14),0,'Parámetros Proyección'!$G$14)+IF((AF213/AI213&gt;'Parámetros Proyección'!$G$15),0,'Parámetros Proyección'!$G$15)))</f>
        <v/>
      </c>
      <c r="V213" s="35">
        <f>T213+U213</f>
        <v/>
      </c>
      <c r="W213" s="35">
        <f>AB212</f>
        <v/>
      </c>
      <c r="X213" s="35">
        <f>W213*(1+'Parámetros Proyección'!$E$14)</f>
        <v/>
      </c>
      <c r="Y213" s="35">
        <f>X213*'Parámetros Proyección'!$F$14</f>
        <v/>
      </c>
      <c r="Z213" s="35">
        <f>X213+Y213</f>
        <v/>
      </c>
      <c r="AA213" s="35">
        <f>IF((Z213/AI213&gt;'Parámetros Proyección'!$G$14),0,D213*'Parámetros Proyección'!$G$14/(IF((H213/AI213&gt;'Parámetros Proyección'!$G$11),0,'Parámetros Proyección'!$G$11)+IF((N213/AI213&gt;'Parámetros Proyección'!$G$12),0,'Parámetros Proyección'!$G$12)+IF((T213/AI213&gt;'Parámetros Proyección'!$G$13),0,'Parámetros Proyección'!$G$13)+IF((Z213/AI213&gt;'Parámetros Proyección'!$G$14),0,'Parámetros Proyección'!$G$14)+IF((AF213/AI213&gt;'Parámetros Proyección'!$G$15),0,'Parámetros Proyección'!$G$15)))</f>
        <v/>
      </c>
      <c r="AB213" s="35">
        <f>Z213+AA213</f>
        <v/>
      </c>
      <c r="AC213" s="35">
        <f>AH212</f>
        <v/>
      </c>
      <c r="AD213" s="35">
        <f>AC213*(1+'Parámetros Proyección'!$E$15)</f>
        <v/>
      </c>
      <c r="AE213" s="35">
        <f>AD213*'Parámetros Proyección'!$F$15</f>
        <v/>
      </c>
      <c r="AF213" s="35">
        <f>AD213+AE213</f>
        <v/>
      </c>
      <c r="AG213" s="35">
        <f>IF((AF213/AI213&gt;'Parámetros Proyección'!$G$15),0,D213*'Parámetros Proyección'!$G$15/(IF((H213/AI213&gt;'Parámetros Proyección'!$G$11),0,'Parámetros Proyección'!$G$11)+IF((N213/AI213&gt;'Parámetros Proyección'!$G$12),0,'Parámetros Proyección'!$G$12)+IF((T213/AI213&gt;'Parámetros Proyección'!$G$13),0,'Parámetros Proyección'!$G$13)+IF((Z213/AI213&gt;'Parámetros Proyección'!$G$14),0,'Parámetros Proyección'!$G$14)+IF((AF213/AI213&gt;'Parámetros Proyección'!$G$15),0,'Parámetros Proyección'!$G$15)))</f>
        <v/>
      </c>
      <c r="AH213" s="35">
        <f>AF213+AG213</f>
        <v/>
      </c>
      <c r="AI213" s="35">
        <f>H213+N213+T213+Z213+AF213</f>
        <v/>
      </c>
      <c r="AJ213" s="33">
        <f>AF213/AI213</f>
        <v/>
      </c>
      <c r="AK213">
        <f>IF(AJ213&gt;'Parámetros Proyección'!$B$5,1,0)</f>
        <v/>
      </c>
      <c r="AL213" s="35">
        <f>G213+M213+S213+Y213+AE213</f>
        <v/>
      </c>
      <c r="AM213" s="35">
        <f>AM212+D213</f>
        <v/>
      </c>
      <c r="AN213" s="35">
        <f>AN212+AL213</f>
        <v/>
      </c>
      <c r="AO213" s="35">
        <f>J213+P213+V213+AB213+AH213</f>
        <v/>
      </c>
    </row>
    <row r="214">
      <c r="A214" t="n">
        <v>211</v>
      </c>
      <c r="B214" s="34">
        <f>EDATE(B213,1)</f>
        <v/>
      </c>
      <c r="C214">
        <f>YEAR(B214)</f>
        <v/>
      </c>
      <c r="D214" s="35">
        <f>'Parámetros Proyección'!$B$3*(1+'Parámetros Proyección'!$B$4)^(C214-YEAR('Parámetros Proyección'!$B$6))</f>
        <v/>
      </c>
      <c r="E214" s="35">
        <f>J213</f>
        <v/>
      </c>
      <c r="F214" s="35">
        <f>E214*(1+'Parámetros Proyección'!$E$11)</f>
        <v/>
      </c>
      <c r="G214" s="35">
        <f>F214*'Parámetros Proyección'!$F$11</f>
        <v/>
      </c>
      <c r="H214" s="35">
        <f>F214+G214</f>
        <v/>
      </c>
      <c r="I214" s="35">
        <f>IF((H214/AI214&gt;'Parámetros Proyección'!$G$11),0,D214*'Parámetros Proyección'!$G$11/(IF((H214/AI214&gt;'Parámetros Proyección'!$G$11),0,'Parámetros Proyección'!$G$11)+IF((N214/AI214&gt;'Parámetros Proyección'!$G$12),0,'Parámetros Proyección'!$G$12)+IF((T214/AI214&gt;'Parámetros Proyección'!$G$13),0,'Parámetros Proyección'!$G$13)+IF((Z214/AI214&gt;'Parámetros Proyección'!$G$14),0,'Parámetros Proyección'!$G$14)+IF((AF214/AI214&gt;'Parámetros Proyección'!$G$15),0,'Parámetros Proyección'!$G$15)))</f>
        <v/>
      </c>
      <c r="J214" s="35">
        <f>H214+I214</f>
        <v/>
      </c>
      <c r="K214" s="35">
        <f>P213</f>
        <v/>
      </c>
      <c r="L214" s="35">
        <f>K214*(1+'Parámetros Proyección'!$E$12)</f>
        <v/>
      </c>
      <c r="M214" s="35">
        <f>L214*'Parámetros Proyección'!$F$12</f>
        <v/>
      </c>
      <c r="N214" s="35">
        <f>L214+M214</f>
        <v/>
      </c>
      <c r="O214" s="35">
        <f>IF((N214/AI214&gt;'Parámetros Proyección'!$G$12),0,D214*'Parámetros Proyección'!$G$12/(IF((H214/AI214&gt;'Parámetros Proyección'!$G$11),0,'Parámetros Proyección'!$G$11)+IF((N214/AI214&gt;'Parámetros Proyección'!$G$12),0,'Parámetros Proyección'!$G$12)+IF((T214/AI214&gt;'Parámetros Proyección'!$G$13),0,'Parámetros Proyección'!$G$13)+IF((Z214/AI214&gt;'Parámetros Proyección'!$G$14),0,'Parámetros Proyección'!$G$14)+IF((AF214/AI214&gt;'Parámetros Proyección'!$G$15),0,'Parámetros Proyección'!$G$15)))</f>
        <v/>
      </c>
      <c r="P214" s="35">
        <f>N214+O214</f>
        <v/>
      </c>
      <c r="Q214" s="35">
        <f>V213</f>
        <v/>
      </c>
      <c r="R214" s="35">
        <f>Q214*(1+'Parámetros Proyección'!$E$13)</f>
        <v/>
      </c>
      <c r="S214" s="35">
        <f>R214*'Parámetros Proyección'!$F$13</f>
        <v/>
      </c>
      <c r="T214" s="35">
        <f>R214+S214</f>
        <v/>
      </c>
      <c r="U214" s="35">
        <f>IF((T214/AI214&gt;'Parámetros Proyección'!$G$13),0,D214*'Parámetros Proyección'!$G$13/(IF((H214/AI214&gt;'Parámetros Proyección'!$G$11),0,'Parámetros Proyección'!$G$11)+IF((N214/AI214&gt;'Parámetros Proyección'!$G$12),0,'Parámetros Proyección'!$G$12)+IF((T214/AI214&gt;'Parámetros Proyección'!$G$13),0,'Parámetros Proyección'!$G$13)+IF((Z214/AI214&gt;'Parámetros Proyección'!$G$14),0,'Parámetros Proyección'!$G$14)+IF((AF214/AI214&gt;'Parámetros Proyección'!$G$15),0,'Parámetros Proyección'!$G$15)))</f>
        <v/>
      </c>
      <c r="V214" s="35">
        <f>T214+U214</f>
        <v/>
      </c>
      <c r="W214" s="35">
        <f>AB213</f>
        <v/>
      </c>
      <c r="X214" s="35">
        <f>W214*(1+'Parámetros Proyección'!$E$14)</f>
        <v/>
      </c>
      <c r="Y214" s="35">
        <f>X214*'Parámetros Proyección'!$F$14</f>
        <v/>
      </c>
      <c r="Z214" s="35">
        <f>X214+Y214</f>
        <v/>
      </c>
      <c r="AA214" s="35">
        <f>IF((Z214/AI214&gt;'Parámetros Proyección'!$G$14),0,D214*'Parámetros Proyección'!$G$14/(IF((H214/AI214&gt;'Parámetros Proyección'!$G$11),0,'Parámetros Proyección'!$G$11)+IF((N214/AI214&gt;'Parámetros Proyección'!$G$12),0,'Parámetros Proyección'!$G$12)+IF((T214/AI214&gt;'Parámetros Proyección'!$G$13),0,'Parámetros Proyección'!$G$13)+IF((Z214/AI214&gt;'Parámetros Proyección'!$G$14),0,'Parámetros Proyección'!$G$14)+IF((AF214/AI214&gt;'Parámetros Proyección'!$G$15),0,'Parámetros Proyección'!$G$15)))</f>
        <v/>
      </c>
      <c r="AB214" s="35">
        <f>Z214+AA214</f>
        <v/>
      </c>
      <c r="AC214" s="35">
        <f>AH213</f>
        <v/>
      </c>
      <c r="AD214" s="35">
        <f>AC214*(1+'Parámetros Proyección'!$E$15)</f>
        <v/>
      </c>
      <c r="AE214" s="35">
        <f>AD214*'Parámetros Proyección'!$F$15</f>
        <v/>
      </c>
      <c r="AF214" s="35">
        <f>AD214+AE214</f>
        <v/>
      </c>
      <c r="AG214" s="35">
        <f>IF((AF214/AI214&gt;'Parámetros Proyección'!$G$15),0,D214*'Parámetros Proyección'!$G$15/(IF((H214/AI214&gt;'Parámetros Proyección'!$G$11),0,'Parámetros Proyección'!$G$11)+IF((N214/AI214&gt;'Parámetros Proyección'!$G$12),0,'Parámetros Proyección'!$G$12)+IF((T214/AI214&gt;'Parámetros Proyección'!$G$13),0,'Parámetros Proyección'!$G$13)+IF((Z214/AI214&gt;'Parámetros Proyección'!$G$14),0,'Parámetros Proyección'!$G$14)+IF((AF214/AI214&gt;'Parámetros Proyección'!$G$15),0,'Parámetros Proyección'!$G$15)))</f>
        <v/>
      </c>
      <c r="AH214" s="35">
        <f>AF214+AG214</f>
        <v/>
      </c>
      <c r="AI214" s="35">
        <f>H214+N214+T214+Z214+AF214</f>
        <v/>
      </c>
      <c r="AJ214" s="33">
        <f>AF214/AI214</f>
        <v/>
      </c>
      <c r="AK214">
        <f>IF(AJ214&gt;'Parámetros Proyección'!$B$5,1,0)</f>
        <v/>
      </c>
      <c r="AL214" s="35">
        <f>G214+M214+S214+Y214+AE214</f>
        <v/>
      </c>
      <c r="AM214" s="35">
        <f>AM213+D214</f>
        <v/>
      </c>
      <c r="AN214" s="35">
        <f>AN213+AL214</f>
        <v/>
      </c>
      <c r="AO214" s="35">
        <f>J214+P214+V214+AB214+AH214</f>
        <v/>
      </c>
    </row>
    <row r="215">
      <c r="A215" t="n">
        <v>212</v>
      </c>
      <c r="B215" s="34">
        <f>EDATE(B214,1)</f>
        <v/>
      </c>
      <c r="C215">
        <f>YEAR(B215)</f>
        <v/>
      </c>
      <c r="D215" s="35">
        <f>'Parámetros Proyección'!$B$3*(1+'Parámetros Proyección'!$B$4)^(C215-YEAR('Parámetros Proyección'!$B$6))</f>
        <v/>
      </c>
      <c r="E215" s="35">
        <f>J214</f>
        <v/>
      </c>
      <c r="F215" s="35">
        <f>E215*(1+'Parámetros Proyección'!$E$11)</f>
        <v/>
      </c>
      <c r="G215" s="35">
        <f>F215*'Parámetros Proyección'!$F$11</f>
        <v/>
      </c>
      <c r="H215" s="35">
        <f>F215+G215</f>
        <v/>
      </c>
      <c r="I215" s="35">
        <f>IF((H215/AI215&gt;'Parámetros Proyección'!$G$11),0,D215*'Parámetros Proyección'!$G$11/(IF((H215/AI215&gt;'Parámetros Proyección'!$G$11),0,'Parámetros Proyección'!$G$11)+IF((N215/AI215&gt;'Parámetros Proyección'!$G$12),0,'Parámetros Proyección'!$G$12)+IF((T215/AI215&gt;'Parámetros Proyección'!$G$13),0,'Parámetros Proyección'!$G$13)+IF((Z215/AI215&gt;'Parámetros Proyección'!$G$14),0,'Parámetros Proyección'!$G$14)+IF((AF215/AI215&gt;'Parámetros Proyección'!$G$15),0,'Parámetros Proyección'!$G$15)))</f>
        <v/>
      </c>
      <c r="J215" s="35">
        <f>H215+I215</f>
        <v/>
      </c>
      <c r="K215" s="35">
        <f>P214</f>
        <v/>
      </c>
      <c r="L215" s="35">
        <f>K215*(1+'Parámetros Proyección'!$E$12)</f>
        <v/>
      </c>
      <c r="M215" s="35">
        <f>L215*'Parámetros Proyección'!$F$12</f>
        <v/>
      </c>
      <c r="N215" s="35">
        <f>L215+M215</f>
        <v/>
      </c>
      <c r="O215" s="35">
        <f>IF((N215/AI215&gt;'Parámetros Proyección'!$G$12),0,D215*'Parámetros Proyección'!$G$12/(IF((H215/AI215&gt;'Parámetros Proyección'!$G$11),0,'Parámetros Proyección'!$G$11)+IF((N215/AI215&gt;'Parámetros Proyección'!$G$12),0,'Parámetros Proyección'!$G$12)+IF((T215/AI215&gt;'Parámetros Proyección'!$G$13),0,'Parámetros Proyección'!$G$13)+IF((Z215/AI215&gt;'Parámetros Proyección'!$G$14),0,'Parámetros Proyección'!$G$14)+IF((AF215/AI215&gt;'Parámetros Proyección'!$G$15),0,'Parámetros Proyección'!$G$15)))</f>
        <v/>
      </c>
      <c r="P215" s="35">
        <f>N215+O215</f>
        <v/>
      </c>
      <c r="Q215" s="35">
        <f>V214</f>
        <v/>
      </c>
      <c r="R215" s="35">
        <f>Q215*(1+'Parámetros Proyección'!$E$13)</f>
        <v/>
      </c>
      <c r="S215" s="35">
        <f>R215*'Parámetros Proyección'!$F$13</f>
        <v/>
      </c>
      <c r="T215" s="35">
        <f>R215+S215</f>
        <v/>
      </c>
      <c r="U215" s="35">
        <f>IF((T215/AI215&gt;'Parámetros Proyección'!$G$13),0,D215*'Parámetros Proyección'!$G$13/(IF((H215/AI215&gt;'Parámetros Proyección'!$G$11),0,'Parámetros Proyección'!$G$11)+IF((N215/AI215&gt;'Parámetros Proyección'!$G$12),0,'Parámetros Proyección'!$G$12)+IF((T215/AI215&gt;'Parámetros Proyección'!$G$13),0,'Parámetros Proyección'!$G$13)+IF((Z215/AI215&gt;'Parámetros Proyección'!$G$14),0,'Parámetros Proyección'!$G$14)+IF((AF215/AI215&gt;'Parámetros Proyección'!$G$15),0,'Parámetros Proyección'!$G$15)))</f>
        <v/>
      </c>
      <c r="V215" s="35">
        <f>T215+U215</f>
        <v/>
      </c>
      <c r="W215" s="35">
        <f>AB214</f>
        <v/>
      </c>
      <c r="X215" s="35">
        <f>W215*(1+'Parámetros Proyección'!$E$14)</f>
        <v/>
      </c>
      <c r="Y215" s="35">
        <f>X215*'Parámetros Proyección'!$F$14</f>
        <v/>
      </c>
      <c r="Z215" s="35">
        <f>X215+Y215</f>
        <v/>
      </c>
      <c r="AA215" s="35">
        <f>IF((Z215/AI215&gt;'Parámetros Proyección'!$G$14),0,D215*'Parámetros Proyección'!$G$14/(IF((H215/AI215&gt;'Parámetros Proyección'!$G$11),0,'Parámetros Proyección'!$G$11)+IF((N215/AI215&gt;'Parámetros Proyección'!$G$12),0,'Parámetros Proyección'!$G$12)+IF((T215/AI215&gt;'Parámetros Proyección'!$G$13),0,'Parámetros Proyección'!$G$13)+IF((Z215/AI215&gt;'Parámetros Proyección'!$G$14),0,'Parámetros Proyección'!$G$14)+IF((AF215/AI215&gt;'Parámetros Proyección'!$G$15),0,'Parámetros Proyección'!$G$15)))</f>
        <v/>
      </c>
      <c r="AB215" s="35">
        <f>Z215+AA215</f>
        <v/>
      </c>
      <c r="AC215" s="35">
        <f>AH214</f>
        <v/>
      </c>
      <c r="AD215" s="35">
        <f>AC215*(1+'Parámetros Proyección'!$E$15)</f>
        <v/>
      </c>
      <c r="AE215" s="35">
        <f>AD215*'Parámetros Proyección'!$F$15</f>
        <v/>
      </c>
      <c r="AF215" s="35">
        <f>AD215+AE215</f>
        <v/>
      </c>
      <c r="AG215" s="35">
        <f>IF((AF215/AI215&gt;'Parámetros Proyección'!$G$15),0,D215*'Parámetros Proyección'!$G$15/(IF((H215/AI215&gt;'Parámetros Proyección'!$G$11),0,'Parámetros Proyección'!$G$11)+IF((N215/AI215&gt;'Parámetros Proyección'!$G$12),0,'Parámetros Proyección'!$G$12)+IF((T215/AI215&gt;'Parámetros Proyección'!$G$13),0,'Parámetros Proyección'!$G$13)+IF((Z215/AI215&gt;'Parámetros Proyección'!$G$14),0,'Parámetros Proyección'!$G$14)+IF((AF215/AI215&gt;'Parámetros Proyección'!$G$15),0,'Parámetros Proyección'!$G$15)))</f>
        <v/>
      </c>
      <c r="AH215" s="35">
        <f>AF215+AG215</f>
        <v/>
      </c>
      <c r="AI215" s="35">
        <f>H215+N215+T215+Z215+AF215</f>
        <v/>
      </c>
      <c r="AJ215" s="33">
        <f>AF215/AI215</f>
        <v/>
      </c>
      <c r="AK215">
        <f>IF(AJ215&gt;'Parámetros Proyección'!$B$5,1,0)</f>
        <v/>
      </c>
      <c r="AL215" s="35">
        <f>G215+M215+S215+Y215+AE215</f>
        <v/>
      </c>
      <c r="AM215" s="35">
        <f>AM214+D215</f>
        <v/>
      </c>
      <c r="AN215" s="35">
        <f>AN214+AL215</f>
        <v/>
      </c>
      <c r="AO215" s="35">
        <f>J215+P215+V215+AB215+AH215</f>
        <v/>
      </c>
    </row>
    <row r="216">
      <c r="A216" t="n">
        <v>213</v>
      </c>
      <c r="B216" s="34">
        <f>EDATE(B215,1)</f>
        <v/>
      </c>
      <c r="C216">
        <f>YEAR(B216)</f>
        <v/>
      </c>
      <c r="D216" s="35">
        <f>'Parámetros Proyección'!$B$3*(1+'Parámetros Proyección'!$B$4)^(C216-YEAR('Parámetros Proyección'!$B$6))</f>
        <v/>
      </c>
      <c r="E216" s="35">
        <f>J215</f>
        <v/>
      </c>
      <c r="F216" s="35">
        <f>E216*(1+'Parámetros Proyección'!$E$11)</f>
        <v/>
      </c>
      <c r="G216" s="35">
        <f>F216*'Parámetros Proyección'!$F$11</f>
        <v/>
      </c>
      <c r="H216" s="35">
        <f>F216+G216</f>
        <v/>
      </c>
      <c r="I216" s="35">
        <f>IF((H216/AI216&gt;'Parámetros Proyección'!$G$11),0,D216*'Parámetros Proyección'!$G$11/(IF((H216/AI216&gt;'Parámetros Proyección'!$G$11),0,'Parámetros Proyección'!$G$11)+IF((N216/AI216&gt;'Parámetros Proyección'!$G$12),0,'Parámetros Proyección'!$G$12)+IF((T216/AI216&gt;'Parámetros Proyección'!$G$13),0,'Parámetros Proyección'!$G$13)+IF((Z216/AI216&gt;'Parámetros Proyección'!$G$14),0,'Parámetros Proyección'!$G$14)+IF((AF216/AI216&gt;'Parámetros Proyección'!$G$15),0,'Parámetros Proyección'!$G$15)))</f>
        <v/>
      </c>
      <c r="J216" s="35">
        <f>H216+I216</f>
        <v/>
      </c>
      <c r="K216" s="35">
        <f>P215</f>
        <v/>
      </c>
      <c r="L216" s="35">
        <f>K216*(1+'Parámetros Proyección'!$E$12)</f>
        <v/>
      </c>
      <c r="M216" s="35">
        <f>L216*'Parámetros Proyección'!$F$12</f>
        <v/>
      </c>
      <c r="N216" s="35">
        <f>L216+M216</f>
        <v/>
      </c>
      <c r="O216" s="35">
        <f>IF((N216/AI216&gt;'Parámetros Proyección'!$G$12),0,D216*'Parámetros Proyección'!$G$12/(IF((H216/AI216&gt;'Parámetros Proyección'!$G$11),0,'Parámetros Proyección'!$G$11)+IF((N216/AI216&gt;'Parámetros Proyección'!$G$12),0,'Parámetros Proyección'!$G$12)+IF((T216/AI216&gt;'Parámetros Proyección'!$G$13),0,'Parámetros Proyección'!$G$13)+IF((Z216/AI216&gt;'Parámetros Proyección'!$G$14),0,'Parámetros Proyección'!$G$14)+IF((AF216/AI216&gt;'Parámetros Proyección'!$G$15),0,'Parámetros Proyección'!$G$15)))</f>
        <v/>
      </c>
      <c r="P216" s="35">
        <f>N216+O216</f>
        <v/>
      </c>
      <c r="Q216" s="35">
        <f>V215</f>
        <v/>
      </c>
      <c r="R216" s="35">
        <f>Q216*(1+'Parámetros Proyección'!$E$13)</f>
        <v/>
      </c>
      <c r="S216" s="35">
        <f>R216*'Parámetros Proyección'!$F$13</f>
        <v/>
      </c>
      <c r="T216" s="35">
        <f>R216+S216</f>
        <v/>
      </c>
      <c r="U216" s="35">
        <f>IF((T216/AI216&gt;'Parámetros Proyección'!$G$13),0,D216*'Parámetros Proyección'!$G$13/(IF((H216/AI216&gt;'Parámetros Proyección'!$G$11),0,'Parámetros Proyección'!$G$11)+IF((N216/AI216&gt;'Parámetros Proyección'!$G$12),0,'Parámetros Proyección'!$G$12)+IF((T216/AI216&gt;'Parámetros Proyección'!$G$13),0,'Parámetros Proyección'!$G$13)+IF((Z216/AI216&gt;'Parámetros Proyección'!$G$14),0,'Parámetros Proyección'!$G$14)+IF((AF216/AI216&gt;'Parámetros Proyección'!$G$15),0,'Parámetros Proyección'!$G$15)))</f>
        <v/>
      </c>
      <c r="V216" s="35">
        <f>T216+U216</f>
        <v/>
      </c>
      <c r="W216" s="35">
        <f>AB215</f>
        <v/>
      </c>
      <c r="X216" s="35">
        <f>W216*(1+'Parámetros Proyección'!$E$14)</f>
        <v/>
      </c>
      <c r="Y216" s="35">
        <f>X216*'Parámetros Proyección'!$F$14</f>
        <v/>
      </c>
      <c r="Z216" s="35">
        <f>X216+Y216</f>
        <v/>
      </c>
      <c r="AA216" s="35">
        <f>IF((Z216/AI216&gt;'Parámetros Proyección'!$G$14),0,D216*'Parámetros Proyección'!$G$14/(IF((H216/AI216&gt;'Parámetros Proyección'!$G$11),0,'Parámetros Proyección'!$G$11)+IF((N216/AI216&gt;'Parámetros Proyección'!$G$12),0,'Parámetros Proyección'!$G$12)+IF((T216/AI216&gt;'Parámetros Proyección'!$G$13),0,'Parámetros Proyección'!$G$13)+IF((Z216/AI216&gt;'Parámetros Proyección'!$G$14),0,'Parámetros Proyección'!$G$14)+IF((AF216/AI216&gt;'Parámetros Proyección'!$G$15),0,'Parámetros Proyección'!$G$15)))</f>
        <v/>
      </c>
      <c r="AB216" s="35">
        <f>Z216+AA216</f>
        <v/>
      </c>
      <c r="AC216" s="35">
        <f>AH215</f>
        <v/>
      </c>
      <c r="AD216" s="35">
        <f>AC216*(1+'Parámetros Proyección'!$E$15)</f>
        <v/>
      </c>
      <c r="AE216" s="35">
        <f>AD216*'Parámetros Proyección'!$F$15</f>
        <v/>
      </c>
      <c r="AF216" s="35">
        <f>AD216+AE216</f>
        <v/>
      </c>
      <c r="AG216" s="35">
        <f>IF((AF216/AI216&gt;'Parámetros Proyección'!$G$15),0,D216*'Parámetros Proyección'!$G$15/(IF((H216/AI216&gt;'Parámetros Proyección'!$G$11),0,'Parámetros Proyección'!$G$11)+IF((N216/AI216&gt;'Parámetros Proyección'!$G$12),0,'Parámetros Proyección'!$G$12)+IF((T216/AI216&gt;'Parámetros Proyección'!$G$13),0,'Parámetros Proyección'!$G$13)+IF((Z216/AI216&gt;'Parámetros Proyección'!$G$14),0,'Parámetros Proyección'!$G$14)+IF((AF216/AI216&gt;'Parámetros Proyección'!$G$15),0,'Parámetros Proyección'!$G$15)))</f>
        <v/>
      </c>
      <c r="AH216" s="35">
        <f>AF216+AG216</f>
        <v/>
      </c>
      <c r="AI216" s="35">
        <f>H216+N216+T216+Z216+AF216</f>
        <v/>
      </c>
      <c r="AJ216" s="33">
        <f>AF216/AI216</f>
        <v/>
      </c>
      <c r="AK216">
        <f>IF(AJ216&gt;'Parámetros Proyección'!$B$5,1,0)</f>
        <v/>
      </c>
      <c r="AL216" s="35">
        <f>G216+M216+S216+Y216+AE216</f>
        <v/>
      </c>
      <c r="AM216" s="35">
        <f>AM215+D216</f>
        <v/>
      </c>
      <c r="AN216" s="35">
        <f>AN215+AL216</f>
        <v/>
      </c>
      <c r="AO216" s="35">
        <f>J216+P216+V216+AB216+AH216</f>
        <v/>
      </c>
    </row>
    <row r="217">
      <c r="A217" t="n">
        <v>214</v>
      </c>
      <c r="B217" s="34">
        <f>EDATE(B216,1)</f>
        <v/>
      </c>
      <c r="C217">
        <f>YEAR(B217)</f>
        <v/>
      </c>
      <c r="D217" s="35">
        <f>'Parámetros Proyección'!$B$3*(1+'Parámetros Proyección'!$B$4)^(C217-YEAR('Parámetros Proyección'!$B$6))</f>
        <v/>
      </c>
      <c r="E217" s="35">
        <f>J216</f>
        <v/>
      </c>
      <c r="F217" s="35">
        <f>E217*(1+'Parámetros Proyección'!$E$11)</f>
        <v/>
      </c>
      <c r="G217" s="35">
        <f>F217*'Parámetros Proyección'!$F$11</f>
        <v/>
      </c>
      <c r="H217" s="35">
        <f>F217+G217</f>
        <v/>
      </c>
      <c r="I217" s="35">
        <f>IF((H217/AI217&gt;'Parámetros Proyección'!$G$11),0,D217*'Parámetros Proyección'!$G$11/(IF((H217/AI217&gt;'Parámetros Proyección'!$G$11),0,'Parámetros Proyección'!$G$11)+IF((N217/AI217&gt;'Parámetros Proyección'!$G$12),0,'Parámetros Proyección'!$G$12)+IF((T217/AI217&gt;'Parámetros Proyección'!$G$13),0,'Parámetros Proyección'!$G$13)+IF((Z217/AI217&gt;'Parámetros Proyección'!$G$14),0,'Parámetros Proyección'!$G$14)+IF((AF217/AI217&gt;'Parámetros Proyección'!$G$15),0,'Parámetros Proyección'!$G$15)))</f>
        <v/>
      </c>
      <c r="J217" s="35">
        <f>H217+I217</f>
        <v/>
      </c>
      <c r="K217" s="35">
        <f>P216</f>
        <v/>
      </c>
      <c r="L217" s="35">
        <f>K217*(1+'Parámetros Proyección'!$E$12)</f>
        <v/>
      </c>
      <c r="M217" s="35">
        <f>L217*'Parámetros Proyección'!$F$12</f>
        <v/>
      </c>
      <c r="N217" s="35">
        <f>L217+M217</f>
        <v/>
      </c>
      <c r="O217" s="35">
        <f>IF((N217/AI217&gt;'Parámetros Proyección'!$G$12),0,D217*'Parámetros Proyección'!$G$12/(IF((H217/AI217&gt;'Parámetros Proyección'!$G$11),0,'Parámetros Proyección'!$G$11)+IF((N217/AI217&gt;'Parámetros Proyección'!$G$12),0,'Parámetros Proyección'!$G$12)+IF((T217/AI217&gt;'Parámetros Proyección'!$G$13),0,'Parámetros Proyección'!$G$13)+IF((Z217/AI217&gt;'Parámetros Proyección'!$G$14),0,'Parámetros Proyección'!$G$14)+IF((AF217/AI217&gt;'Parámetros Proyección'!$G$15),0,'Parámetros Proyección'!$G$15)))</f>
        <v/>
      </c>
      <c r="P217" s="35">
        <f>N217+O217</f>
        <v/>
      </c>
      <c r="Q217" s="35">
        <f>V216</f>
        <v/>
      </c>
      <c r="R217" s="35">
        <f>Q217*(1+'Parámetros Proyección'!$E$13)</f>
        <v/>
      </c>
      <c r="S217" s="35">
        <f>R217*'Parámetros Proyección'!$F$13</f>
        <v/>
      </c>
      <c r="T217" s="35">
        <f>R217+S217</f>
        <v/>
      </c>
      <c r="U217" s="35">
        <f>IF((T217/AI217&gt;'Parámetros Proyección'!$G$13),0,D217*'Parámetros Proyección'!$G$13/(IF((H217/AI217&gt;'Parámetros Proyección'!$G$11),0,'Parámetros Proyección'!$G$11)+IF((N217/AI217&gt;'Parámetros Proyección'!$G$12),0,'Parámetros Proyección'!$G$12)+IF((T217/AI217&gt;'Parámetros Proyección'!$G$13),0,'Parámetros Proyección'!$G$13)+IF((Z217/AI217&gt;'Parámetros Proyección'!$G$14),0,'Parámetros Proyección'!$G$14)+IF((AF217/AI217&gt;'Parámetros Proyección'!$G$15),0,'Parámetros Proyección'!$G$15)))</f>
        <v/>
      </c>
      <c r="V217" s="35">
        <f>T217+U217</f>
        <v/>
      </c>
      <c r="W217" s="35">
        <f>AB216</f>
        <v/>
      </c>
      <c r="X217" s="35">
        <f>W217*(1+'Parámetros Proyección'!$E$14)</f>
        <v/>
      </c>
      <c r="Y217" s="35">
        <f>X217*'Parámetros Proyección'!$F$14</f>
        <v/>
      </c>
      <c r="Z217" s="35">
        <f>X217+Y217</f>
        <v/>
      </c>
      <c r="AA217" s="35">
        <f>IF((Z217/AI217&gt;'Parámetros Proyección'!$G$14),0,D217*'Parámetros Proyección'!$G$14/(IF((H217/AI217&gt;'Parámetros Proyección'!$G$11),0,'Parámetros Proyección'!$G$11)+IF((N217/AI217&gt;'Parámetros Proyección'!$G$12),0,'Parámetros Proyección'!$G$12)+IF((T217/AI217&gt;'Parámetros Proyección'!$G$13),0,'Parámetros Proyección'!$G$13)+IF((Z217/AI217&gt;'Parámetros Proyección'!$G$14),0,'Parámetros Proyección'!$G$14)+IF((AF217/AI217&gt;'Parámetros Proyección'!$G$15),0,'Parámetros Proyección'!$G$15)))</f>
        <v/>
      </c>
      <c r="AB217" s="35">
        <f>Z217+AA217</f>
        <v/>
      </c>
      <c r="AC217" s="35">
        <f>AH216</f>
        <v/>
      </c>
      <c r="AD217" s="35">
        <f>AC217*(1+'Parámetros Proyección'!$E$15)</f>
        <v/>
      </c>
      <c r="AE217" s="35">
        <f>AD217*'Parámetros Proyección'!$F$15</f>
        <v/>
      </c>
      <c r="AF217" s="35">
        <f>AD217+AE217</f>
        <v/>
      </c>
      <c r="AG217" s="35">
        <f>IF((AF217/AI217&gt;'Parámetros Proyección'!$G$15),0,D217*'Parámetros Proyección'!$G$15/(IF((H217/AI217&gt;'Parámetros Proyección'!$G$11),0,'Parámetros Proyección'!$G$11)+IF((N217/AI217&gt;'Parámetros Proyección'!$G$12),0,'Parámetros Proyección'!$G$12)+IF((T217/AI217&gt;'Parámetros Proyección'!$G$13),0,'Parámetros Proyección'!$G$13)+IF((Z217/AI217&gt;'Parámetros Proyección'!$G$14),0,'Parámetros Proyección'!$G$14)+IF((AF217/AI217&gt;'Parámetros Proyección'!$G$15),0,'Parámetros Proyección'!$G$15)))</f>
        <v/>
      </c>
      <c r="AH217" s="35">
        <f>AF217+AG217</f>
        <v/>
      </c>
      <c r="AI217" s="35">
        <f>H217+N217+T217+Z217+AF217</f>
        <v/>
      </c>
      <c r="AJ217" s="33">
        <f>AF217/AI217</f>
        <v/>
      </c>
      <c r="AK217">
        <f>IF(AJ217&gt;'Parámetros Proyección'!$B$5,1,0)</f>
        <v/>
      </c>
      <c r="AL217" s="35">
        <f>G217+M217+S217+Y217+AE217</f>
        <v/>
      </c>
      <c r="AM217" s="35">
        <f>AM216+D217</f>
        <v/>
      </c>
      <c r="AN217" s="35">
        <f>AN216+AL217</f>
        <v/>
      </c>
      <c r="AO217" s="35">
        <f>J217+P217+V217+AB217+AH217</f>
        <v/>
      </c>
    </row>
    <row r="218">
      <c r="A218" t="n">
        <v>215</v>
      </c>
      <c r="B218" s="34">
        <f>EDATE(B217,1)</f>
        <v/>
      </c>
      <c r="C218">
        <f>YEAR(B218)</f>
        <v/>
      </c>
      <c r="D218" s="35">
        <f>'Parámetros Proyección'!$B$3*(1+'Parámetros Proyección'!$B$4)^(C218-YEAR('Parámetros Proyección'!$B$6))</f>
        <v/>
      </c>
      <c r="E218" s="35">
        <f>J217</f>
        <v/>
      </c>
      <c r="F218" s="35">
        <f>E218*(1+'Parámetros Proyección'!$E$11)</f>
        <v/>
      </c>
      <c r="G218" s="35">
        <f>F218*'Parámetros Proyección'!$F$11</f>
        <v/>
      </c>
      <c r="H218" s="35">
        <f>F218+G218</f>
        <v/>
      </c>
      <c r="I218" s="35">
        <f>IF((H218/AI218&gt;'Parámetros Proyección'!$G$11),0,D218*'Parámetros Proyección'!$G$11/(IF((H218/AI218&gt;'Parámetros Proyección'!$G$11),0,'Parámetros Proyección'!$G$11)+IF((N218/AI218&gt;'Parámetros Proyección'!$G$12),0,'Parámetros Proyección'!$G$12)+IF((T218/AI218&gt;'Parámetros Proyección'!$G$13),0,'Parámetros Proyección'!$G$13)+IF((Z218/AI218&gt;'Parámetros Proyección'!$G$14),0,'Parámetros Proyección'!$G$14)+IF((AF218/AI218&gt;'Parámetros Proyección'!$G$15),0,'Parámetros Proyección'!$G$15)))</f>
        <v/>
      </c>
      <c r="J218" s="35">
        <f>H218+I218</f>
        <v/>
      </c>
      <c r="K218" s="35">
        <f>P217</f>
        <v/>
      </c>
      <c r="L218" s="35">
        <f>K218*(1+'Parámetros Proyección'!$E$12)</f>
        <v/>
      </c>
      <c r="M218" s="35">
        <f>L218*'Parámetros Proyección'!$F$12</f>
        <v/>
      </c>
      <c r="N218" s="35">
        <f>L218+M218</f>
        <v/>
      </c>
      <c r="O218" s="35">
        <f>IF((N218/AI218&gt;'Parámetros Proyección'!$G$12),0,D218*'Parámetros Proyección'!$G$12/(IF((H218/AI218&gt;'Parámetros Proyección'!$G$11),0,'Parámetros Proyección'!$G$11)+IF((N218/AI218&gt;'Parámetros Proyección'!$G$12),0,'Parámetros Proyección'!$G$12)+IF((T218/AI218&gt;'Parámetros Proyección'!$G$13),0,'Parámetros Proyección'!$G$13)+IF((Z218/AI218&gt;'Parámetros Proyección'!$G$14),0,'Parámetros Proyección'!$G$14)+IF((AF218/AI218&gt;'Parámetros Proyección'!$G$15),0,'Parámetros Proyección'!$G$15)))</f>
        <v/>
      </c>
      <c r="P218" s="35">
        <f>N218+O218</f>
        <v/>
      </c>
      <c r="Q218" s="35">
        <f>V217</f>
        <v/>
      </c>
      <c r="R218" s="35">
        <f>Q218*(1+'Parámetros Proyección'!$E$13)</f>
        <v/>
      </c>
      <c r="S218" s="35">
        <f>R218*'Parámetros Proyección'!$F$13</f>
        <v/>
      </c>
      <c r="T218" s="35">
        <f>R218+S218</f>
        <v/>
      </c>
      <c r="U218" s="35">
        <f>IF((T218/AI218&gt;'Parámetros Proyección'!$G$13),0,D218*'Parámetros Proyección'!$G$13/(IF((H218/AI218&gt;'Parámetros Proyección'!$G$11),0,'Parámetros Proyección'!$G$11)+IF((N218/AI218&gt;'Parámetros Proyección'!$G$12),0,'Parámetros Proyección'!$G$12)+IF((T218/AI218&gt;'Parámetros Proyección'!$G$13),0,'Parámetros Proyección'!$G$13)+IF((Z218/AI218&gt;'Parámetros Proyección'!$G$14),0,'Parámetros Proyección'!$G$14)+IF((AF218/AI218&gt;'Parámetros Proyección'!$G$15),0,'Parámetros Proyección'!$G$15)))</f>
        <v/>
      </c>
      <c r="V218" s="35">
        <f>T218+U218</f>
        <v/>
      </c>
      <c r="W218" s="35">
        <f>AB217</f>
        <v/>
      </c>
      <c r="X218" s="35">
        <f>W218*(1+'Parámetros Proyección'!$E$14)</f>
        <v/>
      </c>
      <c r="Y218" s="35">
        <f>X218*'Parámetros Proyección'!$F$14</f>
        <v/>
      </c>
      <c r="Z218" s="35">
        <f>X218+Y218</f>
        <v/>
      </c>
      <c r="AA218" s="35">
        <f>IF((Z218/AI218&gt;'Parámetros Proyección'!$G$14),0,D218*'Parámetros Proyección'!$G$14/(IF((H218/AI218&gt;'Parámetros Proyección'!$G$11),0,'Parámetros Proyección'!$G$11)+IF((N218/AI218&gt;'Parámetros Proyección'!$G$12),0,'Parámetros Proyección'!$G$12)+IF((T218/AI218&gt;'Parámetros Proyección'!$G$13),0,'Parámetros Proyección'!$G$13)+IF((Z218/AI218&gt;'Parámetros Proyección'!$G$14),0,'Parámetros Proyección'!$G$14)+IF((AF218/AI218&gt;'Parámetros Proyección'!$G$15),0,'Parámetros Proyección'!$G$15)))</f>
        <v/>
      </c>
      <c r="AB218" s="35">
        <f>Z218+AA218</f>
        <v/>
      </c>
      <c r="AC218" s="35">
        <f>AH217</f>
        <v/>
      </c>
      <c r="AD218" s="35">
        <f>AC218*(1+'Parámetros Proyección'!$E$15)</f>
        <v/>
      </c>
      <c r="AE218" s="35">
        <f>AD218*'Parámetros Proyección'!$F$15</f>
        <v/>
      </c>
      <c r="AF218" s="35">
        <f>AD218+AE218</f>
        <v/>
      </c>
      <c r="AG218" s="35">
        <f>IF((AF218/AI218&gt;'Parámetros Proyección'!$G$15),0,D218*'Parámetros Proyección'!$G$15/(IF((H218/AI218&gt;'Parámetros Proyección'!$G$11),0,'Parámetros Proyección'!$G$11)+IF((N218/AI218&gt;'Parámetros Proyección'!$G$12),0,'Parámetros Proyección'!$G$12)+IF((T218/AI218&gt;'Parámetros Proyección'!$G$13),0,'Parámetros Proyección'!$G$13)+IF((Z218/AI218&gt;'Parámetros Proyección'!$G$14),0,'Parámetros Proyección'!$G$14)+IF((AF218/AI218&gt;'Parámetros Proyección'!$G$15),0,'Parámetros Proyección'!$G$15)))</f>
        <v/>
      </c>
      <c r="AH218" s="35">
        <f>AF218+AG218</f>
        <v/>
      </c>
      <c r="AI218" s="35">
        <f>H218+N218+T218+Z218+AF218</f>
        <v/>
      </c>
      <c r="AJ218" s="33">
        <f>AF218/AI218</f>
        <v/>
      </c>
      <c r="AK218">
        <f>IF(AJ218&gt;'Parámetros Proyección'!$B$5,1,0)</f>
        <v/>
      </c>
      <c r="AL218" s="35">
        <f>G218+M218+S218+Y218+AE218</f>
        <v/>
      </c>
      <c r="AM218" s="35">
        <f>AM217+D218</f>
        <v/>
      </c>
      <c r="AN218" s="35">
        <f>AN217+AL218</f>
        <v/>
      </c>
      <c r="AO218" s="35">
        <f>J218+P218+V218+AB218+AH218</f>
        <v/>
      </c>
    </row>
    <row r="219">
      <c r="A219" t="n">
        <v>216</v>
      </c>
      <c r="B219" s="34">
        <f>EDATE(B218,1)</f>
        <v/>
      </c>
      <c r="C219">
        <f>YEAR(B219)</f>
        <v/>
      </c>
      <c r="D219" s="35">
        <f>'Parámetros Proyección'!$B$3*(1+'Parámetros Proyección'!$B$4)^(C219-YEAR('Parámetros Proyección'!$B$6))</f>
        <v/>
      </c>
      <c r="E219" s="35">
        <f>J218</f>
        <v/>
      </c>
      <c r="F219" s="35">
        <f>E219*(1+'Parámetros Proyección'!$E$11)</f>
        <v/>
      </c>
      <c r="G219" s="35">
        <f>F219*'Parámetros Proyección'!$F$11</f>
        <v/>
      </c>
      <c r="H219" s="35">
        <f>F219+G219</f>
        <v/>
      </c>
      <c r="I219" s="35">
        <f>IF((H219/AI219&gt;'Parámetros Proyección'!$G$11),0,D219*'Parámetros Proyección'!$G$11/(IF((H219/AI219&gt;'Parámetros Proyección'!$G$11),0,'Parámetros Proyección'!$G$11)+IF((N219/AI219&gt;'Parámetros Proyección'!$G$12),0,'Parámetros Proyección'!$G$12)+IF((T219/AI219&gt;'Parámetros Proyección'!$G$13),0,'Parámetros Proyección'!$G$13)+IF((Z219/AI219&gt;'Parámetros Proyección'!$G$14),0,'Parámetros Proyección'!$G$14)+IF((AF219/AI219&gt;'Parámetros Proyección'!$G$15),0,'Parámetros Proyección'!$G$15)))</f>
        <v/>
      </c>
      <c r="J219" s="35">
        <f>H219+I219</f>
        <v/>
      </c>
      <c r="K219" s="35">
        <f>P218</f>
        <v/>
      </c>
      <c r="L219" s="35">
        <f>K219*(1+'Parámetros Proyección'!$E$12)</f>
        <v/>
      </c>
      <c r="M219" s="35">
        <f>L219*'Parámetros Proyección'!$F$12</f>
        <v/>
      </c>
      <c r="N219" s="35">
        <f>L219+M219</f>
        <v/>
      </c>
      <c r="O219" s="35">
        <f>IF((N219/AI219&gt;'Parámetros Proyección'!$G$12),0,D219*'Parámetros Proyección'!$G$12/(IF((H219/AI219&gt;'Parámetros Proyección'!$G$11),0,'Parámetros Proyección'!$G$11)+IF((N219/AI219&gt;'Parámetros Proyección'!$G$12),0,'Parámetros Proyección'!$G$12)+IF((T219/AI219&gt;'Parámetros Proyección'!$G$13),0,'Parámetros Proyección'!$G$13)+IF((Z219/AI219&gt;'Parámetros Proyección'!$G$14),0,'Parámetros Proyección'!$G$14)+IF((AF219/AI219&gt;'Parámetros Proyección'!$G$15),0,'Parámetros Proyección'!$G$15)))</f>
        <v/>
      </c>
      <c r="P219" s="35">
        <f>N219+O219</f>
        <v/>
      </c>
      <c r="Q219" s="35">
        <f>V218</f>
        <v/>
      </c>
      <c r="R219" s="35">
        <f>Q219*(1+'Parámetros Proyección'!$E$13)</f>
        <v/>
      </c>
      <c r="S219" s="35">
        <f>R219*'Parámetros Proyección'!$F$13</f>
        <v/>
      </c>
      <c r="T219" s="35">
        <f>R219+S219</f>
        <v/>
      </c>
      <c r="U219" s="35">
        <f>IF((T219/AI219&gt;'Parámetros Proyección'!$G$13),0,D219*'Parámetros Proyección'!$G$13/(IF((H219/AI219&gt;'Parámetros Proyección'!$G$11),0,'Parámetros Proyección'!$G$11)+IF((N219/AI219&gt;'Parámetros Proyección'!$G$12),0,'Parámetros Proyección'!$G$12)+IF((T219/AI219&gt;'Parámetros Proyección'!$G$13),0,'Parámetros Proyección'!$G$13)+IF((Z219/AI219&gt;'Parámetros Proyección'!$G$14),0,'Parámetros Proyección'!$G$14)+IF((AF219/AI219&gt;'Parámetros Proyección'!$G$15),0,'Parámetros Proyección'!$G$15)))</f>
        <v/>
      </c>
      <c r="V219" s="35">
        <f>T219+U219</f>
        <v/>
      </c>
      <c r="W219" s="35">
        <f>AB218</f>
        <v/>
      </c>
      <c r="X219" s="35">
        <f>W219*(1+'Parámetros Proyección'!$E$14)</f>
        <v/>
      </c>
      <c r="Y219" s="35">
        <f>X219*'Parámetros Proyección'!$F$14</f>
        <v/>
      </c>
      <c r="Z219" s="35">
        <f>X219+Y219</f>
        <v/>
      </c>
      <c r="AA219" s="35">
        <f>IF((Z219/AI219&gt;'Parámetros Proyección'!$G$14),0,D219*'Parámetros Proyección'!$G$14/(IF((H219/AI219&gt;'Parámetros Proyección'!$G$11),0,'Parámetros Proyección'!$G$11)+IF((N219/AI219&gt;'Parámetros Proyección'!$G$12),0,'Parámetros Proyección'!$G$12)+IF((T219/AI219&gt;'Parámetros Proyección'!$G$13),0,'Parámetros Proyección'!$G$13)+IF((Z219/AI219&gt;'Parámetros Proyección'!$G$14),0,'Parámetros Proyección'!$G$14)+IF((AF219/AI219&gt;'Parámetros Proyección'!$G$15),0,'Parámetros Proyección'!$G$15)))</f>
        <v/>
      </c>
      <c r="AB219" s="35">
        <f>Z219+AA219</f>
        <v/>
      </c>
      <c r="AC219" s="35">
        <f>AH218</f>
        <v/>
      </c>
      <c r="AD219" s="35">
        <f>AC219*(1+'Parámetros Proyección'!$E$15)</f>
        <v/>
      </c>
      <c r="AE219" s="35">
        <f>AD219*'Parámetros Proyección'!$F$15</f>
        <v/>
      </c>
      <c r="AF219" s="35">
        <f>AD219+AE219</f>
        <v/>
      </c>
      <c r="AG219" s="35">
        <f>IF((AF219/AI219&gt;'Parámetros Proyección'!$G$15),0,D219*'Parámetros Proyección'!$G$15/(IF((H219/AI219&gt;'Parámetros Proyección'!$G$11),0,'Parámetros Proyección'!$G$11)+IF((N219/AI219&gt;'Parámetros Proyección'!$G$12),0,'Parámetros Proyección'!$G$12)+IF((T219/AI219&gt;'Parámetros Proyección'!$G$13),0,'Parámetros Proyección'!$G$13)+IF((Z219/AI219&gt;'Parámetros Proyección'!$G$14),0,'Parámetros Proyección'!$G$14)+IF((AF219/AI219&gt;'Parámetros Proyección'!$G$15),0,'Parámetros Proyección'!$G$15)))</f>
        <v/>
      </c>
      <c r="AH219" s="35">
        <f>AF219+AG219</f>
        <v/>
      </c>
      <c r="AI219" s="35">
        <f>H219+N219+T219+Z219+AF219</f>
        <v/>
      </c>
      <c r="AJ219" s="33">
        <f>AF219/AI219</f>
        <v/>
      </c>
      <c r="AK219">
        <f>IF(AJ219&gt;'Parámetros Proyección'!$B$5,1,0)</f>
        <v/>
      </c>
      <c r="AL219" s="35">
        <f>G219+M219+S219+Y219+AE219</f>
        <v/>
      </c>
      <c r="AM219" s="35">
        <f>AM218+D219</f>
        <v/>
      </c>
      <c r="AN219" s="35">
        <f>AN218+AL219</f>
        <v/>
      </c>
      <c r="AO219" s="35">
        <f>J219+P219+V219+AB219+AH219</f>
        <v/>
      </c>
    </row>
    <row r="220">
      <c r="A220" t="n">
        <v>217</v>
      </c>
      <c r="B220" s="34">
        <f>EDATE(B219,1)</f>
        <v/>
      </c>
      <c r="C220">
        <f>YEAR(B220)</f>
        <v/>
      </c>
      <c r="D220" s="35">
        <f>'Parámetros Proyección'!$B$3*(1+'Parámetros Proyección'!$B$4)^(C220-YEAR('Parámetros Proyección'!$B$6))</f>
        <v/>
      </c>
      <c r="E220" s="35">
        <f>J219</f>
        <v/>
      </c>
      <c r="F220" s="35">
        <f>E220*(1+'Parámetros Proyección'!$E$11)</f>
        <v/>
      </c>
      <c r="G220" s="35">
        <f>F220*'Parámetros Proyección'!$F$11</f>
        <v/>
      </c>
      <c r="H220" s="35">
        <f>F220+G220</f>
        <v/>
      </c>
      <c r="I220" s="35">
        <f>IF((H220/AI220&gt;'Parámetros Proyección'!$G$11),0,D220*'Parámetros Proyección'!$G$11/(IF((H220/AI220&gt;'Parámetros Proyección'!$G$11),0,'Parámetros Proyección'!$G$11)+IF((N220/AI220&gt;'Parámetros Proyección'!$G$12),0,'Parámetros Proyección'!$G$12)+IF((T220/AI220&gt;'Parámetros Proyección'!$G$13),0,'Parámetros Proyección'!$G$13)+IF((Z220/AI220&gt;'Parámetros Proyección'!$G$14),0,'Parámetros Proyección'!$G$14)+IF((AF220/AI220&gt;'Parámetros Proyección'!$G$15),0,'Parámetros Proyección'!$G$15)))</f>
        <v/>
      </c>
      <c r="J220" s="35">
        <f>H220+I220</f>
        <v/>
      </c>
      <c r="K220" s="35">
        <f>P219</f>
        <v/>
      </c>
      <c r="L220" s="35">
        <f>K220*(1+'Parámetros Proyección'!$E$12)</f>
        <v/>
      </c>
      <c r="M220" s="35">
        <f>L220*'Parámetros Proyección'!$F$12</f>
        <v/>
      </c>
      <c r="N220" s="35">
        <f>L220+M220</f>
        <v/>
      </c>
      <c r="O220" s="35">
        <f>IF((N220/AI220&gt;'Parámetros Proyección'!$G$12),0,D220*'Parámetros Proyección'!$G$12/(IF((H220/AI220&gt;'Parámetros Proyección'!$G$11),0,'Parámetros Proyección'!$G$11)+IF((N220/AI220&gt;'Parámetros Proyección'!$G$12),0,'Parámetros Proyección'!$G$12)+IF((T220/AI220&gt;'Parámetros Proyección'!$G$13),0,'Parámetros Proyección'!$G$13)+IF((Z220/AI220&gt;'Parámetros Proyección'!$G$14),0,'Parámetros Proyección'!$G$14)+IF((AF220/AI220&gt;'Parámetros Proyección'!$G$15),0,'Parámetros Proyección'!$G$15)))</f>
        <v/>
      </c>
      <c r="P220" s="35">
        <f>N220+O220</f>
        <v/>
      </c>
      <c r="Q220" s="35">
        <f>V219</f>
        <v/>
      </c>
      <c r="R220" s="35">
        <f>Q220*(1+'Parámetros Proyección'!$E$13)</f>
        <v/>
      </c>
      <c r="S220" s="35">
        <f>R220*'Parámetros Proyección'!$F$13</f>
        <v/>
      </c>
      <c r="T220" s="35">
        <f>R220+S220</f>
        <v/>
      </c>
      <c r="U220" s="35">
        <f>IF((T220/AI220&gt;'Parámetros Proyección'!$G$13),0,D220*'Parámetros Proyección'!$G$13/(IF((H220/AI220&gt;'Parámetros Proyección'!$G$11),0,'Parámetros Proyección'!$G$11)+IF((N220/AI220&gt;'Parámetros Proyección'!$G$12),0,'Parámetros Proyección'!$G$12)+IF((T220/AI220&gt;'Parámetros Proyección'!$G$13),0,'Parámetros Proyección'!$G$13)+IF((Z220/AI220&gt;'Parámetros Proyección'!$G$14),0,'Parámetros Proyección'!$G$14)+IF((AF220/AI220&gt;'Parámetros Proyección'!$G$15),0,'Parámetros Proyección'!$G$15)))</f>
        <v/>
      </c>
      <c r="V220" s="35">
        <f>T220+U220</f>
        <v/>
      </c>
      <c r="W220" s="35">
        <f>AB219</f>
        <v/>
      </c>
      <c r="X220" s="35">
        <f>W220*(1+'Parámetros Proyección'!$E$14)</f>
        <v/>
      </c>
      <c r="Y220" s="35">
        <f>X220*'Parámetros Proyección'!$F$14</f>
        <v/>
      </c>
      <c r="Z220" s="35">
        <f>X220+Y220</f>
        <v/>
      </c>
      <c r="AA220" s="35">
        <f>IF((Z220/AI220&gt;'Parámetros Proyección'!$G$14),0,D220*'Parámetros Proyección'!$G$14/(IF((H220/AI220&gt;'Parámetros Proyección'!$G$11),0,'Parámetros Proyección'!$G$11)+IF((N220/AI220&gt;'Parámetros Proyección'!$G$12),0,'Parámetros Proyección'!$G$12)+IF((T220/AI220&gt;'Parámetros Proyección'!$G$13),0,'Parámetros Proyección'!$G$13)+IF((Z220/AI220&gt;'Parámetros Proyección'!$G$14),0,'Parámetros Proyección'!$G$14)+IF((AF220/AI220&gt;'Parámetros Proyección'!$G$15),0,'Parámetros Proyección'!$G$15)))</f>
        <v/>
      </c>
      <c r="AB220" s="35">
        <f>Z220+AA220</f>
        <v/>
      </c>
      <c r="AC220" s="35">
        <f>AH219</f>
        <v/>
      </c>
      <c r="AD220" s="35">
        <f>AC220*(1+'Parámetros Proyección'!$E$15)</f>
        <v/>
      </c>
      <c r="AE220" s="35">
        <f>AD220*'Parámetros Proyección'!$F$15</f>
        <v/>
      </c>
      <c r="AF220" s="35">
        <f>AD220+AE220</f>
        <v/>
      </c>
      <c r="AG220" s="35">
        <f>IF((AF220/AI220&gt;'Parámetros Proyección'!$G$15),0,D220*'Parámetros Proyección'!$G$15/(IF((H220/AI220&gt;'Parámetros Proyección'!$G$11),0,'Parámetros Proyección'!$G$11)+IF((N220/AI220&gt;'Parámetros Proyección'!$G$12),0,'Parámetros Proyección'!$G$12)+IF((T220/AI220&gt;'Parámetros Proyección'!$G$13),0,'Parámetros Proyección'!$G$13)+IF((Z220/AI220&gt;'Parámetros Proyección'!$G$14),0,'Parámetros Proyección'!$G$14)+IF((AF220/AI220&gt;'Parámetros Proyección'!$G$15),0,'Parámetros Proyección'!$G$15)))</f>
        <v/>
      </c>
      <c r="AH220" s="35">
        <f>AF220+AG220</f>
        <v/>
      </c>
      <c r="AI220" s="35">
        <f>H220+N220+T220+Z220+AF220</f>
        <v/>
      </c>
      <c r="AJ220" s="33">
        <f>AF220/AI220</f>
        <v/>
      </c>
      <c r="AK220">
        <f>IF(AJ220&gt;'Parámetros Proyección'!$B$5,1,0)</f>
        <v/>
      </c>
      <c r="AL220" s="35">
        <f>G220+M220+S220+Y220+AE220</f>
        <v/>
      </c>
      <c r="AM220" s="35">
        <f>AM219+D220</f>
        <v/>
      </c>
      <c r="AN220" s="35">
        <f>AN219+AL220</f>
        <v/>
      </c>
      <c r="AO220" s="35">
        <f>J220+P220+V220+AB220+AH220</f>
        <v/>
      </c>
    </row>
    <row r="221">
      <c r="A221" t="n">
        <v>218</v>
      </c>
      <c r="B221" s="34">
        <f>EDATE(B220,1)</f>
        <v/>
      </c>
      <c r="C221">
        <f>YEAR(B221)</f>
        <v/>
      </c>
      <c r="D221" s="35">
        <f>'Parámetros Proyección'!$B$3*(1+'Parámetros Proyección'!$B$4)^(C221-YEAR('Parámetros Proyección'!$B$6))</f>
        <v/>
      </c>
      <c r="E221" s="35">
        <f>J220</f>
        <v/>
      </c>
      <c r="F221" s="35">
        <f>E221*(1+'Parámetros Proyección'!$E$11)</f>
        <v/>
      </c>
      <c r="G221" s="35">
        <f>F221*'Parámetros Proyección'!$F$11</f>
        <v/>
      </c>
      <c r="H221" s="35">
        <f>F221+G221</f>
        <v/>
      </c>
      <c r="I221" s="35">
        <f>IF((H221/AI221&gt;'Parámetros Proyección'!$G$11),0,D221*'Parámetros Proyección'!$G$11/(IF((H221/AI221&gt;'Parámetros Proyección'!$G$11),0,'Parámetros Proyección'!$G$11)+IF((N221/AI221&gt;'Parámetros Proyección'!$G$12),0,'Parámetros Proyección'!$G$12)+IF((T221/AI221&gt;'Parámetros Proyección'!$G$13),0,'Parámetros Proyección'!$G$13)+IF((Z221/AI221&gt;'Parámetros Proyección'!$G$14),0,'Parámetros Proyección'!$G$14)+IF((AF221/AI221&gt;'Parámetros Proyección'!$G$15),0,'Parámetros Proyección'!$G$15)))</f>
        <v/>
      </c>
      <c r="J221" s="35">
        <f>H221+I221</f>
        <v/>
      </c>
      <c r="K221" s="35">
        <f>P220</f>
        <v/>
      </c>
      <c r="L221" s="35">
        <f>K221*(1+'Parámetros Proyección'!$E$12)</f>
        <v/>
      </c>
      <c r="M221" s="35">
        <f>L221*'Parámetros Proyección'!$F$12</f>
        <v/>
      </c>
      <c r="N221" s="35">
        <f>L221+M221</f>
        <v/>
      </c>
      <c r="O221" s="35">
        <f>IF((N221/AI221&gt;'Parámetros Proyección'!$G$12),0,D221*'Parámetros Proyección'!$G$12/(IF((H221/AI221&gt;'Parámetros Proyección'!$G$11),0,'Parámetros Proyección'!$G$11)+IF((N221/AI221&gt;'Parámetros Proyección'!$G$12),0,'Parámetros Proyección'!$G$12)+IF((T221/AI221&gt;'Parámetros Proyección'!$G$13),0,'Parámetros Proyección'!$G$13)+IF((Z221/AI221&gt;'Parámetros Proyección'!$G$14),0,'Parámetros Proyección'!$G$14)+IF((AF221/AI221&gt;'Parámetros Proyección'!$G$15),0,'Parámetros Proyección'!$G$15)))</f>
        <v/>
      </c>
      <c r="P221" s="35">
        <f>N221+O221</f>
        <v/>
      </c>
      <c r="Q221" s="35">
        <f>V220</f>
        <v/>
      </c>
      <c r="R221" s="35">
        <f>Q221*(1+'Parámetros Proyección'!$E$13)</f>
        <v/>
      </c>
      <c r="S221" s="35">
        <f>R221*'Parámetros Proyección'!$F$13</f>
        <v/>
      </c>
      <c r="T221" s="35">
        <f>R221+S221</f>
        <v/>
      </c>
      <c r="U221" s="35">
        <f>IF((T221/AI221&gt;'Parámetros Proyección'!$G$13),0,D221*'Parámetros Proyección'!$G$13/(IF((H221/AI221&gt;'Parámetros Proyección'!$G$11),0,'Parámetros Proyección'!$G$11)+IF((N221/AI221&gt;'Parámetros Proyección'!$G$12),0,'Parámetros Proyección'!$G$12)+IF((T221/AI221&gt;'Parámetros Proyección'!$G$13),0,'Parámetros Proyección'!$G$13)+IF((Z221/AI221&gt;'Parámetros Proyección'!$G$14),0,'Parámetros Proyección'!$G$14)+IF((AF221/AI221&gt;'Parámetros Proyección'!$G$15),0,'Parámetros Proyección'!$G$15)))</f>
        <v/>
      </c>
      <c r="V221" s="35">
        <f>T221+U221</f>
        <v/>
      </c>
      <c r="W221" s="35">
        <f>AB220</f>
        <v/>
      </c>
      <c r="X221" s="35">
        <f>W221*(1+'Parámetros Proyección'!$E$14)</f>
        <v/>
      </c>
      <c r="Y221" s="35">
        <f>X221*'Parámetros Proyección'!$F$14</f>
        <v/>
      </c>
      <c r="Z221" s="35">
        <f>X221+Y221</f>
        <v/>
      </c>
      <c r="AA221" s="35">
        <f>IF((Z221/AI221&gt;'Parámetros Proyección'!$G$14),0,D221*'Parámetros Proyección'!$G$14/(IF((H221/AI221&gt;'Parámetros Proyección'!$G$11),0,'Parámetros Proyección'!$G$11)+IF((N221/AI221&gt;'Parámetros Proyección'!$G$12),0,'Parámetros Proyección'!$G$12)+IF((T221/AI221&gt;'Parámetros Proyección'!$G$13),0,'Parámetros Proyección'!$G$13)+IF((Z221/AI221&gt;'Parámetros Proyección'!$G$14),0,'Parámetros Proyección'!$G$14)+IF((AF221/AI221&gt;'Parámetros Proyección'!$G$15),0,'Parámetros Proyección'!$G$15)))</f>
        <v/>
      </c>
      <c r="AB221" s="35">
        <f>Z221+AA221</f>
        <v/>
      </c>
      <c r="AC221" s="35">
        <f>AH220</f>
        <v/>
      </c>
      <c r="AD221" s="35">
        <f>AC221*(1+'Parámetros Proyección'!$E$15)</f>
        <v/>
      </c>
      <c r="AE221" s="35">
        <f>AD221*'Parámetros Proyección'!$F$15</f>
        <v/>
      </c>
      <c r="AF221" s="35">
        <f>AD221+AE221</f>
        <v/>
      </c>
      <c r="AG221" s="35">
        <f>IF((AF221/AI221&gt;'Parámetros Proyección'!$G$15),0,D221*'Parámetros Proyección'!$G$15/(IF((H221/AI221&gt;'Parámetros Proyección'!$G$11),0,'Parámetros Proyección'!$G$11)+IF((N221/AI221&gt;'Parámetros Proyección'!$G$12),0,'Parámetros Proyección'!$G$12)+IF((T221/AI221&gt;'Parámetros Proyección'!$G$13),0,'Parámetros Proyección'!$G$13)+IF((Z221/AI221&gt;'Parámetros Proyección'!$G$14),0,'Parámetros Proyección'!$G$14)+IF((AF221/AI221&gt;'Parámetros Proyección'!$G$15),0,'Parámetros Proyección'!$G$15)))</f>
        <v/>
      </c>
      <c r="AH221" s="35">
        <f>AF221+AG221</f>
        <v/>
      </c>
      <c r="AI221" s="35">
        <f>H221+N221+T221+Z221+AF221</f>
        <v/>
      </c>
      <c r="AJ221" s="33">
        <f>AF221/AI221</f>
        <v/>
      </c>
      <c r="AK221">
        <f>IF(AJ221&gt;'Parámetros Proyección'!$B$5,1,0)</f>
        <v/>
      </c>
      <c r="AL221" s="35">
        <f>G221+M221+S221+Y221+AE221</f>
        <v/>
      </c>
      <c r="AM221" s="35">
        <f>AM220+D221</f>
        <v/>
      </c>
      <c r="AN221" s="35">
        <f>AN220+AL221</f>
        <v/>
      </c>
      <c r="AO221" s="35">
        <f>J221+P221+V221+AB221+AH221</f>
        <v/>
      </c>
    </row>
    <row r="222">
      <c r="A222" t="n">
        <v>219</v>
      </c>
      <c r="B222" s="34">
        <f>EDATE(B221,1)</f>
        <v/>
      </c>
      <c r="C222">
        <f>YEAR(B222)</f>
        <v/>
      </c>
      <c r="D222" s="35">
        <f>'Parámetros Proyección'!$B$3*(1+'Parámetros Proyección'!$B$4)^(C222-YEAR('Parámetros Proyección'!$B$6))</f>
        <v/>
      </c>
      <c r="E222" s="35">
        <f>J221</f>
        <v/>
      </c>
      <c r="F222" s="35">
        <f>E222*(1+'Parámetros Proyección'!$E$11)</f>
        <v/>
      </c>
      <c r="G222" s="35">
        <f>F222*'Parámetros Proyección'!$F$11</f>
        <v/>
      </c>
      <c r="H222" s="35">
        <f>F222+G222</f>
        <v/>
      </c>
      <c r="I222" s="35">
        <f>IF((H222/AI222&gt;'Parámetros Proyección'!$G$11),0,D222*'Parámetros Proyección'!$G$11/(IF((H222/AI222&gt;'Parámetros Proyección'!$G$11),0,'Parámetros Proyección'!$G$11)+IF((N222/AI222&gt;'Parámetros Proyección'!$G$12),0,'Parámetros Proyección'!$G$12)+IF((T222/AI222&gt;'Parámetros Proyección'!$G$13),0,'Parámetros Proyección'!$G$13)+IF((Z222/AI222&gt;'Parámetros Proyección'!$G$14),0,'Parámetros Proyección'!$G$14)+IF((AF222/AI222&gt;'Parámetros Proyección'!$G$15),0,'Parámetros Proyección'!$G$15)))</f>
        <v/>
      </c>
      <c r="J222" s="35">
        <f>H222+I222</f>
        <v/>
      </c>
      <c r="K222" s="35">
        <f>P221</f>
        <v/>
      </c>
      <c r="L222" s="35">
        <f>K222*(1+'Parámetros Proyección'!$E$12)</f>
        <v/>
      </c>
      <c r="M222" s="35">
        <f>L222*'Parámetros Proyección'!$F$12</f>
        <v/>
      </c>
      <c r="N222" s="35">
        <f>L222+M222</f>
        <v/>
      </c>
      <c r="O222" s="35">
        <f>IF((N222/AI222&gt;'Parámetros Proyección'!$G$12),0,D222*'Parámetros Proyección'!$G$12/(IF((H222/AI222&gt;'Parámetros Proyección'!$G$11),0,'Parámetros Proyección'!$G$11)+IF((N222/AI222&gt;'Parámetros Proyección'!$G$12),0,'Parámetros Proyección'!$G$12)+IF((T222/AI222&gt;'Parámetros Proyección'!$G$13),0,'Parámetros Proyección'!$G$13)+IF((Z222/AI222&gt;'Parámetros Proyección'!$G$14),0,'Parámetros Proyección'!$G$14)+IF((AF222/AI222&gt;'Parámetros Proyección'!$G$15),0,'Parámetros Proyección'!$G$15)))</f>
        <v/>
      </c>
      <c r="P222" s="35">
        <f>N222+O222</f>
        <v/>
      </c>
      <c r="Q222" s="35">
        <f>V221</f>
        <v/>
      </c>
      <c r="R222" s="35">
        <f>Q222*(1+'Parámetros Proyección'!$E$13)</f>
        <v/>
      </c>
      <c r="S222" s="35">
        <f>R222*'Parámetros Proyección'!$F$13</f>
        <v/>
      </c>
      <c r="T222" s="35">
        <f>R222+S222</f>
        <v/>
      </c>
      <c r="U222" s="35">
        <f>IF((T222/AI222&gt;'Parámetros Proyección'!$G$13),0,D222*'Parámetros Proyección'!$G$13/(IF((H222/AI222&gt;'Parámetros Proyección'!$G$11),0,'Parámetros Proyección'!$G$11)+IF((N222/AI222&gt;'Parámetros Proyección'!$G$12),0,'Parámetros Proyección'!$G$12)+IF((T222/AI222&gt;'Parámetros Proyección'!$G$13),0,'Parámetros Proyección'!$G$13)+IF((Z222/AI222&gt;'Parámetros Proyección'!$G$14),0,'Parámetros Proyección'!$G$14)+IF((AF222/AI222&gt;'Parámetros Proyección'!$G$15),0,'Parámetros Proyección'!$G$15)))</f>
        <v/>
      </c>
      <c r="V222" s="35">
        <f>T222+U222</f>
        <v/>
      </c>
      <c r="W222" s="35">
        <f>AB221</f>
        <v/>
      </c>
      <c r="X222" s="35">
        <f>W222*(1+'Parámetros Proyección'!$E$14)</f>
        <v/>
      </c>
      <c r="Y222" s="35">
        <f>X222*'Parámetros Proyección'!$F$14</f>
        <v/>
      </c>
      <c r="Z222" s="35">
        <f>X222+Y222</f>
        <v/>
      </c>
      <c r="AA222" s="35">
        <f>IF((Z222/AI222&gt;'Parámetros Proyección'!$G$14),0,D222*'Parámetros Proyección'!$G$14/(IF((H222/AI222&gt;'Parámetros Proyección'!$G$11),0,'Parámetros Proyección'!$G$11)+IF((N222/AI222&gt;'Parámetros Proyección'!$G$12),0,'Parámetros Proyección'!$G$12)+IF((T222/AI222&gt;'Parámetros Proyección'!$G$13),0,'Parámetros Proyección'!$G$13)+IF((Z222/AI222&gt;'Parámetros Proyección'!$G$14),0,'Parámetros Proyección'!$G$14)+IF((AF222/AI222&gt;'Parámetros Proyección'!$G$15),0,'Parámetros Proyección'!$G$15)))</f>
        <v/>
      </c>
      <c r="AB222" s="35">
        <f>Z222+AA222</f>
        <v/>
      </c>
      <c r="AC222" s="35">
        <f>AH221</f>
        <v/>
      </c>
      <c r="AD222" s="35">
        <f>AC222*(1+'Parámetros Proyección'!$E$15)</f>
        <v/>
      </c>
      <c r="AE222" s="35">
        <f>AD222*'Parámetros Proyección'!$F$15</f>
        <v/>
      </c>
      <c r="AF222" s="35">
        <f>AD222+AE222</f>
        <v/>
      </c>
      <c r="AG222" s="35">
        <f>IF((AF222/AI222&gt;'Parámetros Proyección'!$G$15),0,D222*'Parámetros Proyección'!$G$15/(IF((H222/AI222&gt;'Parámetros Proyección'!$G$11),0,'Parámetros Proyección'!$G$11)+IF((N222/AI222&gt;'Parámetros Proyección'!$G$12),0,'Parámetros Proyección'!$G$12)+IF((T222/AI222&gt;'Parámetros Proyección'!$G$13),0,'Parámetros Proyección'!$G$13)+IF((Z222/AI222&gt;'Parámetros Proyección'!$G$14),0,'Parámetros Proyección'!$G$14)+IF((AF222/AI222&gt;'Parámetros Proyección'!$G$15),0,'Parámetros Proyección'!$G$15)))</f>
        <v/>
      </c>
      <c r="AH222" s="35">
        <f>AF222+AG222</f>
        <v/>
      </c>
      <c r="AI222" s="35">
        <f>H222+N222+T222+Z222+AF222</f>
        <v/>
      </c>
      <c r="AJ222" s="33">
        <f>AF222/AI222</f>
        <v/>
      </c>
      <c r="AK222">
        <f>IF(AJ222&gt;'Parámetros Proyección'!$B$5,1,0)</f>
        <v/>
      </c>
      <c r="AL222" s="35">
        <f>G222+M222+S222+Y222+AE222</f>
        <v/>
      </c>
      <c r="AM222" s="35">
        <f>AM221+D222</f>
        <v/>
      </c>
      <c r="AN222" s="35">
        <f>AN221+AL222</f>
        <v/>
      </c>
      <c r="AO222" s="35">
        <f>J222+P222+V222+AB222+AH222</f>
        <v/>
      </c>
    </row>
    <row r="223">
      <c r="A223" t="n">
        <v>220</v>
      </c>
      <c r="B223" s="34">
        <f>EDATE(B222,1)</f>
        <v/>
      </c>
      <c r="C223">
        <f>YEAR(B223)</f>
        <v/>
      </c>
      <c r="D223" s="35">
        <f>'Parámetros Proyección'!$B$3*(1+'Parámetros Proyección'!$B$4)^(C223-YEAR('Parámetros Proyección'!$B$6))</f>
        <v/>
      </c>
      <c r="E223" s="35">
        <f>J222</f>
        <v/>
      </c>
      <c r="F223" s="35">
        <f>E223*(1+'Parámetros Proyección'!$E$11)</f>
        <v/>
      </c>
      <c r="G223" s="35">
        <f>F223*'Parámetros Proyección'!$F$11</f>
        <v/>
      </c>
      <c r="H223" s="35">
        <f>F223+G223</f>
        <v/>
      </c>
      <c r="I223" s="35">
        <f>IF((H223/AI223&gt;'Parámetros Proyección'!$G$11),0,D223*'Parámetros Proyección'!$G$11/(IF((H223/AI223&gt;'Parámetros Proyección'!$G$11),0,'Parámetros Proyección'!$G$11)+IF((N223/AI223&gt;'Parámetros Proyección'!$G$12),0,'Parámetros Proyección'!$G$12)+IF((T223/AI223&gt;'Parámetros Proyección'!$G$13),0,'Parámetros Proyección'!$G$13)+IF((Z223/AI223&gt;'Parámetros Proyección'!$G$14),0,'Parámetros Proyección'!$G$14)+IF((AF223/AI223&gt;'Parámetros Proyección'!$G$15),0,'Parámetros Proyección'!$G$15)))</f>
        <v/>
      </c>
      <c r="J223" s="35">
        <f>H223+I223</f>
        <v/>
      </c>
      <c r="K223" s="35">
        <f>P222</f>
        <v/>
      </c>
      <c r="L223" s="35">
        <f>K223*(1+'Parámetros Proyección'!$E$12)</f>
        <v/>
      </c>
      <c r="M223" s="35">
        <f>L223*'Parámetros Proyección'!$F$12</f>
        <v/>
      </c>
      <c r="N223" s="35">
        <f>L223+M223</f>
        <v/>
      </c>
      <c r="O223" s="35">
        <f>IF((N223/AI223&gt;'Parámetros Proyección'!$G$12),0,D223*'Parámetros Proyección'!$G$12/(IF((H223/AI223&gt;'Parámetros Proyección'!$G$11),0,'Parámetros Proyección'!$G$11)+IF((N223/AI223&gt;'Parámetros Proyección'!$G$12),0,'Parámetros Proyección'!$G$12)+IF((T223/AI223&gt;'Parámetros Proyección'!$G$13),0,'Parámetros Proyección'!$G$13)+IF((Z223/AI223&gt;'Parámetros Proyección'!$G$14),0,'Parámetros Proyección'!$G$14)+IF((AF223/AI223&gt;'Parámetros Proyección'!$G$15),0,'Parámetros Proyección'!$G$15)))</f>
        <v/>
      </c>
      <c r="P223" s="35">
        <f>N223+O223</f>
        <v/>
      </c>
      <c r="Q223" s="35">
        <f>V222</f>
        <v/>
      </c>
      <c r="R223" s="35">
        <f>Q223*(1+'Parámetros Proyección'!$E$13)</f>
        <v/>
      </c>
      <c r="S223" s="35">
        <f>R223*'Parámetros Proyección'!$F$13</f>
        <v/>
      </c>
      <c r="T223" s="35">
        <f>R223+S223</f>
        <v/>
      </c>
      <c r="U223" s="35">
        <f>IF((T223/AI223&gt;'Parámetros Proyección'!$G$13),0,D223*'Parámetros Proyección'!$G$13/(IF((H223/AI223&gt;'Parámetros Proyección'!$G$11),0,'Parámetros Proyección'!$G$11)+IF((N223/AI223&gt;'Parámetros Proyección'!$G$12),0,'Parámetros Proyección'!$G$12)+IF((T223/AI223&gt;'Parámetros Proyección'!$G$13),0,'Parámetros Proyección'!$G$13)+IF((Z223/AI223&gt;'Parámetros Proyección'!$G$14),0,'Parámetros Proyección'!$G$14)+IF((AF223/AI223&gt;'Parámetros Proyección'!$G$15),0,'Parámetros Proyección'!$G$15)))</f>
        <v/>
      </c>
      <c r="V223" s="35">
        <f>T223+U223</f>
        <v/>
      </c>
      <c r="W223" s="35">
        <f>AB222</f>
        <v/>
      </c>
      <c r="X223" s="35">
        <f>W223*(1+'Parámetros Proyección'!$E$14)</f>
        <v/>
      </c>
      <c r="Y223" s="35">
        <f>X223*'Parámetros Proyección'!$F$14</f>
        <v/>
      </c>
      <c r="Z223" s="35">
        <f>X223+Y223</f>
        <v/>
      </c>
      <c r="AA223" s="35">
        <f>IF((Z223/AI223&gt;'Parámetros Proyección'!$G$14),0,D223*'Parámetros Proyección'!$G$14/(IF((H223/AI223&gt;'Parámetros Proyección'!$G$11),0,'Parámetros Proyección'!$G$11)+IF((N223/AI223&gt;'Parámetros Proyección'!$G$12),0,'Parámetros Proyección'!$G$12)+IF((T223/AI223&gt;'Parámetros Proyección'!$G$13),0,'Parámetros Proyección'!$G$13)+IF((Z223/AI223&gt;'Parámetros Proyección'!$G$14),0,'Parámetros Proyección'!$G$14)+IF((AF223/AI223&gt;'Parámetros Proyección'!$G$15),0,'Parámetros Proyección'!$G$15)))</f>
        <v/>
      </c>
      <c r="AB223" s="35">
        <f>Z223+AA223</f>
        <v/>
      </c>
      <c r="AC223" s="35">
        <f>AH222</f>
        <v/>
      </c>
      <c r="AD223" s="35">
        <f>AC223*(1+'Parámetros Proyección'!$E$15)</f>
        <v/>
      </c>
      <c r="AE223" s="35">
        <f>AD223*'Parámetros Proyección'!$F$15</f>
        <v/>
      </c>
      <c r="AF223" s="35">
        <f>AD223+AE223</f>
        <v/>
      </c>
      <c r="AG223" s="35">
        <f>IF((AF223/AI223&gt;'Parámetros Proyección'!$G$15),0,D223*'Parámetros Proyección'!$G$15/(IF((H223/AI223&gt;'Parámetros Proyección'!$G$11),0,'Parámetros Proyección'!$G$11)+IF((N223/AI223&gt;'Parámetros Proyección'!$G$12),0,'Parámetros Proyección'!$G$12)+IF((T223/AI223&gt;'Parámetros Proyección'!$G$13),0,'Parámetros Proyección'!$G$13)+IF((Z223/AI223&gt;'Parámetros Proyección'!$G$14),0,'Parámetros Proyección'!$G$14)+IF((AF223/AI223&gt;'Parámetros Proyección'!$G$15),0,'Parámetros Proyección'!$G$15)))</f>
        <v/>
      </c>
      <c r="AH223" s="35">
        <f>AF223+AG223</f>
        <v/>
      </c>
      <c r="AI223" s="35">
        <f>H223+N223+T223+Z223+AF223</f>
        <v/>
      </c>
      <c r="AJ223" s="33">
        <f>AF223/AI223</f>
        <v/>
      </c>
      <c r="AK223">
        <f>IF(AJ223&gt;'Parámetros Proyección'!$B$5,1,0)</f>
        <v/>
      </c>
      <c r="AL223" s="35">
        <f>G223+M223+S223+Y223+AE223</f>
        <v/>
      </c>
      <c r="AM223" s="35">
        <f>AM222+D223</f>
        <v/>
      </c>
      <c r="AN223" s="35">
        <f>AN222+AL223</f>
        <v/>
      </c>
      <c r="AO223" s="35">
        <f>J223+P223+V223+AB223+AH223</f>
        <v/>
      </c>
    </row>
    <row r="224">
      <c r="A224" t="n">
        <v>221</v>
      </c>
      <c r="B224" s="34">
        <f>EDATE(B223,1)</f>
        <v/>
      </c>
      <c r="C224">
        <f>YEAR(B224)</f>
        <v/>
      </c>
      <c r="D224" s="35">
        <f>'Parámetros Proyección'!$B$3*(1+'Parámetros Proyección'!$B$4)^(C224-YEAR('Parámetros Proyección'!$B$6))</f>
        <v/>
      </c>
      <c r="E224" s="35">
        <f>J223</f>
        <v/>
      </c>
      <c r="F224" s="35">
        <f>E224*(1+'Parámetros Proyección'!$E$11)</f>
        <v/>
      </c>
      <c r="G224" s="35">
        <f>F224*'Parámetros Proyección'!$F$11</f>
        <v/>
      </c>
      <c r="H224" s="35">
        <f>F224+G224</f>
        <v/>
      </c>
      <c r="I224" s="35">
        <f>IF((H224/AI224&gt;'Parámetros Proyección'!$G$11),0,D224*'Parámetros Proyección'!$G$11/(IF((H224/AI224&gt;'Parámetros Proyección'!$G$11),0,'Parámetros Proyección'!$G$11)+IF((N224/AI224&gt;'Parámetros Proyección'!$G$12),0,'Parámetros Proyección'!$G$12)+IF((T224/AI224&gt;'Parámetros Proyección'!$G$13),0,'Parámetros Proyección'!$G$13)+IF((Z224/AI224&gt;'Parámetros Proyección'!$G$14),0,'Parámetros Proyección'!$G$14)+IF((AF224/AI224&gt;'Parámetros Proyección'!$G$15),0,'Parámetros Proyección'!$G$15)))</f>
        <v/>
      </c>
      <c r="J224" s="35">
        <f>H224+I224</f>
        <v/>
      </c>
      <c r="K224" s="35">
        <f>P223</f>
        <v/>
      </c>
      <c r="L224" s="35">
        <f>K224*(1+'Parámetros Proyección'!$E$12)</f>
        <v/>
      </c>
      <c r="M224" s="35">
        <f>L224*'Parámetros Proyección'!$F$12</f>
        <v/>
      </c>
      <c r="N224" s="35">
        <f>L224+M224</f>
        <v/>
      </c>
      <c r="O224" s="35">
        <f>IF((N224/AI224&gt;'Parámetros Proyección'!$G$12),0,D224*'Parámetros Proyección'!$G$12/(IF((H224/AI224&gt;'Parámetros Proyección'!$G$11),0,'Parámetros Proyección'!$G$11)+IF((N224/AI224&gt;'Parámetros Proyección'!$G$12),0,'Parámetros Proyección'!$G$12)+IF((T224/AI224&gt;'Parámetros Proyección'!$G$13),0,'Parámetros Proyección'!$G$13)+IF((Z224/AI224&gt;'Parámetros Proyección'!$G$14),0,'Parámetros Proyección'!$G$14)+IF((AF224/AI224&gt;'Parámetros Proyección'!$G$15),0,'Parámetros Proyección'!$G$15)))</f>
        <v/>
      </c>
      <c r="P224" s="35">
        <f>N224+O224</f>
        <v/>
      </c>
      <c r="Q224" s="35">
        <f>V223</f>
        <v/>
      </c>
      <c r="R224" s="35">
        <f>Q224*(1+'Parámetros Proyección'!$E$13)</f>
        <v/>
      </c>
      <c r="S224" s="35">
        <f>R224*'Parámetros Proyección'!$F$13</f>
        <v/>
      </c>
      <c r="T224" s="35">
        <f>R224+S224</f>
        <v/>
      </c>
      <c r="U224" s="35">
        <f>IF((T224/AI224&gt;'Parámetros Proyección'!$G$13),0,D224*'Parámetros Proyección'!$G$13/(IF((H224/AI224&gt;'Parámetros Proyección'!$G$11),0,'Parámetros Proyección'!$G$11)+IF((N224/AI224&gt;'Parámetros Proyección'!$G$12),0,'Parámetros Proyección'!$G$12)+IF((T224/AI224&gt;'Parámetros Proyección'!$G$13),0,'Parámetros Proyección'!$G$13)+IF((Z224/AI224&gt;'Parámetros Proyección'!$G$14),0,'Parámetros Proyección'!$G$14)+IF((AF224/AI224&gt;'Parámetros Proyección'!$G$15),0,'Parámetros Proyección'!$G$15)))</f>
        <v/>
      </c>
      <c r="V224" s="35">
        <f>T224+U224</f>
        <v/>
      </c>
      <c r="W224" s="35">
        <f>AB223</f>
        <v/>
      </c>
      <c r="X224" s="35">
        <f>W224*(1+'Parámetros Proyección'!$E$14)</f>
        <v/>
      </c>
      <c r="Y224" s="35">
        <f>X224*'Parámetros Proyección'!$F$14</f>
        <v/>
      </c>
      <c r="Z224" s="35">
        <f>X224+Y224</f>
        <v/>
      </c>
      <c r="AA224" s="35">
        <f>IF((Z224/AI224&gt;'Parámetros Proyección'!$G$14),0,D224*'Parámetros Proyección'!$G$14/(IF((H224/AI224&gt;'Parámetros Proyección'!$G$11),0,'Parámetros Proyección'!$G$11)+IF((N224/AI224&gt;'Parámetros Proyección'!$G$12),0,'Parámetros Proyección'!$G$12)+IF((T224/AI224&gt;'Parámetros Proyección'!$G$13),0,'Parámetros Proyección'!$G$13)+IF((Z224/AI224&gt;'Parámetros Proyección'!$G$14),0,'Parámetros Proyección'!$G$14)+IF((AF224/AI224&gt;'Parámetros Proyección'!$G$15),0,'Parámetros Proyección'!$G$15)))</f>
        <v/>
      </c>
      <c r="AB224" s="35">
        <f>Z224+AA224</f>
        <v/>
      </c>
      <c r="AC224" s="35">
        <f>AH223</f>
        <v/>
      </c>
      <c r="AD224" s="35">
        <f>AC224*(1+'Parámetros Proyección'!$E$15)</f>
        <v/>
      </c>
      <c r="AE224" s="35">
        <f>AD224*'Parámetros Proyección'!$F$15</f>
        <v/>
      </c>
      <c r="AF224" s="35">
        <f>AD224+AE224</f>
        <v/>
      </c>
      <c r="AG224" s="35">
        <f>IF((AF224/AI224&gt;'Parámetros Proyección'!$G$15),0,D224*'Parámetros Proyección'!$G$15/(IF((H224/AI224&gt;'Parámetros Proyección'!$G$11),0,'Parámetros Proyección'!$G$11)+IF((N224/AI224&gt;'Parámetros Proyección'!$G$12),0,'Parámetros Proyección'!$G$12)+IF((T224/AI224&gt;'Parámetros Proyección'!$G$13),0,'Parámetros Proyección'!$G$13)+IF((Z224/AI224&gt;'Parámetros Proyección'!$G$14),0,'Parámetros Proyección'!$G$14)+IF((AF224/AI224&gt;'Parámetros Proyección'!$G$15),0,'Parámetros Proyección'!$G$15)))</f>
        <v/>
      </c>
      <c r="AH224" s="35">
        <f>AF224+AG224</f>
        <v/>
      </c>
      <c r="AI224" s="35">
        <f>H224+N224+T224+Z224+AF224</f>
        <v/>
      </c>
      <c r="AJ224" s="33">
        <f>AF224/AI224</f>
        <v/>
      </c>
      <c r="AK224">
        <f>IF(AJ224&gt;'Parámetros Proyección'!$B$5,1,0)</f>
        <v/>
      </c>
      <c r="AL224" s="35">
        <f>G224+M224+S224+Y224+AE224</f>
        <v/>
      </c>
      <c r="AM224" s="35">
        <f>AM223+D224</f>
        <v/>
      </c>
      <c r="AN224" s="35">
        <f>AN223+AL224</f>
        <v/>
      </c>
      <c r="AO224" s="35">
        <f>J224+P224+V224+AB224+AH224</f>
        <v/>
      </c>
    </row>
    <row r="225">
      <c r="A225" t="n">
        <v>222</v>
      </c>
      <c r="B225" s="34">
        <f>EDATE(B224,1)</f>
        <v/>
      </c>
      <c r="C225">
        <f>YEAR(B225)</f>
        <v/>
      </c>
      <c r="D225" s="35">
        <f>'Parámetros Proyección'!$B$3*(1+'Parámetros Proyección'!$B$4)^(C225-YEAR('Parámetros Proyección'!$B$6))</f>
        <v/>
      </c>
      <c r="E225" s="35">
        <f>J224</f>
        <v/>
      </c>
      <c r="F225" s="35">
        <f>E225*(1+'Parámetros Proyección'!$E$11)</f>
        <v/>
      </c>
      <c r="G225" s="35">
        <f>F225*'Parámetros Proyección'!$F$11</f>
        <v/>
      </c>
      <c r="H225" s="35">
        <f>F225+G225</f>
        <v/>
      </c>
      <c r="I225" s="35">
        <f>IF((H225/AI225&gt;'Parámetros Proyección'!$G$11),0,D225*'Parámetros Proyección'!$G$11/(IF((H225/AI225&gt;'Parámetros Proyección'!$G$11),0,'Parámetros Proyección'!$G$11)+IF((N225/AI225&gt;'Parámetros Proyección'!$G$12),0,'Parámetros Proyección'!$G$12)+IF((T225/AI225&gt;'Parámetros Proyección'!$G$13),0,'Parámetros Proyección'!$G$13)+IF((Z225/AI225&gt;'Parámetros Proyección'!$G$14),0,'Parámetros Proyección'!$G$14)+IF((AF225/AI225&gt;'Parámetros Proyección'!$G$15),0,'Parámetros Proyección'!$G$15)))</f>
        <v/>
      </c>
      <c r="J225" s="35">
        <f>H225+I225</f>
        <v/>
      </c>
      <c r="K225" s="35">
        <f>P224</f>
        <v/>
      </c>
      <c r="L225" s="35">
        <f>K225*(1+'Parámetros Proyección'!$E$12)</f>
        <v/>
      </c>
      <c r="M225" s="35">
        <f>L225*'Parámetros Proyección'!$F$12</f>
        <v/>
      </c>
      <c r="N225" s="35">
        <f>L225+M225</f>
        <v/>
      </c>
      <c r="O225" s="35">
        <f>IF((N225/AI225&gt;'Parámetros Proyección'!$G$12),0,D225*'Parámetros Proyección'!$G$12/(IF((H225/AI225&gt;'Parámetros Proyección'!$G$11),0,'Parámetros Proyección'!$G$11)+IF((N225/AI225&gt;'Parámetros Proyección'!$G$12),0,'Parámetros Proyección'!$G$12)+IF((T225/AI225&gt;'Parámetros Proyección'!$G$13),0,'Parámetros Proyección'!$G$13)+IF((Z225/AI225&gt;'Parámetros Proyección'!$G$14),0,'Parámetros Proyección'!$G$14)+IF((AF225/AI225&gt;'Parámetros Proyección'!$G$15),0,'Parámetros Proyección'!$G$15)))</f>
        <v/>
      </c>
      <c r="P225" s="35">
        <f>N225+O225</f>
        <v/>
      </c>
      <c r="Q225" s="35">
        <f>V224</f>
        <v/>
      </c>
      <c r="R225" s="35">
        <f>Q225*(1+'Parámetros Proyección'!$E$13)</f>
        <v/>
      </c>
      <c r="S225" s="35">
        <f>R225*'Parámetros Proyección'!$F$13</f>
        <v/>
      </c>
      <c r="T225" s="35">
        <f>R225+S225</f>
        <v/>
      </c>
      <c r="U225" s="35">
        <f>IF((T225/AI225&gt;'Parámetros Proyección'!$G$13),0,D225*'Parámetros Proyección'!$G$13/(IF((H225/AI225&gt;'Parámetros Proyección'!$G$11),0,'Parámetros Proyección'!$G$11)+IF((N225/AI225&gt;'Parámetros Proyección'!$G$12),0,'Parámetros Proyección'!$G$12)+IF((T225/AI225&gt;'Parámetros Proyección'!$G$13),0,'Parámetros Proyección'!$G$13)+IF((Z225/AI225&gt;'Parámetros Proyección'!$G$14),0,'Parámetros Proyección'!$G$14)+IF((AF225/AI225&gt;'Parámetros Proyección'!$G$15),0,'Parámetros Proyección'!$G$15)))</f>
        <v/>
      </c>
      <c r="V225" s="35">
        <f>T225+U225</f>
        <v/>
      </c>
      <c r="W225" s="35">
        <f>AB224</f>
        <v/>
      </c>
      <c r="X225" s="35">
        <f>W225*(1+'Parámetros Proyección'!$E$14)</f>
        <v/>
      </c>
      <c r="Y225" s="35">
        <f>X225*'Parámetros Proyección'!$F$14</f>
        <v/>
      </c>
      <c r="Z225" s="35">
        <f>X225+Y225</f>
        <v/>
      </c>
      <c r="AA225" s="35">
        <f>IF((Z225/AI225&gt;'Parámetros Proyección'!$G$14),0,D225*'Parámetros Proyección'!$G$14/(IF((H225/AI225&gt;'Parámetros Proyección'!$G$11),0,'Parámetros Proyección'!$G$11)+IF((N225/AI225&gt;'Parámetros Proyección'!$G$12),0,'Parámetros Proyección'!$G$12)+IF((T225/AI225&gt;'Parámetros Proyección'!$G$13),0,'Parámetros Proyección'!$G$13)+IF((Z225/AI225&gt;'Parámetros Proyección'!$G$14),0,'Parámetros Proyección'!$G$14)+IF((AF225/AI225&gt;'Parámetros Proyección'!$G$15),0,'Parámetros Proyección'!$G$15)))</f>
        <v/>
      </c>
      <c r="AB225" s="35">
        <f>Z225+AA225</f>
        <v/>
      </c>
      <c r="AC225" s="35">
        <f>AH224</f>
        <v/>
      </c>
      <c r="AD225" s="35">
        <f>AC225*(1+'Parámetros Proyección'!$E$15)</f>
        <v/>
      </c>
      <c r="AE225" s="35">
        <f>AD225*'Parámetros Proyección'!$F$15</f>
        <v/>
      </c>
      <c r="AF225" s="35">
        <f>AD225+AE225</f>
        <v/>
      </c>
      <c r="AG225" s="35">
        <f>IF((AF225/AI225&gt;'Parámetros Proyección'!$G$15),0,D225*'Parámetros Proyección'!$G$15/(IF((H225/AI225&gt;'Parámetros Proyección'!$G$11),0,'Parámetros Proyección'!$G$11)+IF((N225/AI225&gt;'Parámetros Proyección'!$G$12),0,'Parámetros Proyección'!$G$12)+IF((T225/AI225&gt;'Parámetros Proyección'!$G$13),0,'Parámetros Proyección'!$G$13)+IF((Z225/AI225&gt;'Parámetros Proyección'!$G$14),0,'Parámetros Proyección'!$G$14)+IF((AF225/AI225&gt;'Parámetros Proyección'!$G$15),0,'Parámetros Proyección'!$G$15)))</f>
        <v/>
      </c>
      <c r="AH225" s="35">
        <f>AF225+AG225</f>
        <v/>
      </c>
      <c r="AI225" s="35">
        <f>H225+N225+T225+Z225+AF225</f>
        <v/>
      </c>
      <c r="AJ225" s="33">
        <f>AF225/AI225</f>
        <v/>
      </c>
      <c r="AK225">
        <f>IF(AJ225&gt;'Parámetros Proyección'!$B$5,1,0)</f>
        <v/>
      </c>
      <c r="AL225" s="35">
        <f>G225+M225+S225+Y225+AE225</f>
        <v/>
      </c>
      <c r="AM225" s="35">
        <f>AM224+D225</f>
        <v/>
      </c>
      <c r="AN225" s="35">
        <f>AN224+AL225</f>
        <v/>
      </c>
      <c r="AO225" s="35">
        <f>J225+P225+V225+AB225+AH225</f>
        <v/>
      </c>
    </row>
    <row r="226">
      <c r="A226" t="n">
        <v>223</v>
      </c>
      <c r="B226" s="34">
        <f>EDATE(B225,1)</f>
        <v/>
      </c>
      <c r="C226">
        <f>YEAR(B226)</f>
        <v/>
      </c>
      <c r="D226" s="35">
        <f>'Parámetros Proyección'!$B$3*(1+'Parámetros Proyección'!$B$4)^(C226-YEAR('Parámetros Proyección'!$B$6))</f>
        <v/>
      </c>
      <c r="E226" s="35">
        <f>J225</f>
        <v/>
      </c>
      <c r="F226" s="35">
        <f>E226*(1+'Parámetros Proyección'!$E$11)</f>
        <v/>
      </c>
      <c r="G226" s="35">
        <f>F226*'Parámetros Proyección'!$F$11</f>
        <v/>
      </c>
      <c r="H226" s="35">
        <f>F226+G226</f>
        <v/>
      </c>
      <c r="I226" s="35">
        <f>IF((H226/AI226&gt;'Parámetros Proyección'!$G$11),0,D226*'Parámetros Proyección'!$G$11/(IF((H226/AI226&gt;'Parámetros Proyección'!$G$11),0,'Parámetros Proyección'!$G$11)+IF((N226/AI226&gt;'Parámetros Proyección'!$G$12),0,'Parámetros Proyección'!$G$12)+IF((T226/AI226&gt;'Parámetros Proyección'!$G$13),0,'Parámetros Proyección'!$G$13)+IF((Z226/AI226&gt;'Parámetros Proyección'!$G$14),0,'Parámetros Proyección'!$G$14)+IF((AF226/AI226&gt;'Parámetros Proyección'!$G$15),0,'Parámetros Proyección'!$G$15)))</f>
        <v/>
      </c>
      <c r="J226" s="35">
        <f>H226+I226</f>
        <v/>
      </c>
      <c r="K226" s="35">
        <f>P225</f>
        <v/>
      </c>
      <c r="L226" s="35">
        <f>K226*(1+'Parámetros Proyección'!$E$12)</f>
        <v/>
      </c>
      <c r="M226" s="35">
        <f>L226*'Parámetros Proyección'!$F$12</f>
        <v/>
      </c>
      <c r="N226" s="35">
        <f>L226+M226</f>
        <v/>
      </c>
      <c r="O226" s="35">
        <f>IF((N226/AI226&gt;'Parámetros Proyección'!$G$12),0,D226*'Parámetros Proyección'!$G$12/(IF((H226/AI226&gt;'Parámetros Proyección'!$G$11),0,'Parámetros Proyección'!$G$11)+IF((N226/AI226&gt;'Parámetros Proyección'!$G$12),0,'Parámetros Proyección'!$G$12)+IF((T226/AI226&gt;'Parámetros Proyección'!$G$13),0,'Parámetros Proyección'!$G$13)+IF((Z226/AI226&gt;'Parámetros Proyección'!$G$14),0,'Parámetros Proyección'!$G$14)+IF((AF226/AI226&gt;'Parámetros Proyección'!$G$15),0,'Parámetros Proyección'!$G$15)))</f>
        <v/>
      </c>
      <c r="P226" s="35">
        <f>N226+O226</f>
        <v/>
      </c>
      <c r="Q226" s="35">
        <f>V225</f>
        <v/>
      </c>
      <c r="R226" s="35">
        <f>Q226*(1+'Parámetros Proyección'!$E$13)</f>
        <v/>
      </c>
      <c r="S226" s="35">
        <f>R226*'Parámetros Proyección'!$F$13</f>
        <v/>
      </c>
      <c r="T226" s="35">
        <f>R226+S226</f>
        <v/>
      </c>
      <c r="U226" s="35">
        <f>IF((T226/AI226&gt;'Parámetros Proyección'!$G$13),0,D226*'Parámetros Proyección'!$G$13/(IF((H226/AI226&gt;'Parámetros Proyección'!$G$11),0,'Parámetros Proyección'!$G$11)+IF((N226/AI226&gt;'Parámetros Proyección'!$G$12),0,'Parámetros Proyección'!$G$12)+IF((T226/AI226&gt;'Parámetros Proyección'!$G$13),0,'Parámetros Proyección'!$G$13)+IF((Z226/AI226&gt;'Parámetros Proyección'!$G$14),0,'Parámetros Proyección'!$G$14)+IF((AF226/AI226&gt;'Parámetros Proyección'!$G$15),0,'Parámetros Proyección'!$G$15)))</f>
        <v/>
      </c>
      <c r="V226" s="35">
        <f>T226+U226</f>
        <v/>
      </c>
      <c r="W226" s="35">
        <f>AB225</f>
        <v/>
      </c>
      <c r="X226" s="35">
        <f>W226*(1+'Parámetros Proyección'!$E$14)</f>
        <v/>
      </c>
      <c r="Y226" s="35">
        <f>X226*'Parámetros Proyección'!$F$14</f>
        <v/>
      </c>
      <c r="Z226" s="35">
        <f>X226+Y226</f>
        <v/>
      </c>
      <c r="AA226" s="35">
        <f>IF((Z226/AI226&gt;'Parámetros Proyección'!$G$14),0,D226*'Parámetros Proyección'!$G$14/(IF((H226/AI226&gt;'Parámetros Proyección'!$G$11),0,'Parámetros Proyección'!$G$11)+IF((N226/AI226&gt;'Parámetros Proyección'!$G$12),0,'Parámetros Proyección'!$G$12)+IF((T226/AI226&gt;'Parámetros Proyección'!$G$13),0,'Parámetros Proyección'!$G$13)+IF((Z226/AI226&gt;'Parámetros Proyección'!$G$14),0,'Parámetros Proyección'!$G$14)+IF((AF226/AI226&gt;'Parámetros Proyección'!$G$15),0,'Parámetros Proyección'!$G$15)))</f>
        <v/>
      </c>
      <c r="AB226" s="35">
        <f>Z226+AA226</f>
        <v/>
      </c>
      <c r="AC226" s="35">
        <f>AH225</f>
        <v/>
      </c>
      <c r="AD226" s="35">
        <f>AC226*(1+'Parámetros Proyección'!$E$15)</f>
        <v/>
      </c>
      <c r="AE226" s="35">
        <f>AD226*'Parámetros Proyección'!$F$15</f>
        <v/>
      </c>
      <c r="AF226" s="35">
        <f>AD226+AE226</f>
        <v/>
      </c>
      <c r="AG226" s="35">
        <f>IF((AF226/AI226&gt;'Parámetros Proyección'!$G$15),0,D226*'Parámetros Proyección'!$G$15/(IF((H226/AI226&gt;'Parámetros Proyección'!$G$11),0,'Parámetros Proyección'!$G$11)+IF((N226/AI226&gt;'Parámetros Proyección'!$G$12),0,'Parámetros Proyección'!$G$12)+IF((T226/AI226&gt;'Parámetros Proyección'!$G$13),0,'Parámetros Proyección'!$G$13)+IF((Z226/AI226&gt;'Parámetros Proyección'!$G$14),0,'Parámetros Proyección'!$G$14)+IF((AF226/AI226&gt;'Parámetros Proyección'!$G$15),0,'Parámetros Proyección'!$G$15)))</f>
        <v/>
      </c>
      <c r="AH226" s="35">
        <f>AF226+AG226</f>
        <v/>
      </c>
      <c r="AI226" s="35">
        <f>H226+N226+T226+Z226+AF226</f>
        <v/>
      </c>
      <c r="AJ226" s="33">
        <f>AF226/AI226</f>
        <v/>
      </c>
      <c r="AK226">
        <f>IF(AJ226&gt;'Parámetros Proyección'!$B$5,1,0)</f>
        <v/>
      </c>
      <c r="AL226" s="35">
        <f>G226+M226+S226+Y226+AE226</f>
        <v/>
      </c>
      <c r="AM226" s="35">
        <f>AM225+D226</f>
        <v/>
      </c>
      <c r="AN226" s="35">
        <f>AN225+AL226</f>
        <v/>
      </c>
      <c r="AO226" s="35">
        <f>J226+P226+V226+AB226+AH226</f>
        <v/>
      </c>
    </row>
    <row r="227">
      <c r="A227" t="n">
        <v>224</v>
      </c>
      <c r="B227" s="34">
        <f>EDATE(B226,1)</f>
        <v/>
      </c>
      <c r="C227">
        <f>YEAR(B227)</f>
        <v/>
      </c>
      <c r="D227" s="35">
        <f>'Parámetros Proyección'!$B$3*(1+'Parámetros Proyección'!$B$4)^(C227-YEAR('Parámetros Proyección'!$B$6))</f>
        <v/>
      </c>
      <c r="E227" s="35">
        <f>J226</f>
        <v/>
      </c>
      <c r="F227" s="35">
        <f>E227*(1+'Parámetros Proyección'!$E$11)</f>
        <v/>
      </c>
      <c r="G227" s="35">
        <f>F227*'Parámetros Proyección'!$F$11</f>
        <v/>
      </c>
      <c r="H227" s="35">
        <f>F227+G227</f>
        <v/>
      </c>
      <c r="I227" s="35">
        <f>IF((H227/AI227&gt;'Parámetros Proyección'!$G$11),0,D227*'Parámetros Proyección'!$G$11/(IF((H227/AI227&gt;'Parámetros Proyección'!$G$11),0,'Parámetros Proyección'!$G$11)+IF((N227/AI227&gt;'Parámetros Proyección'!$G$12),0,'Parámetros Proyección'!$G$12)+IF((T227/AI227&gt;'Parámetros Proyección'!$G$13),0,'Parámetros Proyección'!$G$13)+IF((Z227/AI227&gt;'Parámetros Proyección'!$G$14),0,'Parámetros Proyección'!$G$14)+IF((AF227/AI227&gt;'Parámetros Proyección'!$G$15),0,'Parámetros Proyección'!$G$15)))</f>
        <v/>
      </c>
      <c r="J227" s="35">
        <f>H227+I227</f>
        <v/>
      </c>
      <c r="K227" s="35">
        <f>P226</f>
        <v/>
      </c>
      <c r="L227" s="35">
        <f>K227*(1+'Parámetros Proyección'!$E$12)</f>
        <v/>
      </c>
      <c r="M227" s="35">
        <f>L227*'Parámetros Proyección'!$F$12</f>
        <v/>
      </c>
      <c r="N227" s="35">
        <f>L227+M227</f>
        <v/>
      </c>
      <c r="O227" s="35">
        <f>IF((N227/AI227&gt;'Parámetros Proyección'!$G$12),0,D227*'Parámetros Proyección'!$G$12/(IF((H227/AI227&gt;'Parámetros Proyección'!$G$11),0,'Parámetros Proyección'!$G$11)+IF((N227/AI227&gt;'Parámetros Proyección'!$G$12),0,'Parámetros Proyección'!$G$12)+IF((T227/AI227&gt;'Parámetros Proyección'!$G$13),0,'Parámetros Proyección'!$G$13)+IF((Z227/AI227&gt;'Parámetros Proyección'!$G$14),0,'Parámetros Proyección'!$G$14)+IF((AF227/AI227&gt;'Parámetros Proyección'!$G$15),0,'Parámetros Proyección'!$G$15)))</f>
        <v/>
      </c>
      <c r="P227" s="35">
        <f>N227+O227</f>
        <v/>
      </c>
      <c r="Q227" s="35">
        <f>V226</f>
        <v/>
      </c>
      <c r="R227" s="35">
        <f>Q227*(1+'Parámetros Proyección'!$E$13)</f>
        <v/>
      </c>
      <c r="S227" s="35">
        <f>R227*'Parámetros Proyección'!$F$13</f>
        <v/>
      </c>
      <c r="T227" s="35">
        <f>R227+S227</f>
        <v/>
      </c>
      <c r="U227" s="35">
        <f>IF((T227/AI227&gt;'Parámetros Proyección'!$G$13),0,D227*'Parámetros Proyección'!$G$13/(IF((H227/AI227&gt;'Parámetros Proyección'!$G$11),0,'Parámetros Proyección'!$G$11)+IF((N227/AI227&gt;'Parámetros Proyección'!$G$12),0,'Parámetros Proyección'!$G$12)+IF((T227/AI227&gt;'Parámetros Proyección'!$G$13),0,'Parámetros Proyección'!$G$13)+IF((Z227/AI227&gt;'Parámetros Proyección'!$G$14),0,'Parámetros Proyección'!$G$14)+IF((AF227/AI227&gt;'Parámetros Proyección'!$G$15),0,'Parámetros Proyección'!$G$15)))</f>
        <v/>
      </c>
      <c r="V227" s="35">
        <f>T227+U227</f>
        <v/>
      </c>
      <c r="W227" s="35">
        <f>AB226</f>
        <v/>
      </c>
      <c r="X227" s="35">
        <f>W227*(1+'Parámetros Proyección'!$E$14)</f>
        <v/>
      </c>
      <c r="Y227" s="35">
        <f>X227*'Parámetros Proyección'!$F$14</f>
        <v/>
      </c>
      <c r="Z227" s="35">
        <f>X227+Y227</f>
        <v/>
      </c>
      <c r="AA227" s="35">
        <f>IF((Z227/AI227&gt;'Parámetros Proyección'!$G$14),0,D227*'Parámetros Proyección'!$G$14/(IF((H227/AI227&gt;'Parámetros Proyección'!$G$11),0,'Parámetros Proyección'!$G$11)+IF((N227/AI227&gt;'Parámetros Proyección'!$G$12),0,'Parámetros Proyección'!$G$12)+IF((T227/AI227&gt;'Parámetros Proyección'!$G$13),0,'Parámetros Proyección'!$G$13)+IF((Z227/AI227&gt;'Parámetros Proyección'!$G$14),0,'Parámetros Proyección'!$G$14)+IF((AF227/AI227&gt;'Parámetros Proyección'!$G$15),0,'Parámetros Proyección'!$G$15)))</f>
        <v/>
      </c>
      <c r="AB227" s="35">
        <f>Z227+AA227</f>
        <v/>
      </c>
      <c r="AC227" s="35">
        <f>AH226</f>
        <v/>
      </c>
      <c r="AD227" s="35">
        <f>AC227*(1+'Parámetros Proyección'!$E$15)</f>
        <v/>
      </c>
      <c r="AE227" s="35">
        <f>AD227*'Parámetros Proyección'!$F$15</f>
        <v/>
      </c>
      <c r="AF227" s="35">
        <f>AD227+AE227</f>
        <v/>
      </c>
      <c r="AG227" s="35">
        <f>IF((AF227/AI227&gt;'Parámetros Proyección'!$G$15),0,D227*'Parámetros Proyección'!$G$15/(IF((H227/AI227&gt;'Parámetros Proyección'!$G$11),0,'Parámetros Proyección'!$G$11)+IF((N227/AI227&gt;'Parámetros Proyección'!$G$12),0,'Parámetros Proyección'!$G$12)+IF((T227/AI227&gt;'Parámetros Proyección'!$G$13),0,'Parámetros Proyección'!$G$13)+IF((Z227/AI227&gt;'Parámetros Proyección'!$G$14),0,'Parámetros Proyección'!$G$14)+IF((AF227/AI227&gt;'Parámetros Proyección'!$G$15),0,'Parámetros Proyección'!$G$15)))</f>
        <v/>
      </c>
      <c r="AH227" s="35">
        <f>AF227+AG227</f>
        <v/>
      </c>
      <c r="AI227" s="35">
        <f>H227+N227+T227+Z227+AF227</f>
        <v/>
      </c>
      <c r="AJ227" s="33">
        <f>AF227/AI227</f>
        <v/>
      </c>
      <c r="AK227">
        <f>IF(AJ227&gt;'Parámetros Proyección'!$B$5,1,0)</f>
        <v/>
      </c>
      <c r="AL227" s="35">
        <f>G227+M227+S227+Y227+AE227</f>
        <v/>
      </c>
      <c r="AM227" s="35">
        <f>AM226+D227</f>
        <v/>
      </c>
      <c r="AN227" s="35">
        <f>AN226+AL227</f>
        <v/>
      </c>
      <c r="AO227" s="35">
        <f>J227+P227+V227+AB227+AH227</f>
        <v/>
      </c>
    </row>
    <row r="228">
      <c r="A228" t="n">
        <v>225</v>
      </c>
      <c r="B228" s="34">
        <f>EDATE(B227,1)</f>
        <v/>
      </c>
      <c r="C228">
        <f>YEAR(B228)</f>
        <v/>
      </c>
      <c r="D228" s="35">
        <f>'Parámetros Proyección'!$B$3*(1+'Parámetros Proyección'!$B$4)^(C228-YEAR('Parámetros Proyección'!$B$6))</f>
        <v/>
      </c>
      <c r="E228" s="35">
        <f>J227</f>
        <v/>
      </c>
      <c r="F228" s="35">
        <f>E228*(1+'Parámetros Proyección'!$E$11)</f>
        <v/>
      </c>
      <c r="G228" s="35">
        <f>F228*'Parámetros Proyección'!$F$11</f>
        <v/>
      </c>
      <c r="H228" s="35">
        <f>F228+G228</f>
        <v/>
      </c>
      <c r="I228" s="35">
        <f>IF((H228/AI228&gt;'Parámetros Proyección'!$G$11),0,D228*'Parámetros Proyección'!$G$11/(IF((H228/AI228&gt;'Parámetros Proyección'!$G$11),0,'Parámetros Proyección'!$G$11)+IF((N228/AI228&gt;'Parámetros Proyección'!$G$12),0,'Parámetros Proyección'!$G$12)+IF((T228/AI228&gt;'Parámetros Proyección'!$G$13),0,'Parámetros Proyección'!$G$13)+IF((Z228/AI228&gt;'Parámetros Proyección'!$G$14),0,'Parámetros Proyección'!$G$14)+IF((AF228/AI228&gt;'Parámetros Proyección'!$G$15),0,'Parámetros Proyección'!$G$15)))</f>
        <v/>
      </c>
      <c r="J228" s="35">
        <f>H228+I228</f>
        <v/>
      </c>
      <c r="K228" s="35">
        <f>P227</f>
        <v/>
      </c>
      <c r="L228" s="35">
        <f>K228*(1+'Parámetros Proyección'!$E$12)</f>
        <v/>
      </c>
      <c r="M228" s="35">
        <f>L228*'Parámetros Proyección'!$F$12</f>
        <v/>
      </c>
      <c r="N228" s="35">
        <f>L228+M228</f>
        <v/>
      </c>
      <c r="O228" s="35">
        <f>IF((N228/AI228&gt;'Parámetros Proyección'!$G$12),0,D228*'Parámetros Proyección'!$G$12/(IF((H228/AI228&gt;'Parámetros Proyección'!$G$11),0,'Parámetros Proyección'!$G$11)+IF((N228/AI228&gt;'Parámetros Proyección'!$G$12),0,'Parámetros Proyección'!$G$12)+IF((T228/AI228&gt;'Parámetros Proyección'!$G$13),0,'Parámetros Proyección'!$G$13)+IF((Z228/AI228&gt;'Parámetros Proyección'!$G$14),0,'Parámetros Proyección'!$G$14)+IF((AF228/AI228&gt;'Parámetros Proyección'!$G$15),0,'Parámetros Proyección'!$G$15)))</f>
        <v/>
      </c>
      <c r="P228" s="35">
        <f>N228+O228</f>
        <v/>
      </c>
      <c r="Q228" s="35">
        <f>V227</f>
        <v/>
      </c>
      <c r="R228" s="35">
        <f>Q228*(1+'Parámetros Proyección'!$E$13)</f>
        <v/>
      </c>
      <c r="S228" s="35">
        <f>R228*'Parámetros Proyección'!$F$13</f>
        <v/>
      </c>
      <c r="T228" s="35">
        <f>R228+S228</f>
        <v/>
      </c>
      <c r="U228" s="35">
        <f>IF((T228/AI228&gt;'Parámetros Proyección'!$G$13),0,D228*'Parámetros Proyección'!$G$13/(IF((H228/AI228&gt;'Parámetros Proyección'!$G$11),0,'Parámetros Proyección'!$G$11)+IF((N228/AI228&gt;'Parámetros Proyección'!$G$12),0,'Parámetros Proyección'!$G$12)+IF((T228/AI228&gt;'Parámetros Proyección'!$G$13),0,'Parámetros Proyección'!$G$13)+IF((Z228/AI228&gt;'Parámetros Proyección'!$G$14),0,'Parámetros Proyección'!$G$14)+IF((AF228/AI228&gt;'Parámetros Proyección'!$G$15),0,'Parámetros Proyección'!$G$15)))</f>
        <v/>
      </c>
      <c r="V228" s="35">
        <f>T228+U228</f>
        <v/>
      </c>
      <c r="W228" s="35">
        <f>AB227</f>
        <v/>
      </c>
      <c r="X228" s="35">
        <f>W228*(1+'Parámetros Proyección'!$E$14)</f>
        <v/>
      </c>
      <c r="Y228" s="35">
        <f>X228*'Parámetros Proyección'!$F$14</f>
        <v/>
      </c>
      <c r="Z228" s="35">
        <f>X228+Y228</f>
        <v/>
      </c>
      <c r="AA228" s="35">
        <f>IF((Z228/AI228&gt;'Parámetros Proyección'!$G$14),0,D228*'Parámetros Proyección'!$G$14/(IF((H228/AI228&gt;'Parámetros Proyección'!$G$11),0,'Parámetros Proyección'!$G$11)+IF((N228/AI228&gt;'Parámetros Proyección'!$G$12),0,'Parámetros Proyección'!$G$12)+IF((T228/AI228&gt;'Parámetros Proyección'!$G$13),0,'Parámetros Proyección'!$G$13)+IF((Z228/AI228&gt;'Parámetros Proyección'!$G$14),0,'Parámetros Proyección'!$G$14)+IF((AF228/AI228&gt;'Parámetros Proyección'!$G$15),0,'Parámetros Proyección'!$G$15)))</f>
        <v/>
      </c>
      <c r="AB228" s="35">
        <f>Z228+AA228</f>
        <v/>
      </c>
      <c r="AC228" s="35">
        <f>AH227</f>
        <v/>
      </c>
      <c r="AD228" s="35">
        <f>AC228*(1+'Parámetros Proyección'!$E$15)</f>
        <v/>
      </c>
      <c r="AE228" s="35">
        <f>AD228*'Parámetros Proyección'!$F$15</f>
        <v/>
      </c>
      <c r="AF228" s="35">
        <f>AD228+AE228</f>
        <v/>
      </c>
      <c r="AG228" s="35">
        <f>IF((AF228/AI228&gt;'Parámetros Proyección'!$G$15),0,D228*'Parámetros Proyección'!$G$15/(IF((H228/AI228&gt;'Parámetros Proyección'!$G$11),0,'Parámetros Proyección'!$G$11)+IF((N228/AI228&gt;'Parámetros Proyección'!$G$12),0,'Parámetros Proyección'!$G$12)+IF((T228/AI228&gt;'Parámetros Proyección'!$G$13),0,'Parámetros Proyección'!$G$13)+IF((Z228/AI228&gt;'Parámetros Proyección'!$G$14),0,'Parámetros Proyección'!$G$14)+IF((AF228/AI228&gt;'Parámetros Proyección'!$G$15),0,'Parámetros Proyección'!$G$15)))</f>
        <v/>
      </c>
      <c r="AH228" s="35">
        <f>AF228+AG228</f>
        <v/>
      </c>
      <c r="AI228" s="35">
        <f>H228+N228+T228+Z228+AF228</f>
        <v/>
      </c>
      <c r="AJ228" s="33">
        <f>AF228/AI228</f>
        <v/>
      </c>
      <c r="AK228">
        <f>IF(AJ228&gt;'Parámetros Proyección'!$B$5,1,0)</f>
        <v/>
      </c>
      <c r="AL228" s="35">
        <f>G228+M228+S228+Y228+AE228</f>
        <v/>
      </c>
      <c r="AM228" s="35">
        <f>AM227+D228</f>
        <v/>
      </c>
      <c r="AN228" s="35">
        <f>AN227+AL228</f>
        <v/>
      </c>
      <c r="AO228" s="35">
        <f>J228+P228+V228+AB228+AH228</f>
        <v/>
      </c>
    </row>
    <row r="229">
      <c r="A229" t="n">
        <v>226</v>
      </c>
      <c r="B229" s="34">
        <f>EDATE(B228,1)</f>
        <v/>
      </c>
      <c r="C229">
        <f>YEAR(B229)</f>
        <v/>
      </c>
      <c r="D229" s="35">
        <f>'Parámetros Proyección'!$B$3*(1+'Parámetros Proyección'!$B$4)^(C229-YEAR('Parámetros Proyección'!$B$6))</f>
        <v/>
      </c>
      <c r="E229" s="35">
        <f>J228</f>
        <v/>
      </c>
      <c r="F229" s="35">
        <f>E229*(1+'Parámetros Proyección'!$E$11)</f>
        <v/>
      </c>
      <c r="G229" s="35">
        <f>F229*'Parámetros Proyección'!$F$11</f>
        <v/>
      </c>
      <c r="H229" s="35">
        <f>F229+G229</f>
        <v/>
      </c>
      <c r="I229" s="35">
        <f>IF((H229/AI229&gt;'Parámetros Proyección'!$G$11),0,D229*'Parámetros Proyección'!$G$11/(IF((H229/AI229&gt;'Parámetros Proyección'!$G$11),0,'Parámetros Proyección'!$G$11)+IF((N229/AI229&gt;'Parámetros Proyección'!$G$12),0,'Parámetros Proyección'!$G$12)+IF((T229/AI229&gt;'Parámetros Proyección'!$G$13),0,'Parámetros Proyección'!$G$13)+IF((Z229/AI229&gt;'Parámetros Proyección'!$G$14),0,'Parámetros Proyección'!$G$14)+IF((AF229/AI229&gt;'Parámetros Proyección'!$G$15),0,'Parámetros Proyección'!$G$15)))</f>
        <v/>
      </c>
      <c r="J229" s="35">
        <f>H229+I229</f>
        <v/>
      </c>
      <c r="K229" s="35">
        <f>P228</f>
        <v/>
      </c>
      <c r="L229" s="35">
        <f>K229*(1+'Parámetros Proyección'!$E$12)</f>
        <v/>
      </c>
      <c r="M229" s="35">
        <f>L229*'Parámetros Proyección'!$F$12</f>
        <v/>
      </c>
      <c r="N229" s="35">
        <f>L229+M229</f>
        <v/>
      </c>
      <c r="O229" s="35">
        <f>IF((N229/AI229&gt;'Parámetros Proyección'!$G$12),0,D229*'Parámetros Proyección'!$G$12/(IF((H229/AI229&gt;'Parámetros Proyección'!$G$11),0,'Parámetros Proyección'!$G$11)+IF((N229/AI229&gt;'Parámetros Proyección'!$G$12),0,'Parámetros Proyección'!$G$12)+IF((T229/AI229&gt;'Parámetros Proyección'!$G$13),0,'Parámetros Proyección'!$G$13)+IF((Z229/AI229&gt;'Parámetros Proyección'!$G$14),0,'Parámetros Proyección'!$G$14)+IF((AF229/AI229&gt;'Parámetros Proyección'!$G$15),0,'Parámetros Proyección'!$G$15)))</f>
        <v/>
      </c>
      <c r="P229" s="35">
        <f>N229+O229</f>
        <v/>
      </c>
      <c r="Q229" s="35">
        <f>V228</f>
        <v/>
      </c>
      <c r="R229" s="35">
        <f>Q229*(1+'Parámetros Proyección'!$E$13)</f>
        <v/>
      </c>
      <c r="S229" s="35">
        <f>R229*'Parámetros Proyección'!$F$13</f>
        <v/>
      </c>
      <c r="T229" s="35">
        <f>R229+S229</f>
        <v/>
      </c>
      <c r="U229" s="35">
        <f>IF((T229/AI229&gt;'Parámetros Proyección'!$G$13),0,D229*'Parámetros Proyección'!$G$13/(IF((H229/AI229&gt;'Parámetros Proyección'!$G$11),0,'Parámetros Proyección'!$G$11)+IF((N229/AI229&gt;'Parámetros Proyección'!$G$12),0,'Parámetros Proyección'!$G$12)+IF((T229/AI229&gt;'Parámetros Proyección'!$G$13),0,'Parámetros Proyección'!$G$13)+IF((Z229/AI229&gt;'Parámetros Proyección'!$G$14),0,'Parámetros Proyección'!$G$14)+IF((AF229/AI229&gt;'Parámetros Proyección'!$G$15),0,'Parámetros Proyección'!$G$15)))</f>
        <v/>
      </c>
      <c r="V229" s="35">
        <f>T229+U229</f>
        <v/>
      </c>
      <c r="W229" s="35">
        <f>AB228</f>
        <v/>
      </c>
      <c r="X229" s="35">
        <f>W229*(1+'Parámetros Proyección'!$E$14)</f>
        <v/>
      </c>
      <c r="Y229" s="35">
        <f>X229*'Parámetros Proyección'!$F$14</f>
        <v/>
      </c>
      <c r="Z229" s="35">
        <f>X229+Y229</f>
        <v/>
      </c>
      <c r="AA229" s="35">
        <f>IF((Z229/AI229&gt;'Parámetros Proyección'!$G$14),0,D229*'Parámetros Proyección'!$G$14/(IF((H229/AI229&gt;'Parámetros Proyección'!$G$11),0,'Parámetros Proyección'!$G$11)+IF((N229/AI229&gt;'Parámetros Proyección'!$G$12),0,'Parámetros Proyección'!$G$12)+IF((T229/AI229&gt;'Parámetros Proyección'!$G$13),0,'Parámetros Proyección'!$G$13)+IF((Z229/AI229&gt;'Parámetros Proyección'!$G$14),0,'Parámetros Proyección'!$G$14)+IF((AF229/AI229&gt;'Parámetros Proyección'!$G$15),0,'Parámetros Proyección'!$G$15)))</f>
        <v/>
      </c>
      <c r="AB229" s="35">
        <f>Z229+AA229</f>
        <v/>
      </c>
      <c r="AC229" s="35">
        <f>AH228</f>
        <v/>
      </c>
      <c r="AD229" s="35">
        <f>AC229*(1+'Parámetros Proyección'!$E$15)</f>
        <v/>
      </c>
      <c r="AE229" s="35">
        <f>AD229*'Parámetros Proyección'!$F$15</f>
        <v/>
      </c>
      <c r="AF229" s="35">
        <f>AD229+AE229</f>
        <v/>
      </c>
      <c r="AG229" s="35">
        <f>IF((AF229/AI229&gt;'Parámetros Proyección'!$G$15),0,D229*'Parámetros Proyección'!$G$15/(IF((H229/AI229&gt;'Parámetros Proyección'!$G$11),0,'Parámetros Proyección'!$G$11)+IF((N229/AI229&gt;'Parámetros Proyección'!$G$12),0,'Parámetros Proyección'!$G$12)+IF((T229/AI229&gt;'Parámetros Proyección'!$G$13),0,'Parámetros Proyección'!$G$13)+IF((Z229/AI229&gt;'Parámetros Proyección'!$G$14),0,'Parámetros Proyección'!$G$14)+IF((AF229/AI229&gt;'Parámetros Proyección'!$G$15),0,'Parámetros Proyección'!$G$15)))</f>
        <v/>
      </c>
      <c r="AH229" s="35">
        <f>AF229+AG229</f>
        <v/>
      </c>
      <c r="AI229" s="35">
        <f>H229+N229+T229+Z229+AF229</f>
        <v/>
      </c>
      <c r="AJ229" s="33">
        <f>AF229/AI229</f>
        <v/>
      </c>
      <c r="AK229">
        <f>IF(AJ229&gt;'Parámetros Proyección'!$B$5,1,0)</f>
        <v/>
      </c>
      <c r="AL229" s="35">
        <f>G229+M229+S229+Y229+AE229</f>
        <v/>
      </c>
      <c r="AM229" s="35">
        <f>AM228+D229</f>
        <v/>
      </c>
      <c r="AN229" s="35">
        <f>AN228+AL229</f>
        <v/>
      </c>
      <c r="AO229" s="35">
        <f>J229+P229+V229+AB229+AH229</f>
        <v/>
      </c>
    </row>
    <row r="230">
      <c r="A230" t="n">
        <v>227</v>
      </c>
      <c r="B230" s="34">
        <f>EDATE(B229,1)</f>
        <v/>
      </c>
      <c r="C230">
        <f>YEAR(B230)</f>
        <v/>
      </c>
      <c r="D230" s="35">
        <f>'Parámetros Proyección'!$B$3*(1+'Parámetros Proyección'!$B$4)^(C230-YEAR('Parámetros Proyección'!$B$6))</f>
        <v/>
      </c>
      <c r="E230" s="35">
        <f>J229</f>
        <v/>
      </c>
      <c r="F230" s="35">
        <f>E230*(1+'Parámetros Proyección'!$E$11)</f>
        <v/>
      </c>
      <c r="G230" s="35">
        <f>F230*'Parámetros Proyección'!$F$11</f>
        <v/>
      </c>
      <c r="H230" s="35">
        <f>F230+G230</f>
        <v/>
      </c>
      <c r="I230" s="35">
        <f>IF((H230/AI230&gt;'Parámetros Proyección'!$G$11),0,D230*'Parámetros Proyección'!$G$11/(IF((H230/AI230&gt;'Parámetros Proyección'!$G$11),0,'Parámetros Proyección'!$G$11)+IF((N230/AI230&gt;'Parámetros Proyección'!$G$12),0,'Parámetros Proyección'!$G$12)+IF((T230/AI230&gt;'Parámetros Proyección'!$G$13),0,'Parámetros Proyección'!$G$13)+IF((Z230/AI230&gt;'Parámetros Proyección'!$G$14),0,'Parámetros Proyección'!$G$14)+IF((AF230/AI230&gt;'Parámetros Proyección'!$G$15),0,'Parámetros Proyección'!$G$15)))</f>
        <v/>
      </c>
      <c r="J230" s="35">
        <f>H230+I230</f>
        <v/>
      </c>
      <c r="K230" s="35">
        <f>P229</f>
        <v/>
      </c>
      <c r="L230" s="35">
        <f>K230*(1+'Parámetros Proyección'!$E$12)</f>
        <v/>
      </c>
      <c r="M230" s="35">
        <f>L230*'Parámetros Proyección'!$F$12</f>
        <v/>
      </c>
      <c r="N230" s="35">
        <f>L230+M230</f>
        <v/>
      </c>
      <c r="O230" s="35">
        <f>IF((N230/AI230&gt;'Parámetros Proyección'!$G$12),0,D230*'Parámetros Proyección'!$G$12/(IF((H230/AI230&gt;'Parámetros Proyección'!$G$11),0,'Parámetros Proyección'!$G$11)+IF((N230/AI230&gt;'Parámetros Proyección'!$G$12),0,'Parámetros Proyección'!$G$12)+IF((T230/AI230&gt;'Parámetros Proyección'!$G$13),0,'Parámetros Proyección'!$G$13)+IF((Z230/AI230&gt;'Parámetros Proyección'!$G$14),0,'Parámetros Proyección'!$G$14)+IF((AF230/AI230&gt;'Parámetros Proyección'!$G$15),0,'Parámetros Proyección'!$G$15)))</f>
        <v/>
      </c>
      <c r="P230" s="35">
        <f>N230+O230</f>
        <v/>
      </c>
      <c r="Q230" s="35">
        <f>V229</f>
        <v/>
      </c>
      <c r="R230" s="35">
        <f>Q230*(1+'Parámetros Proyección'!$E$13)</f>
        <v/>
      </c>
      <c r="S230" s="35">
        <f>R230*'Parámetros Proyección'!$F$13</f>
        <v/>
      </c>
      <c r="T230" s="35">
        <f>R230+S230</f>
        <v/>
      </c>
      <c r="U230" s="35">
        <f>IF((T230/AI230&gt;'Parámetros Proyección'!$G$13),0,D230*'Parámetros Proyección'!$G$13/(IF((H230/AI230&gt;'Parámetros Proyección'!$G$11),0,'Parámetros Proyección'!$G$11)+IF((N230/AI230&gt;'Parámetros Proyección'!$G$12),0,'Parámetros Proyección'!$G$12)+IF((T230/AI230&gt;'Parámetros Proyección'!$G$13),0,'Parámetros Proyección'!$G$13)+IF((Z230/AI230&gt;'Parámetros Proyección'!$G$14),0,'Parámetros Proyección'!$G$14)+IF((AF230/AI230&gt;'Parámetros Proyección'!$G$15),0,'Parámetros Proyección'!$G$15)))</f>
        <v/>
      </c>
      <c r="V230" s="35">
        <f>T230+U230</f>
        <v/>
      </c>
      <c r="W230" s="35">
        <f>AB229</f>
        <v/>
      </c>
      <c r="X230" s="35">
        <f>W230*(1+'Parámetros Proyección'!$E$14)</f>
        <v/>
      </c>
      <c r="Y230" s="35">
        <f>X230*'Parámetros Proyección'!$F$14</f>
        <v/>
      </c>
      <c r="Z230" s="35">
        <f>X230+Y230</f>
        <v/>
      </c>
      <c r="AA230" s="35">
        <f>IF((Z230/AI230&gt;'Parámetros Proyección'!$G$14),0,D230*'Parámetros Proyección'!$G$14/(IF((H230/AI230&gt;'Parámetros Proyección'!$G$11),0,'Parámetros Proyección'!$G$11)+IF((N230/AI230&gt;'Parámetros Proyección'!$G$12),0,'Parámetros Proyección'!$G$12)+IF((T230/AI230&gt;'Parámetros Proyección'!$G$13),0,'Parámetros Proyección'!$G$13)+IF((Z230/AI230&gt;'Parámetros Proyección'!$G$14),0,'Parámetros Proyección'!$G$14)+IF((AF230/AI230&gt;'Parámetros Proyección'!$G$15),0,'Parámetros Proyección'!$G$15)))</f>
        <v/>
      </c>
      <c r="AB230" s="35">
        <f>Z230+AA230</f>
        <v/>
      </c>
      <c r="AC230" s="35">
        <f>AH229</f>
        <v/>
      </c>
      <c r="AD230" s="35">
        <f>AC230*(1+'Parámetros Proyección'!$E$15)</f>
        <v/>
      </c>
      <c r="AE230" s="35">
        <f>AD230*'Parámetros Proyección'!$F$15</f>
        <v/>
      </c>
      <c r="AF230" s="35">
        <f>AD230+AE230</f>
        <v/>
      </c>
      <c r="AG230" s="35">
        <f>IF((AF230/AI230&gt;'Parámetros Proyección'!$G$15),0,D230*'Parámetros Proyección'!$G$15/(IF((H230/AI230&gt;'Parámetros Proyección'!$G$11),0,'Parámetros Proyección'!$G$11)+IF((N230/AI230&gt;'Parámetros Proyección'!$G$12),0,'Parámetros Proyección'!$G$12)+IF((T230/AI230&gt;'Parámetros Proyección'!$G$13),0,'Parámetros Proyección'!$G$13)+IF((Z230/AI230&gt;'Parámetros Proyección'!$G$14),0,'Parámetros Proyección'!$G$14)+IF((AF230/AI230&gt;'Parámetros Proyección'!$G$15),0,'Parámetros Proyección'!$G$15)))</f>
        <v/>
      </c>
      <c r="AH230" s="35">
        <f>AF230+AG230</f>
        <v/>
      </c>
      <c r="AI230" s="35">
        <f>H230+N230+T230+Z230+AF230</f>
        <v/>
      </c>
      <c r="AJ230" s="33">
        <f>AF230/AI230</f>
        <v/>
      </c>
      <c r="AK230">
        <f>IF(AJ230&gt;'Parámetros Proyección'!$B$5,1,0)</f>
        <v/>
      </c>
      <c r="AL230" s="35">
        <f>G230+M230+S230+Y230+AE230</f>
        <v/>
      </c>
      <c r="AM230" s="35">
        <f>AM229+D230</f>
        <v/>
      </c>
      <c r="AN230" s="35">
        <f>AN229+AL230</f>
        <v/>
      </c>
      <c r="AO230" s="35">
        <f>J230+P230+V230+AB230+AH230</f>
        <v/>
      </c>
    </row>
    <row r="231">
      <c r="A231" t="n">
        <v>228</v>
      </c>
      <c r="B231" s="34">
        <f>EDATE(B230,1)</f>
        <v/>
      </c>
      <c r="C231">
        <f>YEAR(B231)</f>
        <v/>
      </c>
      <c r="D231" s="35">
        <f>'Parámetros Proyección'!$B$3*(1+'Parámetros Proyección'!$B$4)^(C231-YEAR('Parámetros Proyección'!$B$6))</f>
        <v/>
      </c>
      <c r="E231" s="35">
        <f>J230</f>
        <v/>
      </c>
      <c r="F231" s="35">
        <f>E231*(1+'Parámetros Proyección'!$E$11)</f>
        <v/>
      </c>
      <c r="G231" s="35">
        <f>F231*'Parámetros Proyección'!$F$11</f>
        <v/>
      </c>
      <c r="H231" s="35">
        <f>F231+G231</f>
        <v/>
      </c>
      <c r="I231" s="35">
        <f>IF((H231/AI231&gt;'Parámetros Proyección'!$G$11),0,D231*'Parámetros Proyección'!$G$11/(IF((H231/AI231&gt;'Parámetros Proyección'!$G$11),0,'Parámetros Proyección'!$G$11)+IF((N231/AI231&gt;'Parámetros Proyección'!$G$12),0,'Parámetros Proyección'!$G$12)+IF((T231/AI231&gt;'Parámetros Proyección'!$G$13),0,'Parámetros Proyección'!$G$13)+IF((Z231/AI231&gt;'Parámetros Proyección'!$G$14),0,'Parámetros Proyección'!$G$14)+IF((AF231/AI231&gt;'Parámetros Proyección'!$G$15),0,'Parámetros Proyección'!$G$15)))</f>
        <v/>
      </c>
      <c r="J231" s="35">
        <f>H231+I231</f>
        <v/>
      </c>
      <c r="K231" s="35">
        <f>P230</f>
        <v/>
      </c>
      <c r="L231" s="35">
        <f>K231*(1+'Parámetros Proyección'!$E$12)</f>
        <v/>
      </c>
      <c r="M231" s="35">
        <f>L231*'Parámetros Proyección'!$F$12</f>
        <v/>
      </c>
      <c r="N231" s="35">
        <f>L231+M231</f>
        <v/>
      </c>
      <c r="O231" s="35">
        <f>IF((N231/AI231&gt;'Parámetros Proyección'!$G$12),0,D231*'Parámetros Proyección'!$G$12/(IF((H231/AI231&gt;'Parámetros Proyección'!$G$11),0,'Parámetros Proyección'!$G$11)+IF((N231/AI231&gt;'Parámetros Proyección'!$G$12),0,'Parámetros Proyección'!$G$12)+IF((T231/AI231&gt;'Parámetros Proyección'!$G$13),0,'Parámetros Proyección'!$G$13)+IF((Z231/AI231&gt;'Parámetros Proyección'!$G$14),0,'Parámetros Proyección'!$G$14)+IF((AF231/AI231&gt;'Parámetros Proyección'!$G$15),0,'Parámetros Proyección'!$G$15)))</f>
        <v/>
      </c>
      <c r="P231" s="35">
        <f>N231+O231</f>
        <v/>
      </c>
      <c r="Q231" s="35">
        <f>V230</f>
        <v/>
      </c>
      <c r="R231" s="35">
        <f>Q231*(1+'Parámetros Proyección'!$E$13)</f>
        <v/>
      </c>
      <c r="S231" s="35">
        <f>R231*'Parámetros Proyección'!$F$13</f>
        <v/>
      </c>
      <c r="T231" s="35">
        <f>R231+S231</f>
        <v/>
      </c>
      <c r="U231" s="35">
        <f>IF((T231/AI231&gt;'Parámetros Proyección'!$G$13),0,D231*'Parámetros Proyección'!$G$13/(IF((H231/AI231&gt;'Parámetros Proyección'!$G$11),0,'Parámetros Proyección'!$G$11)+IF((N231/AI231&gt;'Parámetros Proyección'!$G$12),0,'Parámetros Proyección'!$G$12)+IF((T231/AI231&gt;'Parámetros Proyección'!$G$13),0,'Parámetros Proyección'!$G$13)+IF((Z231/AI231&gt;'Parámetros Proyección'!$G$14),0,'Parámetros Proyección'!$G$14)+IF((AF231/AI231&gt;'Parámetros Proyección'!$G$15),0,'Parámetros Proyección'!$G$15)))</f>
        <v/>
      </c>
      <c r="V231" s="35">
        <f>T231+U231</f>
        <v/>
      </c>
      <c r="W231" s="35">
        <f>AB230</f>
        <v/>
      </c>
      <c r="X231" s="35">
        <f>W231*(1+'Parámetros Proyección'!$E$14)</f>
        <v/>
      </c>
      <c r="Y231" s="35">
        <f>X231*'Parámetros Proyección'!$F$14</f>
        <v/>
      </c>
      <c r="Z231" s="35">
        <f>X231+Y231</f>
        <v/>
      </c>
      <c r="AA231" s="35">
        <f>IF((Z231/AI231&gt;'Parámetros Proyección'!$G$14),0,D231*'Parámetros Proyección'!$G$14/(IF((H231/AI231&gt;'Parámetros Proyección'!$G$11),0,'Parámetros Proyección'!$G$11)+IF((N231/AI231&gt;'Parámetros Proyección'!$G$12),0,'Parámetros Proyección'!$G$12)+IF((T231/AI231&gt;'Parámetros Proyección'!$G$13),0,'Parámetros Proyección'!$G$13)+IF((Z231/AI231&gt;'Parámetros Proyección'!$G$14),0,'Parámetros Proyección'!$G$14)+IF((AF231/AI231&gt;'Parámetros Proyección'!$G$15),0,'Parámetros Proyección'!$G$15)))</f>
        <v/>
      </c>
      <c r="AB231" s="35">
        <f>Z231+AA231</f>
        <v/>
      </c>
      <c r="AC231" s="35">
        <f>AH230</f>
        <v/>
      </c>
      <c r="AD231" s="35">
        <f>AC231*(1+'Parámetros Proyección'!$E$15)</f>
        <v/>
      </c>
      <c r="AE231" s="35">
        <f>AD231*'Parámetros Proyección'!$F$15</f>
        <v/>
      </c>
      <c r="AF231" s="35">
        <f>AD231+AE231</f>
        <v/>
      </c>
      <c r="AG231" s="35">
        <f>IF((AF231/AI231&gt;'Parámetros Proyección'!$G$15),0,D231*'Parámetros Proyección'!$G$15/(IF((H231/AI231&gt;'Parámetros Proyección'!$G$11),0,'Parámetros Proyección'!$G$11)+IF((N231/AI231&gt;'Parámetros Proyección'!$G$12),0,'Parámetros Proyección'!$G$12)+IF((T231/AI231&gt;'Parámetros Proyección'!$G$13),0,'Parámetros Proyección'!$G$13)+IF((Z231/AI231&gt;'Parámetros Proyección'!$G$14),0,'Parámetros Proyección'!$G$14)+IF((AF231/AI231&gt;'Parámetros Proyección'!$G$15),0,'Parámetros Proyección'!$G$15)))</f>
        <v/>
      </c>
      <c r="AH231" s="35">
        <f>AF231+AG231</f>
        <v/>
      </c>
      <c r="AI231" s="35">
        <f>H231+N231+T231+Z231+AF231</f>
        <v/>
      </c>
      <c r="AJ231" s="33">
        <f>AF231/AI231</f>
        <v/>
      </c>
      <c r="AK231">
        <f>IF(AJ231&gt;'Parámetros Proyección'!$B$5,1,0)</f>
        <v/>
      </c>
      <c r="AL231" s="35">
        <f>G231+M231+S231+Y231+AE231</f>
        <v/>
      </c>
      <c r="AM231" s="35">
        <f>AM230+D231</f>
        <v/>
      </c>
      <c r="AN231" s="35">
        <f>AN230+AL231</f>
        <v/>
      </c>
      <c r="AO231" s="35">
        <f>J231+P231+V231+AB231+AH231</f>
        <v/>
      </c>
    </row>
    <row r="232">
      <c r="A232" t="n">
        <v>229</v>
      </c>
      <c r="B232" s="34">
        <f>EDATE(B231,1)</f>
        <v/>
      </c>
      <c r="C232">
        <f>YEAR(B232)</f>
        <v/>
      </c>
      <c r="D232" s="35">
        <f>'Parámetros Proyección'!$B$3*(1+'Parámetros Proyección'!$B$4)^(C232-YEAR('Parámetros Proyección'!$B$6))</f>
        <v/>
      </c>
      <c r="E232" s="35">
        <f>J231</f>
        <v/>
      </c>
      <c r="F232" s="35">
        <f>E232*(1+'Parámetros Proyección'!$E$11)</f>
        <v/>
      </c>
      <c r="G232" s="35">
        <f>F232*'Parámetros Proyección'!$F$11</f>
        <v/>
      </c>
      <c r="H232" s="35">
        <f>F232+G232</f>
        <v/>
      </c>
      <c r="I232" s="35">
        <f>IF((H232/AI232&gt;'Parámetros Proyección'!$G$11),0,D232*'Parámetros Proyección'!$G$11/(IF((H232/AI232&gt;'Parámetros Proyección'!$G$11),0,'Parámetros Proyección'!$G$11)+IF((N232/AI232&gt;'Parámetros Proyección'!$G$12),0,'Parámetros Proyección'!$G$12)+IF((T232/AI232&gt;'Parámetros Proyección'!$G$13),0,'Parámetros Proyección'!$G$13)+IF((Z232/AI232&gt;'Parámetros Proyección'!$G$14),0,'Parámetros Proyección'!$G$14)+IF((AF232/AI232&gt;'Parámetros Proyección'!$G$15),0,'Parámetros Proyección'!$G$15)))</f>
        <v/>
      </c>
      <c r="J232" s="35">
        <f>H232+I232</f>
        <v/>
      </c>
      <c r="K232" s="35">
        <f>P231</f>
        <v/>
      </c>
      <c r="L232" s="35">
        <f>K232*(1+'Parámetros Proyección'!$E$12)</f>
        <v/>
      </c>
      <c r="M232" s="35">
        <f>L232*'Parámetros Proyección'!$F$12</f>
        <v/>
      </c>
      <c r="N232" s="35">
        <f>L232+M232</f>
        <v/>
      </c>
      <c r="O232" s="35">
        <f>IF((N232/AI232&gt;'Parámetros Proyección'!$G$12),0,D232*'Parámetros Proyección'!$G$12/(IF((H232/AI232&gt;'Parámetros Proyección'!$G$11),0,'Parámetros Proyección'!$G$11)+IF((N232/AI232&gt;'Parámetros Proyección'!$G$12),0,'Parámetros Proyección'!$G$12)+IF((T232/AI232&gt;'Parámetros Proyección'!$G$13),0,'Parámetros Proyección'!$G$13)+IF((Z232/AI232&gt;'Parámetros Proyección'!$G$14),0,'Parámetros Proyección'!$G$14)+IF((AF232/AI232&gt;'Parámetros Proyección'!$G$15),0,'Parámetros Proyección'!$G$15)))</f>
        <v/>
      </c>
      <c r="P232" s="35">
        <f>N232+O232</f>
        <v/>
      </c>
      <c r="Q232" s="35">
        <f>V231</f>
        <v/>
      </c>
      <c r="R232" s="35">
        <f>Q232*(1+'Parámetros Proyección'!$E$13)</f>
        <v/>
      </c>
      <c r="S232" s="35">
        <f>R232*'Parámetros Proyección'!$F$13</f>
        <v/>
      </c>
      <c r="T232" s="35">
        <f>R232+S232</f>
        <v/>
      </c>
      <c r="U232" s="35">
        <f>IF((T232/AI232&gt;'Parámetros Proyección'!$G$13),0,D232*'Parámetros Proyección'!$G$13/(IF((H232/AI232&gt;'Parámetros Proyección'!$G$11),0,'Parámetros Proyección'!$G$11)+IF((N232/AI232&gt;'Parámetros Proyección'!$G$12),0,'Parámetros Proyección'!$G$12)+IF((T232/AI232&gt;'Parámetros Proyección'!$G$13),0,'Parámetros Proyección'!$G$13)+IF((Z232/AI232&gt;'Parámetros Proyección'!$G$14),0,'Parámetros Proyección'!$G$14)+IF((AF232/AI232&gt;'Parámetros Proyección'!$G$15),0,'Parámetros Proyección'!$G$15)))</f>
        <v/>
      </c>
      <c r="V232" s="35">
        <f>T232+U232</f>
        <v/>
      </c>
      <c r="W232" s="35">
        <f>AB231</f>
        <v/>
      </c>
      <c r="X232" s="35">
        <f>W232*(1+'Parámetros Proyección'!$E$14)</f>
        <v/>
      </c>
      <c r="Y232" s="35">
        <f>X232*'Parámetros Proyección'!$F$14</f>
        <v/>
      </c>
      <c r="Z232" s="35">
        <f>X232+Y232</f>
        <v/>
      </c>
      <c r="AA232" s="35">
        <f>IF((Z232/AI232&gt;'Parámetros Proyección'!$G$14),0,D232*'Parámetros Proyección'!$G$14/(IF((H232/AI232&gt;'Parámetros Proyección'!$G$11),0,'Parámetros Proyección'!$G$11)+IF((N232/AI232&gt;'Parámetros Proyección'!$G$12),0,'Parámetros Proyección'!$G$12)+IF((T232/AI232&gt;'Parámetros Proyección'!$G$13),0,'Parámetros Proyección'!$G$13)+IF((Z232/AI232&gt;'Parámetros Proyección'!$G$14),0,'Parámetros Proyección'!$G$14)+IF((AF232/AI232&gt;'Parámetros Proyección'!$G$15),0,'Parámetros Proyección'!$G$15)))</f>
        <v/>
      </c>
      <c r="AB232" s="35">
        <f>Z232+AA232</f>
        <v/>
      </c>
      <c r="AC232" s="35">
        <f>AH231</f>
        <v/>
      </c>
      <c r="AD232" s="35">
        <f>AC232*(1+'Parámetros Proyección'!$E$15)</f>
        <v/>
      </c>
      <c r="AE232" s="35">
        <f>AD232*'Parámetros Proyección'!$F$15</f>
        <v/>
      </c>
      <c r="AF232" s="35">
        <f>AD232+AE232</f>
        <v/>
      </c>
      <c r="AG232" s="35">
        <f>IF((AF232/AI232&gt;'Parámetros Proyección'!$G$15),0,D232*'Parámetros Proyección'!$G$15/(IF((H232/AI232&gt;'Parámetros Proyección'!$G$11),0,'Parámetros Proyección'!$G$11)+IF((N232/AI232&gt;'Parámetros Proyección'!$G$12),0,'Parámetros Proyección'!$G$12)+IF((T232/AI232&gt;'Parámetros Proyección'!$G$13),0,'Parámetros Proyección'!$G$13)+IF((Z232/AI232&gt;'Parámetros Proyección'!$G$14),0,'Parámetros Proyección'!$G$14)+IF((AF232/AI232&gt;'Parámetros Proyección'!$G$15),0,'Parámetros Proyección'!$G$15)))</f>
        <v/>
      </c>
      <c r="AH232" s="35">
        <f>AF232+AG232</f>
        <v/>
      </c>
      <c r="AI232" s="35">
        <f>H232+N232+T232+Z232+AF232</f>
        <v/>
      </c>
      <c r="AJ232" s="33">
        <f>AF232/AI232</f>
        <v/>
      </c>
      <c r="AK232">
        <f>IF(AJ232&gt;'Parámetros Proyección'!$B$5,1,0)</f>
        <v/>
      </c>
      <c r="AL232" s="35">
        <f>G232+M232+S232+Y232+AE232</f>
        <v/>
      </c>
      <c r="AM232" s="35">
        <f>AM231+D232</f>
        <v/>
      </c>
      <c r="AN232" s="35">
        <f>AN231+AL232</f>
        <v/>
      </c>
      <c r="AO232" s="35">
        <f>J232+P232+V232+AB232+AH232</f>
        <v/>
      </c>
    </row>
    <row r="233">
      <c r="A233" t="n">
        <v>230</v>
      </c>
      <c r="B233" s="34">
        <f>EDATE(B232,1)</f>
        <v/>
      </c>
      <c r="C233">
        <f>YEAR(B233)</f>
        <v/>
      </c>
      <c r="D233" s="35">
        <f>'Parámetros Proyección'!$B$3*(1+'Parámetros Proyección'!$B$4)^(C233-YEAR('Parámetros Proyección'!$B$6))</f>
        <v/>
      </c>
      <c r="E233" s="35">
        <f>J232</f>
        <v/>
      </c>
      <c r="F233" s="35">
        <f>E233*(1+'Parámetros Proyección'!$E$11)</f>
        <v/>
      </c>
      <c r="G233" s="35">
        <f>F233*'Parámetros Proyección'!$F$11</f>
        <v/>
      </c>
      <c r="H233" s="35">
        <f>F233+G233</f>
        <v/>
      </c>
      <c r="I233" s="35">
        <f>IF((H233/AI233&gt;'Parámetros Proyección'!$G$11),0,D233*'Parámetros Proyección'!$G$11/(IF((H233/AI233&gt;'Parámetros Proyección'!$G$11),0,'Parámetros Proyección'!$G$11)+IF((N233/AI233&gt;'Parámetros Proyección'!$G$12),0,'Parámetros Proyección'!$G$12)+IF((T233/AI233&gt;'Parámetros Proyección'!$G$13),0,'Parámetros Proyección'!$G$13)+IF((Z233/AI233&gt;'Parámetros Proyección'!$G$14),0,'Parámetros Proyección'!$G$14)+IF((AF233/AI233&gt;'Parámetros Proyección'!$G$15),0,'Parámetros Proyección'!$G$15)))</f>
        <v/>
      </c>
      <c r="J233" s="35">
        <f>H233+I233</f>
        <v/>
      </c>
      <c r="K233" s="35">
        <f>P232</f>
        <v/>
      </c>
      <c r="L233" s="35">
        <f>K233*(1+'Parámetros Proyección'!$E$12)</f>
        <v/>
      </c>
      <c r="M233" s="35">
        <f>L233*'Parámetros Proyección'!$F$12</f>
        <v/>
      </c>
      <c r="N233" s="35">
        <f>L233+M233</f>
        <v/>
      </c>
      <c r="O233" s="35">
        <f>IF((N233/AI233&gt;'Parámetros Proyección'!$G$12),0,D233*'Parámetros Proyección'!$G$12/(IF((H233/AI233&gt;'Parámetros Proyección'!$G$11),0,'Parámetros Proyección'!$G$11)+IF((N233/AI233&gt;'Parámetros Proyección'!$G$12),0,'Parámetros Proyección'!$G$12)+IF((T233/AI233&gt;'Parámetros Proyección'!$G$13),0,'Parámetros Proyección'!$G$13)+IF((Z233/AI233&gt;'Parámetros Proyección'!$G$14),0,'Parámetros Proyección'!$G$14)+IF((AF233/AI233&gt;'Parámetros Proyección'!$G$15),0,'Parámetros Proyección'!$G$15)))</f>
        <v/>
      </c>
      <c r="P233" s="35">
        <f>N233+O233</f>
        <v/>
      </c>
      <c r="Q233" s="35">
        <f>V232</f>
        <v/>
      </c>
      <c r="R233" s="35">
        <f>Q233*(1+'Parámetros Proyección'!$E$13)</f>
        <v/>
      </c>
      <c r="S233" s="35">
        <f>R233*'Parámetros Proyección'!$F$13</f>
        <v/>
      </c>
      <c r="T233" s="35">
        <f>R233+S233</f>
        <v/>
      </c>
      <c r="U233" s="35">
        <f>IF((T233/AI233&gt;'Parámetros Proyección'!$G$13),0,D233*'Parámetros Proyección'!$G$13/(IF((H233/AI233&gt;'Parámetros Proyección'!$G$11),0,'Parámetros Proyección'!$G$11)+IF((N233/AI233&gt;'Parámetros Proyección'!$G$12),0,'Parámetros Proyección'!$G$12)+IF((T233/AI233&gt;'Parámetros Proyección'!$G$13),0,'Parámetros Proyección'!$G$13)+IF((Z233/AI233&gt;'Parámetros Proyección'!$G$14),0,'Parámetros Proyección'!$G$14)+IF((AF233/AI233&gt;'Parámetros Proyección'!$G$15),0,'Parámetros Proyección'!$G$15)))</f>
        <v/>
      </c>
      <c r="V233" s="35">
        <f>T233+U233</f>
        <v/>
      </c>
      <c r="W233" s="35">
        <f>AB232</f>
        <v/>
      </c>
      <c r="X233" s="35">
        <f>W233*(1+'Parámetros Proyección'!$E$14)</f>
        <v/>
      </c>
      <c r="Y233" s="35">
        <f>X233*'Parámetros Proyección'!$F$14</f>
        <v/>
      </c>
      <c r="Z233" s="35">
        <f>X233+Y233</f>
        <v/>
      </c>
      <c r="AA233" s="35">
        <f>IF((Z233/AI233&gt;'Parámetros Proyección'!$G$14),0,D233*'Parámetros Proyección'!$G$14/(IF((H233/AI233&gt;'Parámetros Proyección'!$G$11),0,'Parámetros Proyección'!$G$11)+IF((N233/AI233&gt;'Parámetros Proyección'!$G$12),0,'Parámetros Proyección'!$G$12)+IF((T233/AI233&gt;'Parámetros Proyección'!$G$13),0,'Parámetros Proyección'!$G$13)+IF((Z233/AI233&gt;'Parámetros Proyección'!$G$14),0,'Parámetros Proyección'!$G$14)+IF((AF233/AI233&gt;'Parámetros Proyección'!$G$15),0,'Parámetros Proyección'!$G$15)))</f>
        <v/>
      </c>
      <c r="AB233" s="35">
        <f>Z233+AA233</f>
        <v/>
      </c>
      <c r="AC233" s="35">
        <f>AH232</f>
        <v/>
      </c>
      <c r="AD233" s="35">
        <f>AC233*(1+'Parámetros Proyección'!$E$15)</f>
        <v/>
      </c>
      <c r="AE233" s="35">
        <f>AD233*'Parámetros Proyección'!$F$15</f>
        <v/>
      </c>
      <c r="AF233" s="35">
        <f>AD233+AE233</f>
        <v/>
      </c>
      <c r="AG233" s="35">
        <f>IF((AF233/AI233&gt;'Parámetros Proyección'!$G$15),0,D233*'Parámetros Proyección'!$G$15/(IF((H233/AI233&gt;'Parámetros Proyección'!$G$11),0,'Parámetros Proyección'!$G$11)+IF((N233/AI233&gt;'Parámetros Proyección'!$G$12),0,'Parámetros Proyección'!$G$12)+IF((T233/AI233&gt;'Parámetros Proyección'!$G$13),0,'Parámetros Proyección'!$G$13)+IF((Z233/AI233&gt;'Parámetros Proyección'!$G$14),0,'Parámetros Proyección'!$G$14)+IF((AF233/AI233&gt;'Parámetros Proyección'!$G$15),0,'Parámetros Proyección'!$G$15)))</f>
        <v/>
      </c>
      <c r="AH233" s="35">
        <f>AF233+AG233</f>
        <v/>
      </c>
      <c r="AI233" s="35">
        <f>H233+N233+T233+Z233+AF233</f>
        <v/>
      </c>
      <c r="AJ233" s="33">
        <f>AF233/AI233</f>
        <v/>
      </c>
      <c r="AK233">
        <f>IF(AJ233&gt;'Parámetros Proyección'!$B$5,1,0)</f>
        <v/>
      </c>
      <c r="AL233" s="35">
        <f>G233+M233+S233+Y233+AE233</f>
        <v/>
      </c>
      <c r="AM233" s="35">
        <f>AM232+D233</f>
        <v/>
      </c>
      <c r="AN233" s="35">
        <f>AN232+AL233</f>
        <v/>
      </c>
      <c r="AO233" s="35">
        <f>J233+P233+V233+AB233+AH233</f>
        <v/>
      </c>
    </row>
    <row r="234">
      <c r="A234" t="n">
        <v>231</v>
      </c>
      <c r="B234" s="34">
        <f>EDATE(B233,1)</f>
        <v/>
      </c>
      <c r="C234">
        <f>YEAR(B234)</f>
        <v/>
      </c>
      <c r="D234" s="35">
        <f>'Parámetros Proyección'!$B$3*(1+'Parámetros Proyección'!$B$4)^(C234-YEAR('Parámetros Proyección'!$B$6))</f>
        <v/>
      </c>
      <c r="E234" s="35">
        <f>J233</f>
        <v/>
      </c>
      <c r="F234" s="35">
        <f>E234*(1+'Parámetros Proyección'!$E$11)</f>
        <v/>
      </c>
      <c r="G234" s="35">
        <f>F234*'Parámetros Proyección'!$F$11</f>
        <v/>
      </c>
      <c r="H234" s="35">
        <f>F234+G234</f>
        <v/>
      </c>
      <c r="I234" s="35">
        <f>IF((H234/AI234&gt;'Parámetros Proyección'!$G$11),0,D234*'Parámetros Proyección'!$G$11/(IF((H234/AI234&gt;'Parámetros Proyección'!$G$11),0,'Parámetros Proyección'!$G$11)+IF((N234/AI234&gt;'Parámetros Proyección'!$G$12),0,'Parámetros Proyección'!$G$12)+IF((T234/AI234&gt;'Parámetros Proyección'!$G$13),0,'Parámetros Proyección'!$G$13)+IF((Z234/AI234&gt;'Parámetros Proyección'!$G$14),0,'Parámetros Proyección'!$G$14)+IF((AF234/AI234&gt;'Parámetros Proyección'!$G$15),0,'Parámetros Proyección'!$G$15)))</f>
        <v/>
      </c>
      <c r="J234" s="35">
        <f>H234+I234</f>
        <v/>
      </c>
      <c r="K234" s="35">
        <f>P233</f>
        <v/>
      </c>
      <c r="L234" s="35">
        <f>K234*(1+'Parámetros Proyección'!$E$12)</f>
        <v/>
      </c>
      <c r="M234" s="35">
        <f>L234*'Parámetros Proyección'!$F$12</f>
        <v/>
      </c>
      <c r="N234" s="35">
        <f>L234+M234</f>
        <v/>
      </c>
      <c r="O234" s="35">
        <f>IF((N234/AI234&gt;'Parámetros Proyección'!$G$12),0,D234*'Parámetros Proyección'!$G$12/(IF((H234/AI234&gt;'Parámetros Proyección'!$G$11),0,'Parámetros Proyección'!$G$11)+IF((N234/AI234&gt;'Parámetros Proyección'!$G$12),0,'Parámetros Proyección'!$G$12)+IF((T234/AI234&gt;'Parámetros Proyección'!$G$13),0,'Parámetros Proyección'!$G$13)+IF((Z234/AI234&gt;'Parámetros Proyección'!$G$14),0,'Parámetros Proyección'!$G$14)+IF((AF234/AI234&gt;'Parámetros Proyección'!$G$15),0,'Parámetros Proyección'!$G$15)))</f>
        <v/>
      </c>
      <c r="P234" s="35">
        <f>N234+O234</f>
        <v/>
      </c>
      <c r="Q234" s="35">
        <f>V233</f>
        <v/>
      </c>
      <c r="R234" s="35">
        <f>Q234*(1+'Parámetros Proyección'!$E$13)</f>
        <v/>
      </c>
      <c r="S234" s="35">
        <f>R234*'Parámetros Proyección'!$F$13</f>
        <v/>
      </c>
      <c r="T234" s="35">
        <f>R234+S234</f>
        <v/>
      </c>
      <c r="U234" s="35">
        <f>IF((T234/AI234&gt;'Parámetros Proyección'!$G$13),0,D234*'Parámetros Proyección'!$G$13/(IF((H234/AI234&gt;'Parámetros Proyección'!$G$11),0,'Parámetros Proyección'!$G$11)+IF((N234/AI234&gt;'Parámetros Proyección'!$G$12),0,'Parámetros Proyección'!$G$12)+IF((T234/AI234&gt;'Parámetros Proyección'!$G$13),0,'Parámetros Proyección'!$G$13)+IF((Z234/AI234&gt;'Parámetros Proyección'!$G$14),0,'Parámetros Proyección'!$G$14)+IF((AF234/AI234&gt;'Parámetros Proyección'!$G$15),0,'Parámetros Proyección'!$G$15)))</f>
        <v/>
      </c>
      <c r="V234" s="35">
        <f>T234+U234</f>
        <v/>
      </c>
      <c r="W234" s="35">
        <f>AB233</f>
        <v/>
      </c>
      <c r="X234" s="35">
        <f>W234*(1+'Parámetros Proyección'!$E$14)</f>
        <v/>
      </c>
      <c r="Y234" s="35">
        <f>X234*'Parámetros Proyección'!$F$14</f>
        <v/>
      </c>
      <c r="Z234" s="35">
        <f>X234+Y234</f>
        <v/>
      </c>
      <c r="AA234" s="35">
        <f>IF((Z234/AI234&gt;'Parámetros Proyección'!$G$14),0,D234*'Parámetros Proyección'!$G$14/(IF((H234/AI234&gt;'Parámetros Proyección'!$G$11),0,'Parámetros Proyección'!$G$11)+IF((N234/AI234&gt;'Parámetros Proyección'!$G$12),0,'Parámetros Proyección'!$G$12)+IF((T234/AI234&gt;'Parámetros Proyección'!$G$13),0,'Parámetros Proyección'!$G$13)+IF((Z234/AI234&gt;'Parámetros Proyección'!$G$14),0,'Parámetros Proyección'!$G$14)+IF((AF234/AI234&gt;'Parámetros Proyección'!$G$15),0,'Parámetros Proyección'!$G$15)))</f>
        <v/>
      </c>
      <c r="AB234" s="35">
        <f>Z234+AA234</f>
        <v/>
      </c>
      <c r="AC234" s="35">
        <f>AH233</f>
        <v/>
      </c>
      <c r="AD234" s="35">
        <f>AC234*(1+'Parámetros Proyección'!$E$15)</f>
        <v/>
      </c>
      <c r="AE234" s="35">
        <f>AD234*'Parámetros Proyección'!$F$15</f>
        <v/>
      </c>
      <c r="AF234" s="35">
        <f>AD234+AE234</f>
        <v/>
      </c>
      <c r="AG234" s="35">
        <f>IF((AF234/AI234&gt;'Parámetros Proyección'!$G$15),0,D234*'Parámetros Proyección'!$G$15/(IF((H234/AI234&gt;'Parámetros Proyección'!$G$11),0,'Parámetros Proyección'!$G$11)+IF((N234/AI234&gt;'Parámetros Proyección'!$G$12),0,'Parámetros Proyección'!$G$12)+IF((T234/AI234&gt;'Parámetros Proyección'!$G$13),0,'Parámetros Proyección'!$G$13)+IF((Z234/AI234&gt;'Parámetros Proyección'!$G$14),0,'Parámetros Proyección'!$G$14)+IF((AF234/AI234&gt;'Parámetros Proyección'!$G$15),0,'Parámetros Proyección'!$G$15)))</f>
        <v/>
      </c>
      <c r="AH234" s="35">
        <f>AF234+AG234</f>
        <v/>
      </c>
      <c r="AI234" s="35">
        <f>H234+N234+T234+Z234+AF234</f>
        <v/>
      </c>
      <c r="AJ234" s="33">
        <f>AF234/AI234</f>
        <v/>
      </c>
      <c r="AK234">
        <f>IF(AJ234&gt;'Parámetros Proyección'!$B$5,1,0)</f>
        <v/>
      </c>
      <c r="AL234" s="35">
        <f>G234+M234+S234+Y234+AE234</f>
        <v/>
      </c>
      <c r="AM234" s="35">
        <f>AM233+D234</f>
        <v/>
      </c>
      <c r="AN234" s="35">
        <f>AN233+AL234</f>
        <v/>
      </c>
      <c r="AO234" s="35">
        <f>J234+P234+V234+AB234+AH234</f>
        <v/>
      </c>
    </row>
    <row r="235">
      <c r="A235" t="n">
        <v>232</v>
      </c>
      <c r="B235" s="34">
        <f>EDATE(B234,1)</f>
        <v/>
      </c>
      <c r="C235">
        <f>YEAR(B235)</f>
        <v/>
      </c>
      <c r="D235" s="35">
        <f>'Parámetros Proyección'!$B$3*(1+'Parámetros Proyección'!$B$4)^(C235-YEAR('Parámetros Proyección'!$B$6))</f>
        <v/>
      </c>
      <c r="E235" s="35">
        <f>J234</f>
        <v/>
      </c>
      <c r="F235" s="35">
        <f>E235*(1+'Parámetros Proyección'!$E$11)</f>
        <v/>
      </c>
      <c r="G235" s="35">
        <f>F235*'Parámetros Proyección'!$F$11</f>
        <v/>
      </c>
      <c r="H235" s="35">
        <f>F235+G235</f>
        <v/>
      </c>
      <c r="I235" s="35">
        <f>IF((H235/AI235&gt;'Parámetros Proyección'!$G$11),0,D235*'Parámetros Proyección'!$G$11/(IF((H235/AI235&gt;'Parámetros Proyección'!$G$11),0,'Parámetros Proyección'!$G$11)+IF((N235/AI235&gt;'Parámetros Proyección'!$G$12),0,'Parámetros Proyección'!$G$12)+IF((T235/AI235&gt;'Parámetros Proyección'!$G$13),0,'Parámetros Proyección'!$G$13)+IF((Z235/AI235&gt;'Parámetros Proyección'!$G$14),0,'Parámetros Proyección'!$G$14)+IF((AF235/AI235&gt;'Parámetros Proyección'!$G$15),0,'Parámetros Proyección'!$G$15)))</f>
        <v/>
      </c>
      <c r="J235" s="35">
        <f>H235+I235</f>
        <v/>
      </c>
      <c r="K235" s="35">
        <f>P234</f>
        <v/>
      </c>
      <c r="L235" s="35">
        <f>K235*(1+'Parámetros Proyección'!$E$12)</f>
        <v/>
      </c>
      <c r="M235" s="35">
        <f>L235*'Parámetros Proyección'!$F$12</f>
        <v/>
      </c>
      <c r="N235" s="35">
        <f>L235+M235</f>
        <v/>
      </c>
      <c r="O235" s="35">
        <f>IF((N235/AI235&gt;'Parámetros Proyección'!$G$12),0,D235*'Parámetros Proyección'!$G$12/(IF((H235/AI235&gt;'Parámetros Proyección'!$G$11),0,'Parámetros Proyección'!$G$11)+IF((N235/AI235&gt;'Parámetros Proyección'!$G$12),0,'Parámetros Proyección'!$G$12)+IF((T235/AI235&gt;'Parámetros Proyección'!$G$13),0,'Parámetros Proyección'!$G$13)+IF((Z235/AI235&gt;'Parámetros Proyección'!$G$14),0,'Parámetros Proyección'!$G$14)+IF((AF235/AI235&gt;'Parámetros Proyección'!$G$15),0,'Parámetros Proyección'!$G$15)))</f>
        <v/>
      </c>
      <c r="P235" s="35">
        <f>N235+O235</f>
        <v/>
      </c>
      <c r="Q235" s="35">
        <f>V234</f>
        <v/>
      </c>
      <c r="R235" s="35">
        <f>Q235*(1+'Parámetros Proyección'!$E$13)</f>
        <v/>
      </c>
      <c r="S235" s="35">
        <f>R235*'Parámetros Proyección'!$F$13</f>
        <v/>
      </c>
      <c r="T235" s="35">
        <f>R235+S235</f>
        <v/>
      </c>
      <c r="U235" s="35">
        <f>IF((T235/AI235&gt;'Parámetros Proyección'!$G$13),0,D235*'Parámetros Proyección'!$G$13/(IF((H235/AI235&gt;'Parámetros Proyección'!$G$11),0,'Parámetros Proyección'!$G$11)+IF((N235/AI235&gt;'Parámetros Proyección'!$G$12),0,'Parámetros Proyección'!$G$12)+IF((T235/AI235&gt;'Parámetros Proyección'!$G$13),0,'Parámetros Proyección'!$G$13)+IF((Z235/AI235&gt;'Parámetros Proyección'!$G$14),0,'Parámetros Proyección'!$G$14)+IF((AF235/AI235&gt;'Parámetros Proyección'!$G$15),0,'Parámetros Proyección'!$G$15)))</f>
        <v/>
      </c>
      <c r="V235" s="35">
        <f>T235+U235</f>
        <v/>
      </c>
      <c r="W235" s="35">
        <f>AB234</f>
        <v/>
      </c>
      <c r="X235" s="35">
        <f>W235*(1+'Parámetros Proyección'!$E$14)</f>
        <v/>
      </c>
      <c r="Y235" s="35">
        <f>X235*'Parámetros Proyección'!$F$14</f>
        <v/>
      </c>
      <c r="Z235" s="35">
        <f>X235+Y235</f>
        <v/>
      </c>
      <c r="AA235" s="35">
        <f>IF((Z235/AI235&gt;'Parámetros Proyección'!$G$14),0,D235*'Parámetros Proyección'!$G$14/(IF((H235/AI235&gt;'Parámetros Proyección'!$G$11),0,'Parámetros Proyección'!$G$11)+IF((N235/AI235&gt;'Parámetros Proyección'!$G$12),0,'Parámetros Proyección'!$G$12)+IF((T235/AI235&gt;'Parámetros Proyección'!$G$13),0,'Parámetros Proyección'!$G$13)+IF((Z235/AI235&gt;'Parámetros Proyección'!$G$14),0,'Parámetros Proyección'!$G$14)+IF((AF235/AI235&gt;'Parámetros Proyección'!$G$15),0,'Parámetros Proyección'!$G$15)))</f>
        <v/>
      </c>
      <c r="AB235" s="35">
        <f>Z235+AA235</f>
        <v/>
      </c>
      <c r="AC235" s="35">
        <f>AH234</f>
        <v/>
      </c>
      <c r="AD235" s="35">
        <f>AC235*(1+'Parámetros Proyección'!$E$15)</f>
        <v/>
      </c>
      <c r="AE235" s="35">
        <f>AD235*'Parámetros Proyección'!$F$15</f>
        <v/>
      </c>
      <c r="AF235" s="35">
        <f>AD235+AE235</f>
        <v/>
      </c>
      <c r="AG235" s="35">
        <f>IF((AF235/AI235&gt;'Parámetros Proyección'!$G$15),0,D235*'Parámetros Proyección'!$G$15/(IF((H235/AI235&gt;'Parámetros Proyección'!$G$11),0,'Parámetros Proyección'!$G$11)+IF((N235/AI235&gt;'Parámetros Proyección'!$G$12),0,'Parámetros Proyección'!$G$12)+IF((T235/AI235&gt;'Parámetros Proyección'!$G$13),0,'Parámetros Proyección'!$G$13)+IF((Z235/AI235&gt;'Parámetros Proyección'!$G$14),0,'Parámetros Proyección'!$G$14)+IF((AF235/AI235&gt;'Parámetros Proyección'!$G$15),0,'Parámetros Proyección'!$G$15)))</f>
        <v/>
      </c>
      <c r="AH235" s="35">
        <f>AF235+AG235</f>
        <v/>
      </c>
      <c r="AI235" s="35">
        <f>H235+N235+T235+Z235+AF235</f>
        <v/>
      </c>
      <c r="AJ235" s="33">
        <f>AF235/AI235</f>
        <v/>
      </c>
      <c r="AK235">
        <f>IF(AJ235&gt;'Parámetros Proyección'!$B$5,1,0)</f>
        <v/>
      </c>
      <c r="AL235" s="35">
        <f>G235+M235+S235+Y235+AE235</f>
        <v/>
      </c>
      <c r="AM235" s="35">
        <f>AM234+D235</f>
        <v/>
      </c>
      <c r="AN235" s="35">
        <f>AN234+AL235</f>
        <v/>
      </c>
      <c r="AO235" s="35">
        <f>J235+P235+V235+AB235+AH235</f>
        <v/>
      </c>
    </row>
    <row r="236">
      <c r="A236" t="n">
        <v>233</v>
      </c>
      <c r="B236" s="34">
        <f>EDATE(B235,1)</f>
        <v/>
      </c>
      <c r="C236">
        <f>YEAR(B236)</f>
        <v/>
      </c>
      <c r="D236" s="35">
        <f>'Parámetros Proyección'!$B$3*(1+'Parámetros Proyección'!$B$4)^(C236-YEAR('Parámetros Proyección'!$B$6))</f>
        <v/>
      </c>
      <c r="E236" s="35">
        <f>J235</f>
        <v/>
      </c>
      <c r="F236" s="35">
        <f>E236*(1+'Parámetros Proyección'!$E$11)</f>
        <v/>
      </c>
      <c r="G236" s="35">
        <f>F236*'Parámetros Proyección'!$F$11</f>
        <v/>
      </c>
      <c r="H236" s="35">
        <f>F236+G236</f>
        <v/>
      </c>
      <c r="I236" s="35">
        <f>IF((H236/AI236&gt;'Parámetros Proyección'!$G$11),0,D236*'Parámetros Proyección'!$G$11/(IF((H236/AI236&gt;'Parámetros Proyección'!$G$11),0,'Parámetros Proyección'!$G$11)+IF((N236/AI236&gt;'Parámetros Proyección'!$G$12),0,'Parámetros Proyección'!$G$12)+IF((T236/AI236&gt;'Parámetros Proyección'!$G$13),0,'Parámetros Proyección'!$G$13)+IF((Z236/AI236&gt;'Parámetros Proyección'!$G$14),0,'Parámetros Proyección'!$G$14)+IF((AF236/AI236&gt;'Parámetros Proyección'!$G$15),0,'Parámetros Proyección'!$G$15)))</f>
        <v/>
      </c>
      <c r="J236" s="35">
        <f>H236+I236</f>
        <v/>
      </c>
      <c r="K236" s="35">
        <f>P235</f>
        <v/>
      </c>
      <c r="L236" s="35">
        <f>K236*(1+'Parámetros Proyección'!$E$12)</f>
        <v/>
      </c>
      <c r="M236" s="35">
        <f>L236*'Parámetros Proyección'!$F$12</f>
        <v/>
      </c>
      <c r="N236" s="35">
        <f>L236+M236</f>
        <v/>
      </c>
      <c r="O236" s="35">
        <f>IF((N236/AI236&gt;'Parámetros Proyección'!$G$12),0,D236*'Parámetros Proyección'!$G$12/(IF((H236/AI236&gt;'Parámetros Proyección'!$G$11),0,'Parámetros Proyección'!$G$11)+IF((N236/AI236&gt;'Parámetros Proyección'!$G$12),0,'Parámetros Proyección'!$G$12)+IF((T236/AI236&gt;'Parámetros Proyección'!$G$13),0,'Parámetros Proyección'!$G$13)+IF((Z236/AI236&gt;'Parámetros Proyección'!$G$14),0,'Parámetros Proyección'!$G$14)+IF((AF236/AI236&gt;'Parámetros Proyección'!$G$15),0,'Parámetros Proyección'!$G$15)))</f>
        <v/>
      </c>
      <c r="P236" s="35">
        <f>N236+O236</f>
        <v/>
      </c>
      <c r="Q236" s="35">
        <f>V235</f>
        <v/>
      </c>
      <c r="R236" s="35">
        <f>Q236*(1+'Parámetros Proyección'!$E$13)</f>
        <v/>
      </c>
      <c r="S236" s="35">
        <f>R236*'Parámetros Proyección'!$F$13</f>
        <v/>
      </c>
      <c r="T236" s="35">
        <f>R236+S236</f>
        <v/>
      </c>
      <c r="U236" s="35">
        <f>IF((T236/AI236&gt;'Parámetros Proyección'!$G$13),0,D236*'Parámetros Proyección'!$G$13/(IF((H236/AI236&gt;'Parámetros Proyección'!$G$11),0,'Parámetros Proyección'!$G$11)+IF((N236/AI236&gt;'Parámetros Proyección'!$G$12),0,'Parámetros Proyección'!$G$12)+IF((T236/AI236&gt;'Parámetros Proyección'!$G$13),0,'Parámetros Proyección'!$G$13)+IF((Z236/AI236&gt;'Parámetros Proyección'!$G$14),0,'Parámetros Proyección'!$G$14)+IF((AF236/AI236&gt;'Parámetros Proyección'!$G$15),0,'Parámetros Proyección'!$G$15)))</f>
        <v/>
      </c>
      <c r="V236" s="35">
        <f>T236+U236</f>
        <v/>
      </c>
      <c r="W236" s="35">
        <f>AB235</f>
        <v/>
      </c>
      <c r="X236" s="35">
        <f>W236*(1+'Parámetros Proyección'!$E$14)</f>
        <v/>
      </c>
      <c r="Y236" s="35">
        <f>X236*'Parámetros Proyección'!$F$14</f>
        <v/>
      </c>
      <c r="Z236" s="35">
        <f>X236+Y236</f>
        <v/>
      </c>
      <c r="AA236" s="35">
        <f>IF((Z236/AI236&gt;'Parámetros Proyección'!$G$14),0,D236*'Parámetros Proyección'!$G$14/(IF((H236/AI236&gt;'Parámetros Proyección'!$G$11),0,'Parámetros Proyección'!$G$11)+IF((N236/AI236&gt;'Parámetros Proyección'!$G$12),0,'Parámetros Proyección'!$G$12)+IF((T236/AI236&gt;'Parámetros Proyección'!$G$13),0,'Parámetros Proyección'!$G$13)+IF((Z236/AI236&gt;'Parámetros Proyección'!$G$14),0,'Parámetros Proyección'!$G$14)+IF((AF236/AI236&gt;'Parámetros Proyección'!$G$15),0,'Parámetros Proyección'!$G$15)))</f>
        <v/>
      </c>
      <c r="AB236" s="35">
        <f>Z236+AA236</f>
        <v/>
      </c>
      <c r="AC236" s="35">
        <f>AH235</f>
        <v/>
      </c>
      <c r="AD236" s="35">
        <f>AC236*(1+'Parámetros Proyección'!$E$15)</f>
        <v/>
      </c>
      <c r="AE236" s="35">
        <f>AD236*'Parámetros Proyección'!$F$15</f>
        <v/>
      </c>
      <c r="AF236" s="35">
        <f>AD236+AE236</f>
        <v/>
      </c>
      <c r="AG236" s="35">
        <f>IF((AF236/AI236&gt;'Parámetros Proyección'!$G$15),0,D236*'Parámetros Proyección'!$G$15/(IF((H236/AI236&gt;'Parámetros Proyección'!$G$11),0,'Parámetros Proyección'!$G$11)+IF((N236/AI236&gt;'Parámetros Proyección'!$G$12),0,'Parámetros Proyección'!$G$12)+IF((T236/AI236&gt;'Parámetros Proyección'!$G$13),0,'Parámetros Proyección'!$G$13)+IF((Z236/AI236&gt;'Parámetros Proyección'!$G$14),0,'Parámetros Proyección'!$G$14)+IF((AF236/AI236&gt;'Parámetros Proyección'!$G$15),0,'Parámetros Proyección'!$G$15)))</f>
        <v/>
      </c>
      <c r="AH236" s="35">
        <f>AF236+AG236</f>
        <v/>
      </c>
      <c r="AI236" s="35">
        <f>H236+N236+T236+Z236+AF236</f>
        <v/>
      </c>
      <c r="AJ236" s="33">
        <f>AF236/AI236</f>
        <v/>
      </c>
      <c r="AK236">
        <f>IF(AJ236&gt;'Parámetros Proyección'!$B$5,1,0)</f>
        <v/>
      </c>
      <c r="AL236" s="35">
        <f>G236+M236+S236+Y236+AE236</f>
        <v/>
      </c>
      <c r="AM236" s="35">
        <f>AM235+D236</f>
        <v/>
      </c>
      <c r="AN236" s="35">
        <f>AN235+AL236</f>
        <v/>
      </c>
      <c r="AO236" s="35">
        <f>J236+P236+V236+AB236+AH236</f>
        <v/>
      </c>
    </row>
    <row r="237">
      <c r="A237" t="n">
        <v>234</v>
      </c>
      <c r="B237" s="34">
        <f>EDATE(B236,1)</f>
        <v/>
      </c>
      <c r="C237">
        <f>YEAR(B237)</f>
        <v/>
      </c>
      <c r="D237" s="35">
        <f>'Parámetros Proyección'!$B$3*(1+'Parámetros Proyección'!$B$4)^(C237-YEAR('Parámetros Proyección'!$B$6))</f>
        <v/>
      </c>
      <c r="E237" s="35">
        <f>J236</f>
        <v/>
      </c>
      <c r="F237" s="35">
        <f>E237*(1+'Parámetros Proyección'!$E$11)</f>
        <v/>
      </c>
      <c r="G237" s="35">
        <f>F237*'Parámetros Proyección'!$F$11</f>
        <v/>
      </c>
      <c r="H237" s="35">
        <f>F237+G237</f>
        <v/>
      </c>
      <c r="I237" s="35">
        <f>IF((H237/AI237&gt;'Parámetros Proyección'!$G$11),0,D237*'Parámetros Proyección'!$G$11/(IF((H237/AI237&gt;'Parámetros Proyección'!$G$11),0,'Parámetros Proyección'!$G$11)+IF((N237/AI237&gt;'Parámetros Proyección'!$G$12),0,'Parámetros Proyección'!$G$12)+IF((T237/AI237&gt;'Parámetros Proyección'!$G$13),0,'Parámetros Proyección'!$G$13)+IF((Z237/AI237&gt;'Parámetros Proyección'!$G$14),0,'Parámetros Proyección'!$G$14)+IF((AF237/AI237&gt;'Parámetros Proyección'!$G$15),0,'Parámetros Proyección'!$G$15)))</f>
        <v/>
      </c>
      <c r="J237" s="35">
        <f>H237+I237</f>
        <v/>
      </c>
      <c r="K237" s="35">
        <f>P236</f>
        <v/>
      </c>
      <c r="L237" s="35">
        <f>K237*(1+'Parámetros Proyección'!$E$12)</f>
        <v/>
      </c>
      <c r="M237" s="35">
        <f>L237*'Parámetros Proyección'!$F$12</f>
        <v/>
      </c>
      <c r="N237" s="35">
        <f>L237+M237</f>
        <v/>
      </c>
      <c r="O237" s="35">
        <f>IF((N237/AI237&gt;'Parámetros Proyección'!$G$12),0,D237*'Parámetros Proyección'!$G$12/(IF((H237/AI237&gt;'Parámetros Proyección'!$G$11),0,'Parámetros Proyección'!$G$11)+IF((N237/AI237&gt;'Parámetros Proyección'!$G$12),0,'Parámetros Proyección'!$G$12)+IF((T237/AI237&gt;'Parámetros Proyección'!$G$13),0,'Parámetros Proyección'!$G$13)+IF((Z237/AI237&gt;'Parámetros Proyección'!$G$14),0,'Parámetros Proyección'!$G$14)+IF((AF237/AI237&gt;'Parámetros Proyección'!$G$15),0,'Parámetros Proyección'!$G$15)))</f>
        <v/>
      </c>
      <c r="P237" s="35">
        <f>N237+O237</f>
        <v/>
      </c>
      <c r="Q237" s="35">
        <f>V236</f>
        <v/>
      </c>
      <c r="R237" s="35">
        <f>Q237*(1+'Parámetros Proyección'!$E$13)</f>
        <v/>
      </c>
      <c r="S237" s="35">
        <f>R237*'Parámetros Proyección'!$F$13</f>
        <v/>
      </c>
      <c r="T237" s="35">
        <f>R237+S237</f>
        <v/>
      </c>
      <c r="U237" s="35">
        <f>IF((T237/AI237&gt;'Parámetros Proyección'!$G$13),0,D237*'Parámetros Proyección'!$G$13/(IF((H237/AI237&gt;'Parámetros Proyección'!$G$11),0,'Parámetros Proyección'!$G$11)+IF((N237/AI237&gt;'Parámetros Proyección'!$G$12),0,'Parámetros Proyección'!$G$12)+IF((T237/AI237&gt;'Parámetros Proyección'!$G$13),0,'Parámetros Proyección'!$G$13)+IF((Z237/AI237&gt;'Parámetros Proyección'!$G$14),0,'Parámetros Proyección'!$G$14)+IF((AF237/AI237&gt;'Parámetros Proyección'!$G$15),0,'Parámetros Proyección'!$G$15)))</f>
        <v/>
      </c>
      <c r="V237" s="35">
        <f>T237+U237</f>
        <v/>
      </c>
      <c r="W237" s="35">
        <f>AB236</f>
        <v/>
      </c>
      <c r="X237" s="35">
        <f>W237*(1+'Parámetros Proyección'!$E$14)</f>
        <v/>
      </c>
      <c r="Y237" s="35">
        <f>X237*'Parámetros Proyección'!$F$14</f>
        <v/>
      </c>
      <c r="Z237" s="35">
        <f>X237+Y237</f>
        <v/>
      </c>
      <c r="AA237" s="35">
        <f>IF((Z237/AI237&gt;'Parámetros Proyección'!$G$14),0,D237*'Parámetros Proyección'!$G$14/(IF((H237/AI237&gt;'Parámetros Proyección'!$G$11),0,'Parámetros Proyección'!$G$11)+IF((N237/AI237&gt;'Parámetros Proyección'!$G$12),0,'Parámetros Proyección'!$G$12)+IF((T237/AI237&gt;'Parámetros Proyección'!$G$13),0,'Parámetros Proyección'!$G$13)+IF((Z237/AI237&gt;'Parámetros Proyección'!$G$14),0,'Parámetros Proyección'!$G$14)+IF((AF237/AI237&gt;'Parámetros Proyección'!$G$15),0,'Parámetros Proyección'!$G$15)))</f>
        <v/>
      </c>
      <c r="AB237" s="35">
        <f>Z237+AA237</f>
        <v/>
      </c>
      <c r="AC237" s="35">
        <f>AH236</f>
        <v/>
      </c>
      <c r="AD237" s="35">
        <f>AC237*(1+'Parámetros Proyección'!$E$15)</f>
        <v/>
      </c>
      <c r="AE237" s="35">
        <f>AD237*'Parámetros Proyección'!$F$15</f>
        <v/>
      </c>
      <c r="AF237" s="35">
        <f>AD237+AE237</f>
        <v/>
      </c>
      <c r="AG237" s="35">
        <f>IF((AF237/AI237&gt;'Parámetros Proyección'!$G$15),0,D237*'Parámetros Proyección'!$G$15/(IF((H237/AI237&gt;'Parámetros Proyección'!$G$11),0,'Parámetros Proyección'!$G$11)+IF((N237/AI237&gt;'Parámetros Proyección'!$G$12),0,'Parámetros Proyección'!$G$12)+IF((T237/AI237&gt;'Parámetros Proyección'!$G$13),0,'Parámetros Proyección'!$G$13)+IF((Z237/AI237&gt;'Parámetros Proyección'!$G$14),0,'Parámetros Proyección'!$G$14)+IF((AF237/AI237&gt;'Parámetros Proyección'!$G$15),0,'Parámetros Proyección'!$G$15)))</f>
        <v/>
      </c>
      <c r="AH237" s="35">
        <f>AF237+AG237</f>
        <v/>
      </c>
      <c r="AI237" s="35">
        <f>H237+N237+T237+Z237+AF237</f>
        <v/>
      </c>
      <c r="AJ237" s="33">
        <f>AF237/AI237</f>
        <v/>
      </c>
      <c r="AK237">
        <f>IF(AJ237&gt;'Parámetros Proyección'!$B$5,1,0)</f>
        <v/>
      </c>
      <c r="AL237" s="35">
        <f>G237+M237+S237+Y237+AE237</f>
        <v/>
      </c>
      <c r="AM237" s="35">
        <f>AM236+D237</f>
        <v/>
      </c>
      <c r="AN237" s="35">
        <f>AN236+AL237</f>
        <v/>
      </c>
      <c r="AO237" s="35">
        <f>J237+P237+V237+AB237+AH237</f>
        <v/>
      </c>
    </row>
    <row r="238">
      <c r="A238" t="n">
        <v>235</v>
      </c>
      <c r="B238" s="34">
        <f>EDATE(B237,1)</f>
        <v/>
      </c>
      <c r="C238">
        <f>YEAR(B238)</f>
        <v/>
      </c>
      <c r="D238" s="35">
        <f>'Parámetros Proyección'!$B$3*(1+'Parámetros Proyección'!$B$4)^(C238-YEAR('Parámetros Proyección'!$B$6))</f>
        <v/>
      </c>
      <c r="E238" s="35">
        <f>J237</f>
        <v/>
      </c>
      <c r="F238" s="35">
        <f>E238*(1+'Parámetros Proyección'!$E$11)</f>
        <v/>
      </c>
      <c r="G238" s="35">
        <f>F238*'Parámetros Proyección'!$F$11</f>
        <v/>
      </c>
      <c r="H238" s="35">
        <f>F238+G238</f>
        <v/>
      </c>
      <c r="I238" s="35">
        <f>IF((H238/AI238&gt;'Parámetros Proyección'!$G$11),0,D238*'Parámetros Proyección'!$G$11/(IF((H238/AI238&gt;'Parámetros Proyección'!$G$11),0,'Parámetros Proyección'!$G$11)+IF((N238/AI238&gt;'Parámetros Proyección'!$G$12),0,'Parámetros Proyección'!$G$12)+IF((T238/AI238&gt;'Parámetros Proyección'!$G$13),0,'Parámetros Proyección'!$G$13)+IF((Z238/AI238&gt;'Parámetros Proyección'!$G$14),0,'Parámetros Proyección'!$G$14)+IF((AF238/AI238&gt;'Parámetros Proyección'!$G$15),0,'Parámetros Proyección'!$G$15)))</f>
        <v/>
      </c>
      <c r="J238" s="35">
        <f>H238+I238</f>
        <v/>
      </c>
      <c r="K238" s="35">
        <f>P237</f>
        <v/>
      </c>
      <c r="L238" s="35">
        <f>K238*(1+'Parámetros Proyección'!$E$12)</f>
        <v/>
      </c>
      <c r="M238" s="35">
        <f>L238*'Parámetros Proyección'!$F$12</f>
        <v/>
      </c>
      <c r="N238" s="35">
        <f>L238+M238</f>
        <v/>
      </c>
      <c r="O238" s="35">
        <f>IF((N238/AI238&gt;'Parámetros Proyección'!$G$12),0,D238*'Parámetros Proyección'!$G$12/(IF((H238/AI238&gt;'Parámetros Proyección'!$G$11),0,'Parámetros Proyección'!$G$11)+IF((N238/AI238&gt;'Parámetros Proyección'!$G$12),0,'Parámetros Proyección'!$G$12)+IF((T238/AI238&gt;'Parámetros Proyección'!$G$13),0,'Parámetros Proyección'!$G$13)+IF((Z238/AI238&gt;'Parámetros Proyección'!$G$14),0,'Parámetros Proyección'!$G$14)+IF((AF238/AI238&gt;'Parámetros Proyección'!$G$15),0,'Parámetros Proyección'!$G$15)))</f>
        <v/>
      </c>
      <c r="P238" s="35">
        <f>N238+O238</f>
        <v/>
      </c>
      <c r="Q238" s="35">
        <f>V237</f>
        <v/>
      </c>
      <c r="R238" s="35">
        <f>Q238*(1+'Parámetros Proyección'!$E$13)</f>
        <v/>
      </c>
      <c r="S238" s="35">
        <f>R238*'Parámetros Proyección'!$F$13</f>
        <v/>
      </c>
      <c r="T238" s="35">
        <f>R238+S238</f>
        <v/>
      </c>
      <c r="U238" s="35">
        <f>IF((T238/AI238&gt;'Parámetros Proyección'!$G$13),0,D238*'Parámetros Proyección'!$G$13/(IF((H238/AI238&gt;'Parámetros Proyección'!$G$11),0,'Parámetros Proyección'!$G$11)+IF((N238/AI238&gt;'Parámetros Proyección'!$G$12),0,'Parámetros Proyección'!$G$12)+IF((T238/AI238&gt;'Parámetros Proyección'!$G$13),0,'Parámetros Proyección'!$G$13)+IF((Z238/AI238&gt;'Parámetros Proyección'!$G$14),0,'Parámetros Proyección'!$G$14)+IF((AF238/AI238&gt;'Parámetros Proyección'!$G$15),0,'Parámetros Proyección'!$G$15)))</f>
        <v/>
      </c>
      <c r="V238" s="35">
        <f>T238+U238</f>
        <v/>
      </c>
      <c r="W238" s="35">
        <f>AB237</f>
        <v/>
      </c>
      <c r="X238" s="35">
        <f>W238*(1+'Parámetros Proyección'!$E$14)</f>
        <v/>
      </c>
      <c r="Y238" s="35">
        <f>X238*'Parámetros Proyección'!$F$14</f>
        <v/>
      </c>
      <c r="Z238" s="35">
        <f>X238+Y238</f>
        <v/>
      </c>
      <c r="AA238" s="35">
        <f>IF((Z238/AI238&gt;'Parámetros Proyección'!$G$14),0,D238*'Parámetros Proyección'!$G$14/(IF((H238/AI238&gt;'Parámetros Proyección'!$G$11),0,'Parámetros Proyección'!$G$11)+IF((N238/AI238&gt;'Parámetros Proyección'!$G$12),0,'Parámetros Proyección'!$G$12)+IF((T238/AI238&gt;'Parámetros Proyección'!$G$13),0,'Parámetros Proyección'!$G$13)+IF((Z238/AI238&gt;'Parámetros Proyección'!$G$14),0,'Parámetros Proyección'!$G$14)+IF((AF238/AI238&gt;'Parámetros Proyección'!$G$15),0,'Parámetros Proyección'!$G$15)))</f>
        <v/>
      </c>
      <c r="AB238" s="35">
        <f>Z238+AA238</f>
        <v/>
      </c>
      <c r="AC238" s="35">
        <f>AH237</f>
        <v/>
      </c>
      <c r="AD238" s="35">
        <f>AC238*(1+'Parámetros Proyección'!$E$15)</f>
        <v/>
      </c>
      <c r="AE238" s="35">
        <f>AD238*'Parámetros Proyección'!$F$15</f>
        <v/>
      </c>
      <c r="AF238" s="35">
        <f>AD238+AE238</f>
        <v/>
      </c>
      <c r="AG238" s="35">
        <f>IF((AF238/AI238&gt;'Parámetros Proyección'!$G$15),0,D238*'Parámetros Proyección'!$G$15/(IF((H238/AI238&gt;'Parámetros Proyección'!$G$11),0,'Parámetros Proyección'!$G$11)+IF((N238/AI238&gt;'Parámetros Proyección'!$G$12),0,'Parámetros Proyección'!$G$12)+IF((T238/AI238&gt;'Parámetros Proyección'!$G$13),0,'Parámetros Proyección'!$G$13)+IF((Z238/AI238&gt;'Parámetros Proyección'!$G$14),0,'Parámetros Proyección'!$G$14)+IF((AF238/AI238&gt;'Parámetros Proyección'!$G$15),0,'Parámetros Proyección'!$G$15)))</f>
        <v/>
      </c>
      <c r="AH238" s="35">
        <f>AF238+AG238</f>
        <v/>
      </c>
      <c r="AI238" s="35">
        <f>H238+N238+T238+Z238+AF238</f>
        <v/>
      </c>
      <c r="AJ238" s="33">
        <f>AF238/AI238</f>
        <v/>
      </c>
      <c r="AK238">
        <f>IF(AJ238&gt;'Parámetros Proyección'!$B$5,1,0)</f>
        <v/>
      </c>
      <c r="AL238" s="35">
        <f>G238+M238+S238+Y238+AE238</f>
        <v/>
      </c>
      <c r="AM238" s="35">
        <f>AM237+D238</f>
        <v/>
      </c>
      <c r="AN238" s="35">
        <f>AN237+AL238</f>
        <v/>
      </c>
      <c r="AO238" s="35">
        <f>J238+P238+V238+AB238+AH238</f>
        <v/>
      </c>
    </row>
    <row r="239">
      <c r="A239" t="n">
        <v>236</v>
      </c>
      <c r="B239" s="34">
        <f>EDATE(B238,1)</f>
        <v/>
      </c>
      <c r="C239">
        <f>YEAR(B239)</f>
        <v/>
      </c>
      <c r="D239" s="35">
        <f>'Parámetros Proyección'!$B$3*(1+'Parámetros Proyección'!$B$4)^(C239-YEAR('Parámetros Proyección'!$B$6))</f>
        <v/>
      </c>
      <c r="E239" s="35">
        <f>J238</f>
        <v/>
      </c>
      <c r="F239" s="35">
        <f>E239*(1+'Parámetros Proyección'!$E$11)</f>
        <v/>
      </c>
      <c r="G239" s="35">
        <f>F239*'Parámetros Proyección'!$F$11</f>
        <v/>
      </c>
      <c r="H239" s="35">
        <f>F239+G239</f>
        <v/>
      </c>
      <c r="I239" s="35">
        <f>IF((H239/AI239&gt;'Parámetros Proyección'!$G$11),0,D239*'Parámetros Proyección'!$G$11/(IF((H239/AI239&gt;'Parámetros Proyección'!$G$11),0,'Parámetros Proyección'!$G$11)+IF((N239/AI239&gt;'Parámetros Proyección'!$G$12),0,'Parámetros Proyección'!$G$12)+IF((T239/AI239&gt;'Parámetros Proyección'!$G$13),0,'Parámetros Proyección'!$G$13)+IF((Z239/AI239&gt;'Parámetros Proyección'!$G$14),0,'Parámetros Proyección'!$G$14)+IF((AF239/AI239&gt;'Parámetros Proyección'!$G$15),0,'Parámetros Proyección'!$G$15)))</f>
        <v/>
      </c>
      <c r="J239" s="35">
        <f>H239+I239</f>
        <v/>
      </c>
      <c r="K239" s="35">
        <f>P238</f>
        <v/>
      </c>
      <c r="L239" s="35">
        <f>K239*(1+'Parámetros Proyección'!$E$12)</f>
        <v/>
      </c>
      <c r="M239" s="35">
        <f>L239*'Parámetros Proyección'!$F$12</f>
        <v/>
      </c>
      <c r="N239" s="35">
        <f>L239+M239</f>
        <v/>
      </c>
      <c r="O239" s="35">
        <f>IF((N239/AI239&gt;'Parámetros Proyección'!$G$12),0,D239*'Parámetros Proyección'!$G$12/(IF((H239/AI239&gt;'Parámetros Proyección'!$G$11),0,'Parámetros Proyección'!$G$11)+IF((N239/AI239&gt;'Parámetros Proyección'!$G$12),0,'Parámetros Proyección'!$G$12)+IF((T239/AI239&gt;'Parámetros Proyección'!$G$13),0,'Parámetros Proyección'!$G$13)+IF((Z239/AI239&gt;'Parámetros Proyección'!$G$14),0,'Parámetros Proyección'!$G$14)+IF((AF239/AI239&gt;'Parámetros Proyección'!$G$15),0,'Parámetros Proyección'!$G$15)))</f>
        <v/>
      </c>
      <c r="P239" s="35">
        <f>N239+O239</f>
        <v/>
      </c>
      <c r="Q239" s="35">
        <f>V238</f>
        <v/>
      </c>
      <c r="R239" s="35">
        <f>Q239*(1+'Parámetros Proyección'!$E$13)</f>
        <v/>
      </c>
      <c r="S239" s="35">
        <f>R239*'Parámetros Proyección'!$F$13</f>
        <v/>
      </c>
      <c r="T239" s="35">
        <f>R239+S239</f>
        <v/>
      </c>
      <c r="U239" s="35">
        <f>IF((T239/AI239&gt;'Parámetros Proyección'!$G$13),0,D239*'Parámetros Proyección'!$G$13/(IF((H239/AI239&gt;'Parámetros Proyección'!$G$11),0,'Parámetros Proyección'!$G$11)+IF((N239/AI239&gt;'Parámetros Proyección'!$G$12),0,'Parámetros Proyección'!$G$12)+IF((T239/AI239&gt;'Parámetros Proyección'!$G$13),0,'Parámetros Proyección'!$G$13)+IF((Z239/AI239&gt;'Parámetros Proyección'!$G$14),0,'Parámetros Proyección'!$G$14)+IF((AF239/AI239&gt;'Parámetros Proyección'!$G$15),0,'Parámetros Proyección'!$G$15)))</f>
        <v/>
      </c>
      <c r="V239" s="35">
        <f>T239+U239</f>
        <v/>
      </c>
      <c r="W239" s="35">
        <f>AB238</f>
        <v/>
      </c>
      <c r="X239" s="35">
        <f>W239*(1+'Parámetros Proyección'!$E$14)</f>
        <v/>
      </c>
      <c r="Y239" s="35">
        <f>X239*'Parámetros Proyección'!$F$14</f>
        <v/>
      </c>
      <c r="Z239" s="35">
        <f>X239+Y239</f>
        <v/>
      </c>
      <c r="AA239" s="35">
        <f>IF((Z239/AI239&gt;'Parámetros Proyección'!$G$14),0,D239*'Parámetros Proyección'!$G$14/(IF((H239/AI239&gt;'Parámetros Proyección'!$G$11),0,'Parámetros Proyección'!$G$11)+IF((N239/AI239&gt;'Parámetros Proyección'!$G$12),0,'Parámetros Proyección'!$G$12)+IF((T239/AI239&gt;'Parámetros Proyección'!$G$13),0,'Parámetros Proyección'!$G$13)+IF((Z239/AI239&gt;'Parámetros Proyección'!$G$14),0,'Parámetros Proyección'!$G$14)+IF((AF239/AI239&gt;'Parámetros Proyección'!$G$15),0,'Parámetros Proyección'!$G$15)))</f>
        <v/>
      </c>
      <c r="AB239" s="35">
        <f>Z239+AA239</f>
        <v/>
      </c>
      <c r="AC239" s="35">
        <f>AH238</f>
        <v/>
      </c>
      <c r="AD239" s="35">
        <f>AC239*(1+'Parámetros Proyección'!$E$15)</f>
        <v/>
      </c>
      <c r="AE239" s="35">
        <f>AD239*'Parámetros Proyección'!$F$15</f>
        <v/>
      </c>
      <c r="AF239" s="35">
        <f>AD239+AE239</f>
        <v/>
      </c>
      <c r="AG239" s="35">
        <f>IF((AF239/AI239&gt;'Parámetros Proyección'!$G$15),0,D239*'Parámetros Proyección'!$G$15/(IF((H239/AI239&gt;'Parámetros Proyección'!$G$11),0,'Parámetros Proyección'!$G$11)+IF((N239/AI239&gt;'Parámetros Proyección'!$G$12),0,'Parámetros Proyección'!$G$12)+IF((T239/AI239&gt;'Parámetros Proyección'!$G$13),0,'Parámetros Proyección'!$G$13)+IF((Z239/AI239&gt;'Parámetros Proyección'!$G$14),0,'Parámetros Proyección'!$G$14)+IF((AF239/AI239&gt;'Parámetros Proyección'!$G$15),0,'Parámetros Proyección'!$G$15)))</f>
        <v/>
      </c>
      <c r="AH239" s="35">
        <f>AF239+AG239</f>
        <v/>
      </c>
      <c r="AI239" s="35">
        <f>H239+N239+T239+Z239+AF239</f>
        <v/>
      </c>
      <c r="AJ239" s="33">
        <f>AF239/AI239</f>
        <v/>
      </c>
      <c r="AK239">
        <f>IF(AJ239&gt;'Parámetros Proyección'!$B$5,1,0)</f>
        <v/>
      </c>
      <c r="AL239" s="35">
        <f>G239+M239+S239+Y239+AE239</f>
        <v/>
      </c>
      <c r="AM239" s="35">
        <f>AM238+D239</f>
        <v/>
      </c>
      <c r="AN239" s="35">
        <f>AN238+AL239</f>
        <v/>
      </c>
      <c r="AO239" s="35">
        <f>J239+P239+V239+AB239+AH239</f>
        <v/>
      </c>
    </row>
    <row r="240">
      <c r="A240" t="n">
        <v>237</v>
      </c>
      <c r="B240" s="34">
        <f>EDATE(B239,1)</f>
        <v/>
      </c>
      <c r="C240">
        <f>YEAR(B240)</f>
        <v/>
      </c>
      <c r="D240" s="35">
        <f>'Parámetros Proyección'!$B$3*(1+'Parámetros Proyección'!$B$4)^(C240-YEAR('Parámetros Proyección'!$B$6))</f>
        <v/>
      </c>
      <c r="E240" s="35">
        <f>J239</f>
        <v/>
      </c>
      <c r="F240" s="35">
        <f>E240*(1+'Parámetros Proyección'!$E$11)</f>
        <v/>
      </c>
      <c r="G240" s="35">
        <f>F240*'Parámetros Proyección'!$F$11</f>
        <v/>
      </c>
      <c r="H240" s="35">
        <f>F240+G240</f>
        <v/>
      </c>
      <c r="I240" s="35">
        <f>IF((H240/AI240&gt;'Parámetros Proyección'!$G$11),0,D240*'Parámetros Proyección'!$G$11/(IF((H240/AI240&gt;'Parámetros Proyección'!$G$11),0,'Parámetros Proyección'!$G$11)+IF((N240/AI240&gt;'Parámetros Proyección'!$G$12),0,'Parámetros Proyección'!$G$12)+IF((T240/AI240&gt;'Parámetros Proyección'!$G$13),0,'Parámetros Proyección'!$G$13)+IF((Z240/AI240&gt;'Parámetros Proyección'!$G$14),0,'Parámetros Proyección'!$G$14)+IF((AF240/AI240&gt;'Parámetros Proyección'!$G$15),0,'Parámetros Proyección'!$G$15)))</f>
        <v/>
      </c>
      <c r="J240" s="35">
        <f>H240+I240</f>
        <v/>
      </c>
      <c r="K240" s="35">
        <f>P239</f>
        <v/>
      </c>
      <c r="L240" s="35">
        <f>K240*(1+'Parámetros Proyección'!$E$12)</f>
        <v/>
      </c>
      <c r="M240" s="35">
        <f>L240*'Parámetros Proyección'!$F$12</f>
        <v/>
      </c>
      <c r="N240" s="35">
        <f>L240+M240</f>
        <v/>
      </c>
      <c r="O240" s="35">
        <f>IF((N240/AI240&gt;'Parámetros Proyección'!$G$12),0,D240*'Parámetros Proyección'!$G$12/(IF((H240/AI240&gt;'Parámetros Proyección'!$G$11),0,'Parámetros Proyección'!$G$11)+IF((N240/AI240&gt;'Parámetros Proyección'!$G$12),0,'Parámetros Proyección'!$G$12)+IF((T240/AI240&gt;'Parámetros Proyección'!$G$13),0,'Parámetros Proyección'!$G$13)+IF((Z240/AI240&gt;'Parámetros Proyección'!$G$14),0,'Parámetros Proyección'!$G$14)+IF((AF240/AI240&gt;'Parámetros Proyección'!$G$15),0,'Parámetros Proyección'!$G$15)))</f>
        <v/>
      </c>
      <c r="P240" s="35">
        <f>N240+O240</f>
        <v/>
      </c>
      <c r="Q240" s="35">
        <f>V239</f>
        <v/>
      </c>
      <c r="R240" s="35">
        <f>Q240*(1+'Parámetros Proyección'!$E$13)</f>
        <v/>
      </c>
      <c r="S240" s="35">
        <f>R240*'Parámetros Proyección'!$F$13</f>
        <v/>
      </c>
      <c r="T240" s="35">
        <f>R240+S240</f>
        <v/>
      </c>
      <c r="U240" s="35">
        <f>IF((T240/AI240&gt;'Parámetros Proyección'!$G$13),0,D240*'Parámetros Proyección'!$G$13/(IF((H240/AI240&gt;'Parámetros Proyección'!$G$11),0,'Parámetros Proyección'!$G$11)+IF((N240/AI240&gt;'Parámetros Proyección'!$G$12),0,'Parámetros Proyección'!$G$12)+IF((T240/AI240&gt;'Parámetros Proyección'!$G$13),0,'Parámetros Proyección'!$G$13)+IF((Z240/AI240&gt;'Parámetros Proyección'!$G$14),0,'Parámetros Proyección'!$G$14)+IF((AF240/AI240&gt;'Parámetros Proyección'!$G$15),0,'Parámetros Proyección'!$G$15)))</f>
        <v/>
      </c>
      <c r="V240" s="35">
        <f>T240+U240</f>
        <v/>
      </c>
      <c r="W240" s="35">
        <f>AB239</f>
        <v/>
      </c>
      <c r="X240" s="35">
        <f>W240*(1+'Parámetros Proyección'!$E$14)</f>
        <v/>
      </c>
      <c r="Y240" s="35">
        <f>X240*'Parámetros Proyección'!$F$14</f>
        <v/>
      </c>
      <c r="Z240" s="35">
        <f>X240+Y240</f>
        <v/>
      </c>
      <c r="AA240" s="35">
        <f>IF((Z240/AI240&gt;'Parámetros Proyección'!$G$14),0,D240*'Parámetros Proyección'!$G$14/(IF((H240/AI240&gt;'Parámetros Proyección'!$G$11),0,'Parámetros Proyección'!$G$11)+IF((N240/AI240&gt;'Parámetros Proyección'!$G$12),0,'Parámetros Proyección'!$G$12)+IF((T240/AI240&gt;'Parámetros Proyección'!$G$13),0,'Parámetros Proyección'!$G$13)+IF((Z240/AI240&gt;'Parámetros Proyección'!$G$14),0,'Parámetros Proyección'!$G$14)+IF((AF240/AI240&gt;'Parámetros Proyección'!$G$15),0,'Parámetros Proyección'!$G$15)))</f>
        <v/>
      </c>
      <c r="AB240" s="35">
        <f>Z240+AA240</f>
        <v/>
      </c>
      <c r="AC240" s="35">
        <f>AH239</f>
        <v/>
      </c>
      <c r="AD240" s="35">
        <f>AC240*(1+'Parámetros Proyección'!$E$15)</f>
        <v/>
      </c>
      <c r="AE240" s="35">
        <f>AD240*'Parámetros Proyección'!$F$15</f>
        <v/>
      </c>
      <c r="AF240" s="35">
        <f>AD240+AE240</f>
        <v/>
      </c>
      <c r="AG240" s="35">
        <f>IF((AF240/AI240&gt;'Parámetros Proyección'!$G$15),0,D240*'Parámetros Proyección'!$G$15/(IF((H240/AI240&gt;'Parámetros Proyección'!$G$11),0,'Parámetros Proyección'!$G$11)+IF((N240/AI240&gt;'Parámetros Proyección'!$G$12),0,'Parámetros Proyección'!$G$12)+IF((T240/AI240&gt;'Parámetros Proyección'!$G$13),0,'Parámetros Proyección'!$G$13)+IF((Z240/AI240&gt;'Parámetros Proyección'!$G$14),0,'Parámetros Proyección'!$G$14)+IF((AF240/AI240&gt;'Parámetros Proyección'!$G$15),0,'Parámetros Proyección'!$G$15)))</f>
        <v/>
      </c>
      <c r="AH240" s="35">
        <f>AF240+AG240</f>
        <v/>
      </c>
      <c r="AI240" s="35">
        <f>H240+N240+T240+Z240+AF240</f>
        <v/>
      </c>
      <c r="AJ240" s="33">
        <f>AF240/AI240</f>
        <v/>
      </c>
      <c r="AK240">
        <f>IF(AJ240&gt;'Parámetros Proyección'!$B$5,1,0)</f>
        <v/>
      </c>
      <c r="AL240" s="35">
        <f>G240+M240+S240+Y240+AE240</f>
        <v/>
      </c>
      <c r="AM240" s="35">
        <f>AM239+D240</f>
        <v/>
      </c>
      <c r="AN240" s="35">
        <f>AN239+AL240</f>
        <v/>
      </c>
      <c r="AO240" s="35">
        <f>J240+P240+V240+AB240+AH240</f>
        <v/>
      </c>
    </row>
    <row r="241">
      <c r="A241" t="n">
        <v>238</v>
      </c>
      <c r="B241" s="34">
        <f>EDATE(B240,1)</f>
        <v/>
      </c>
      <c r="C241">
        <f>YEAR(B241)</f>
        <v/>
      </c>
      <c r="D241" s="35">
        <f>'Parámetros Proyección'!$B$3*(1+'Parámetros Proyección'!$B$4)^(C241-YEAR('Parámetros Proyección'!$B$6))</f>
        <v/>
      </c>
      <c r="E241" s="35">
        <f>J240</f>
        <v/>
      </c>
      <c r="F241" s="35">
        <f>E241*(1+'Parámetros Proyección'!$E$11)</f>
        <v/>
      </c>
      <c r="G241" s="35">
        <f>F241*'Parámetros Proyección'!$F$11</f>
        <v/>
      </c>
      <c r="H241" s="35">
        <f>F241+G241</f>
        <v/>
      </c>
      <c r="I241" s="35">
        <f>IF((H241/AI241&gt;'Parámetros Proyección'!$G$11),0,D241*'Parámetros Proyección'!$G$11/(IF((H241/AI241&gt;'Parámetros Proyección'!$G$11),0,'Parámetros Proyección'!$G$11)+IF((N241/AI241&gt;'Parámetros Proyección'!$G$12),0,'Parámetros Proyección'!$G$12)+IF((T241/AI241&gt;'Parámetros Proyección'!$G$13),0,'Parámetros Proyección'!$G$13)+IF((Z241/AI241&gt;'Parámetros Proyección'!$G$14),0,'Parámetros Proyección'!$G$14)+IF((AF241/AI241&gt;'Parámetros Proyección'!$G$15),0,'Parámetros Proyección'!$G$15)))</f>
        <v/>
      </c>
      <c r="J241" s="35">
        <f>H241+I241</f>
        <v/>
      </c>
      <c r="K241" s="35">
        <f>P240</f>
        <v/>
      </c>
      <c r="L241" s="35">
        <f>K241*(1+'Parámetros Proyección'!$E$12)</f>
        <v/>
      </c>
      <c r="M241" s="35">
        <f>L241*'Parámetros Proyección'!$F$12</f>
        <v/>
      </c>
      <c r="N241" s="35">
        <f>L241+M241</f>
        <v/>
      </c>
      <c r="O241" s="35">
        <f>IF((N241/AI241&gt;'Parámetros Proyección'!$G$12),0,D241*'Parámetros Proyección'!$G$12/(IF((H241/AI241&gt;'Parámetros Proyección'!$G$11),0,'Parámetros Proyección'!$G$11)+IF((N241/AI241&gt;'Parámetros Proyección'!$G$12),0,'Parámetros Proyección'!$G$12)+IF((T241/AI241&gt;'Parámetros Proyección'!$G$13),0,'Parámetros Proyección'!$G$13)+IF((Z241/AI241&gt;'Parámetros Proyección'!$G$14),0,'Parámetros Proyección'!$G$14)+IF((AF241/AI241&gt;'Parámetros Proyección'!$G$15),0,'Parámetros Proyección'!$G$15)))</f>
        <v/>
      </c>
      <c r="P241" s="35">
        <f>N241+O241</f>
        <v/>
      </c>
      <c r="Q241" s="35">
        <f>V240</f>
        <v/>
      </c>
      <c r="R241" s="35">
        <f>Q241*(1+'Parámetros Proyección'!$E$13)</f>
        <v/>
      </c>
      <c r="S241" s="35">
        <f>R241*'Parámetros Proyección'!$F$13</f>
        <v/>
      </c>
      <c r="T241" s="35">
        <f>R241+S241</f>
        <v/>
      </c>
      <c r="U241" s="35">
        <f>IF((T241/AI241&gt;'Parámetros Proyección'!$G$13),0,D241*'Parámetros Proyección'!$G$13/(IF((H241/AI241&gt;'Parámetros Proyección'!$G$11),0,'Parámetros Proyección'!$G$11)+IF((N241/AI241&gt;'Parámetros Proyección'!$G$12),0,'Parámetros Proyección'!$G$12)+IF((T241/AI241&gt;'Parámetros Proyección'!$G$13),0,'Parámetros Proyección'!$G$13)+IF((Z241/AI241&gt;'Parámetros Proyección'!$G$14),0,'Parámetros Proyección'!$G$14)+IF((AF241/AI241&gt;'Parámetros Proyección'!$G$15),0,'Parámetros Proyección'!$G$15)))</f>
        <v/>
      </c>
      <c r="V241" s="35">
        <f>T241+U241</f>
        <v/>
      </c>
      <c r="W241" s="35">
        <f>AB240</f>
        <v/>
      </c>
      <c r="X241" s="35">
        <f>W241*(1+'Parámetros Proyección'!$E$14)</f>
        <v/>
      </c>
      <c r="Y241" s="35">
        <f>X241*'Parámetros Proyección'!$F$14</f>
        <v/>
      </c>
      <c r="Z241" s="35">
        <f>X241+Y241</f>
        <v/>
      </c>
      <c r="AA241" s="35">
        <f>IF((Z241/AI241&gt;'Parámetros Proyección'!$G$14),0,D241*'Parámetros Proyección'!$G$14/(IF((H241/AI241&gt;'Parámetros Proyección'!$G$11),0,'Parámetros Proyección'!$G$11)+IF((N241/AI241&gt;'Parámetros Proyección'!$G$12),0,'Parámetros Proyección'!$G$12)+IF((T241/AI241&gt;'Parámetros Proyección'!$G$13),0,'Parámetros Proyección'!$G$13)+IF((Z241/AI241&gt;'Parámetros Proyección'!$G$14),0,'Parámetros Proyección'!$G$14)+IF((AF241/AI241&gt;'Parámetros Proyección'!$G$15),0,'Parámetros Proyección'!$G$15)))</f>
        <v/>
      </c>
      <c r="AB241" s="35">
        <f>Z241+AA241</f>
        <v/>
      </c>
      <c r="AC241" s="35">
        <f>AH240</f>
        <v/>
      </c>
      <c r="AD241" s="35">
        <f>AC241*(1+'Parámetros Proyección'!$E$15)</f>
        <v/>
      </c>
      <c r="AE241" s="35">
        <f>AD241*'Parámetros Proyección'!$F$15</f>
        <v/>
      </c>
      <c r="AF241" s="35">
        <f>AD241+AE241</f>
        <v/>
      </c>
      <c r="AG241" s="35">
        <f>IF((AF241/AI241&gt;'Parámetros Proyección'!$G$15),0,D241*'Parámetros Proyección'!$G$15/(IF((H241/AI241&gt;'Parámetros Proyección'!$G$11),0,'Parámetros Proyección'!$G$11)+IF((N241/AI241&gt;'Parámetros Proyección'!$G$12),0,'Parámetros Proyección'!$G$12)+IF((T241/AI241&gt;'Parámetros Proyección'!$G$13),0,'Parámetros Proyección'!$G$13)+IF((Z241/AI241&gt;'Parámetros Proyección'!$G$14),0,'Parámetros Proyección'!$G$14)+IF((AF241/AI241&gt;'Parámetros Proyección'!$G$15),0,'Parámetros Proyección'!$G$15)))</f>
        <v/>
      </c>
      <c r="AH241" s="35">
        <f>AF241+AG241</f>
        <v/>
      </c>
      <c r="AI241" s="35">
        <f>H241+N241+T241+Z241+AF241</f>
        <v/>
      </c>
      <c r="AJ241" s="33">
        <f>AF241/AI241</f>
        <v/>
      </c>
      <c r="AK241">
        <f>IF(AJ241&gt;'Parámetros Proyección'!$B$5,1,0)</f>
        <v/>
      </c>
      <c r="AL241" s="35">
        <f>G241+M241+S241+Y241+AE241</f>
        <v/>
      </c>
      <c r="AM241" s="35">
        <f>AM240+D241</f>
        <v/>
      </c>
      <c r="AN241" s="35">
        <f>AN240+AL241</f>
        <v/>
      </c>
      <c r="AO241" s="35">
        <f>J241+P241+V241+AB241+AH241</f>
        <v/>
      </c>
    </row>
    <row r="242">
      <c r="A242" t="n">
        <v>239</v>
      </c>
      <c r="B242" s="34">
        <f>EDATE(B241,1)</f>
        <v/>
      </c>
      <c r="C242">
        <f>YEAR(B242)</f>
        <v/>
      </c>
      <c r="D242" s="35">
        <f>'Parámetros Proyección'!$B$3*(1+'Parámetros Proyección'!$B$4)^(C242-YEAR('Parámetros Proyección'!$B$6))</f>
        <v/>
      </c>
      <c r="E242" s="35">
        <f>J241</f>
        <v/>
      </c>
      <c r="F242" s="35">
        <f>E242*(1+'Parámetros Proyección'!$E$11)</f>
        <v/>
      </c>
      <c r="G242" s="35">
        <f>F242*'Parámetros Proyección'!$F$11</f>
        <v/>
      </c>
      <c r="H242" s="35">
        <f>F242+G242</f>
        <v/>
      </c>
      <c r="I242" s="35">
        <f>IF((H242/AI242&gt;'Parámetros Proyección'!$G$11),0,D242*'Parámetros Proyección'!$G$11/(IF((H242/AI242&gt;'Parámetros Proyección'!$G$11),0,'Parámetros Proyección'!$G$11)+IF((N242/AI242&gt;'Parámetros Proyección'!$G$12),0,'Parámetros Proyección'!$G$12)+IF((T242/AI242&gt;'Parámetros Proyección'!$G$13),0,'Parámetros Proyección'!$G$13)+IF((Z242/AI242&gt;'Parámetros Proyección'!$G$14),0,'Parámetros Proyección'!$G$14)+IF((AF242/AI242&gt;'Parámetros Proyección'!$G$15),0,'Parámetros Proyección'!$G$15)))</f>
        <v/>
      </c>
      <c r="J242" s="35">
        <f>H242+I242</f>
        <v/>
      </c>
      <c r="K242" s="35">
        <f>P241</f>
        <v/>
      </c>
      <c r="L242" s="35">
        <f>K242*(1+'Parámetros Proyección'!$E$12)</f>
        <v/>
      </c>
      <c r="M242" s="35">
        <f>L242*'Parámetros Proyección'!$F$12</f>
        <v/>
      </c>
      <c r="N242" s="35">
        <f>L242+M242</f>
        <v/>
      </c>
      <c r="O242" s="35">
        <f>IF((N242/AI242&gt;'Parámetros Proyección'!$G$12),0,D242*'Parámetros Proyección'!$G$12/(IF((H242/AI242&gt;'Parámetros Proyección'!$G$11),0,'Parámetros Proyección'!$G$11)+IF((N242/AI242&gt;'Parámetros Proyección'!$G$12),0,'Parámetros Proyección'!$G$12)+IF((T242/AI242&gt;'Parámetros Proyección'!$G$13),0,'Parámetros Proyección'!$G$13)+IF((Z242/AI242&gt;'Parámetros Proyección'!$G$14),0,'Parámetros Proyección'!$G$14)+IF((AF242/AI242&gt;'Parámetros Proyección'!$G$15),0,'Parámetros Proyección'!$G$15)))</f>
        <v/>
      </c>
      <c r="P242" s="35">
        <f>N242+O242</f>
        <v/>
      </c>
      <c r="Q242" s="35">
        <f>V241</f>
        <v/>
      </c>
      <c r="R242" s="35">
        <f>Q242*(1+'Parámetros Proyección'!$E$13)</f>
        <v/>
      </c>
      <c r="S242" s="35">
        <f>R242*'Parámetros Proyección'!$F$13</f>
        <v/>
      </c>
      <c r="T242" s="35">
        <f>R242+S242</f>
        <v/>
      </c>
      <c r="U242" s="35">
        <f>IF((T242/AI242&gt;'Parámetros Proyección'!$G$13),0,D242*'Parámetros Proyección'!$G$13/(IF((H242/AI242&gt;'Parámetros Proyección'!$G$11),0,'Parámetros Proyección'!$G$11)+IF((N242/AI242&gt;'Parámetros Proyección'!$G$12),0,'Parámetros Proyección'!$G$12)+IF((T242/AI242&gt;'Parámetros Proyección'!$G$13),0,'Parámetros Proyección'!$G$13)+IF((Z242/AI242&gt;'Parámetros Proyección'!$G$14),0,'Parámetros Proyección'!$G$14)+IF((AF242/AI242&gt;'Parámetros Proyección'!$G$15),0,'Parámetros Proyección'!$G$15)))</f>
        <v/>
      </c>
      <c r="V242" s="35">
        <f>T242+U242</f>
        <v/>
      </c>
      <c r="W242" s="35">
        <f>AB241</f>
        <v/>
      </c>
      <c r="X242" s="35">
        <f>W242*(1+'Parámetros Proyección'!$E$14)</f>
        <v/>
      </c>
      <c r="Y242" s="35">
        <f>X242*'Parámetros Proyección'!$F$14</f>
        <v/>
      </c>
      <c r="Z242" s="35">
        <f>X242+Y242</f>
        <v/>
      </c>
      <c r="AA242" s="35">
        <f>IF((Z242/AI242&gt;'Parámetros Proyección'!$G$14),0,D242*'Parámetros Proyección'!$G$14/(IF((H242/AI242&gt;'Parámetros Proyección'!$G$11),0,'Parámetros Proyección'!$G$11)+IF((N242/AI242&gt;'Parámetros Proyección'!$G$12),0,'Parámetros Proyección'!$G$12)+IF((T242/AI242&gt;'Parámetros Proyección'!$G$13),0,'Parámetros Proyección'!$G$13)+IF((Z242/AI242&gt;'Parámetros Proyección'!$G$14),0,'Parámetros Proyección'!$G$14)+IF((AF242/AI242&gt;'Parámetros Proyección'!$G$15),0,'Parámetros Proyección'!$G$15)))</f>
        <v/>
      </c>
      <c r="AB242" s="35">
        <f>Z242+AA242</f>
        <v/>
      </c>
      <c r="AC242" s="35">
        <f>AH241</f>
        <v/>
      </c>
      <c r="AD242" s="35">
        <f>AC242*(1+'Parámetros Proyección'!$E$15)</f>
        <v/>
      </c>
      <c r="AE242" s="35">
        <f>AD242*'Parámetros Proyección'!$F$15</f>
        <v/>
      </c>
      <c r="AF242" s="35">
        <f>AD242+AE242</f>
        <v/>
      </c>
      <c r="AG242" s="35">
        <f>IF((AF242/AI242&gt;'Parámetros Proyección'!$G$15),0,D242*'Parámetros Proyección'!$G$15/(IF((H242/AI242&gt;'Parámetros Proyección'!$G$11),0,'Parámetros Proyección'!$G$11)+IF((N242/AI242&gt;'Parámetros Proyección'!$G$12),0,'Parámetros Proyección'!$G$12)+IF((T242/AI242&gt;'Parámetros Proyección'!$G$13),0,'Parámetros Proyección'!$G$13)+IF((Z242/AI242&gt;'Parámetros Proyección'!$G$14),0,'Parámetros Proyección'!$G$14)+IF((AF242/AI242&gt;'Parámetros Proyección'!$G$15),0,'Parámetros Proyección'!$G$15)))</f>
        <v/>
      </c>
      <c r="AH242" s="35">
        <f>AF242+AG242</f>
        <v/>
      </c>
      <c r="AI242" s="35">
        <f>H242+N242+T242+Z242+AF242</f>
        <v/>
      </c>
      <c r="AJ242" s="33">
        <f>AF242/AI242</f>
        <v/>
      </c>
      <c r="AK242">
        <f>IF(AJ242&gt;'Parámetros Proyección'!$B$5,1,0)</f>
        <v/>
      </c>
      <c r="AL242" s="35">
        <f>G242+M242+S242+Y242+AE242</f>
        <v/>
      </c>
      <c r="AM242" s="35">
        <f>AM241+D242</f>
        <v/>
      </c>
      <c r="AN242" s="35">
        <f>AN241+AL242</f>
        <v/>
      </c>
      <c r="AO242" s="35">
        <f>J242+P242+V242+AB242+AH242</f>
        <v/>
      </c>
    </row>
    <row r="243">
      <c r="A243" t="n">
        <v>240</v>
      </c>
      <c r="B243" s="34">
        <f>EDATE(B242,1)</f>
        <v/>
      </c>
      <c r="C243">
        <f>YEAR(B243)</f>
        <v/>
      </c>
      <c r="D243" s="35">
        <f>'Parámetros Proyección'!$B$3*(1+'Parámetros Proyección'!$B$4)^(C243-YEAR('Parámetros Proyección'!$B$6))</f>
        <v/>
      </c>
      <c r="E243" s="35">
        <f>J242</f>
        <v/>
      </c>
      <c r="F243" s="35">
        <f>E243*(1+'Parámetros Proyección'!$E$11)</f>
        <v/>
      </c>
      <c r="G243" s="35">
        <f>F243*'Parámetros Proyección'!$F$11</f>
        <v/>
      </c>
      <c r="H243" s="35">
        <f>F243+G243</f>
        <v/>
      </c>
      <c r="I243" s="35">
        <f>IF((H243/AI243&gt;'Parámetros Proyección'!$G$11),0,D243*'Parámetros Proyección'!$G$11/(IF((H243/AI243&gt;'Parámetros Proyección'!$G$11),0,'Parámetros Proyección'!$G$11)+IF((N243/AI243&gt;'Parámetros Proyección'!$G$12),0,'Parámetros Proyección'!$G$12)+IF((T243/AI243&gt;'Parámetros Proyección'!$G$13),0,'Parámetros Proyección'!$G$13)+IF((Z243/AI243&gt;'Parámetros Proyección'!$G$14),0,'Parámetros Proyección'!$G$14)+IF((AF243/AI243&gt;'Parámetros Proyección'!$G$15),0,'Parámetros Proyección'!$G$15)))</f>
        <v/>
      </c>
      <c r="J243" s="35">
        <f>H243+I243</f>
        <v/>
      </c>
      <c r="K243" s="35">
        <f>P242</f>
        <v/>
      </c>
      <c r="L243" s="35">
        <f>K243*(1+'Parámetros Proyección'!$E$12)</f>
        <v/>
      </c>
      <c r="M243" s="35">
        <f>L243*'Parámetros Proyección'!$F$12</f>
        <v/>
      </c>
      <c r="N243" s="35">
        <f>L243+M243</f>
        <v/>
      </c>
      <c r="O243" s="35">
        <f>IF((N243/AI243&gt;'Parámetros Proyección'!$G$12),0,D243*'Parámetros Proyección'!$G$12/(IF((H243/AI243&gt;'Parámetros Proyección'!$G$11),0,'Parámetros Proyección'!$G$11)+IF((N243/AI243&gt;'Parámetros Proyección'!$G$12),0,'Parámetros Proyección'!$G$12)+IF((T243/AI243&gt;'Parámetros Proyección'!$G$13),0,'Parámetros Proyección'!$G$13)+IF((Z243/AI243&gt;'Parámetros Proyección'!$G$14),0,'Parámetros Proyección'!$G$14)+IF((AF243/AI243&gt;'Parámetros Proyección'!$G$15),0,'Parámetros Proyección'!$G$15)))</f>
        <v/>
      </c>
      <c r="P243" s="35">
        <f>N243+O243</f>
        <v/>
      </c>
      <c r="Q243" s="35">
        <f>V242</f>
        <v/>
      </c>
      <c r="R243" s="35">
        <f>Q243*(1+'Parámetros Proyección'!$E$13)</f>
        <v/>
      </c>
      <c r="S243" s="35">
        <f>R243*'Parámetros Proyección'!$F$13</f>
        <v/>
      </c>
      <c r="T243" s="35">
        <f>R243+S243</f>
        <v/>
      </c>
      <c r="U243" s="35">
        <f>IF((T243/AI243&gt;'Parámetros Proyección'!$G$13),0,D243*'Parámetros Proyección'!$G$13/(IF((H243/AI243&gt;'Parámetros Proyección'!$G$11),0,'Parámetros Proyección'!$G$11)+IF((N243/AI243&gt;'Parámetros Proyección'!$G$12),0,'Parámetros Proyección'!$G$12)+IF((T243/AI243&gt;'Parámetros Proyección'!$G$13),0,'Parámetros Proyección'!$G$13)+IF((Z243/AI243&gt;'Parámetros Proyección'!$G$14),0,'Parámetros Proyección'!$G$14)+IF((AF243/AI243&gt;'Parámetros Proyección'!$G$15),0,'Parámetros Proyección'!$G$15)))</f>
        <v/>
      </c>
      <c r="V243" s="35">
        <f>T243+U243</f>
        <v/>
      </c>
      <c r="W243" s="35">
        <f>AB242</f>
        <v/>
      </c>
      <c r="X243" s="35">
        <f>W243*(1+'Parámetros Proyección'!$E$14)</f>
        <v/>
      </c>
      <c r="Y243" s="35">
        <f>X243*'Parámetros Proyección'!$F$14</f>
        <v/>
      </c>
      <c r="Z243" s="35">
        <f>X243+Y243</f>
        <v/>
      </c>
      <c r="AA243" s="35">
        <f>IF((Z243/AI243&gt;'Parámetros Proyección'!$G$14),0,D243*'Parámetros Proyección'!$G$14/(IF((H243/AI243&gt;'Parámetros Proyección'!$G$11),0,'Parámetros Proyección'!$G$11)+IF((N243/AI243&gt;'Parámetros Proyección'!$G$12),0,'Parámetros Proyección'!$G$12)+IF((T243/AI243&gt;'Parámetros Proyección'!$G$13),0,'Parámetros Proyección'!$G$13)+IF((Z243/AI243&gt;'Parámetros Proyección'!$G$14),0,'Parámetros Proyección'!$G$14)+IF((AF243/AI243&gt;'Parámetros Proyección'!$G$15),0,'Parámetros Proyección'!$G$15)))</f>
        <v/>
      </c>
      <c r="AB243" s="35">
        <f>Z243+AA243</f>
        <v/>
      </c>
      <c r="AC243" s="35">
        <f>AH242</f>
        <v/>
      </c>
      <c r="AD243" s="35">
        <f>AC243*(1+'Parámetros Proyección'!$E$15)</f>
        <v/>
      </c>
      <c r="AE243" s="35">
        <f>AD243*'Parámetros Proyección'!$F$15</f>
        <v/>
      </c>
      <c r="AF243" s="35">
        <f>AD243+AE243</f>
        <v/>
      </c>
      <c r="AG243" s="35">
        <f>IF((AF243/AI243&gt;'Parámetros Proyección'!$G$15),0,D243*'Parámetros Proyección'!$G$15/(IF((H243/AI243&gt;'Parámetros Proyección'!$G$11),0,'Parámetros Proyección'!$G$11)+IF((N243/AI243&gt;'Parámetros Proyección'!$G$12),0,'Parámetros Proyección'!$G$12)+IF((T243/AI243&gt;'Parámetros Proyección'!$G$13),0,'Parámetros Proyección'!$G$13)+IF((Z243/AI243&gt;'Parámetros Proyección'!$G$14),0,'Parámetros Proyección'!$G$14)+IF((AF243/AI243&gt;'Parámetros Proyección'!$G$15),0,'Parámetros Proyección'!$G$15)))</f>
        <v/>
      </c>
      <c r="AH243" s="35">
        <f>AF243+AG243</f>
        <v/>
      </c>
      <c r="AI243" s="35">
        <f>H243+N243+T243+Z243+AF243</f>
        <v/>
      </c>
      <c r="AJ243" s="33">
        <f>AF243/AI243</f>
        <v/>
      </c>
      <c r="AK243">
        <f>IF(AJ243&gt;'Parámetros Proyección'!$B$5,1,0)</f>
        <v/>
      </c>
      <c r="AL243" s="35">
        <f>G243+M243+S243+Y243+AE243</f>
        <v/>
      </c>
      <c r="AM243" s="35">
        <f>AM242+D243</f>
        <v/>
      </c>
      <c r="AN243" s="35">
        <f>AN242+AL243</f>
        <v/>
      </c>
      <c r="AO243" s="35">
        <f>J243+P243+V243+AB243+AH243</f>
        <v/>
      </c>
    </row>
    <row r="244">
      <c r="A244" t="n">
        <v>241</v>
      </c>
      <c r="B244" s="34">
        <f>EDATE(B243,1)</f>
        <v/>
      </c>
      <c r="C244">
        <f>YEAR(B244)</f>
        <v/>
      </c>
      <c r="D244" s="35">
        <f>'Parámetros Proyección'!$B$3*(1+'Parámetros Proyección'!$B$4)^(C244-YEAR('Parámetros Proyección'!$B$6))</f>
        <v/>
      </c>
      <c r="E244" s="35">
        <f>J243</f>
        <v/>
      </c>
      <c r="F244" s="35">
        <f>E244*(1+'Parámetros Proyección'!$E$11)</f>
        <v/>
      </c>
      <c r="G244" s="35">
        <f>F244*'Parámetros Proyección'!$F$11</f>
        <v/>
      </c>
      <c r="H244" s="35">
        <f>F244+G244</f>
        <v/>
      </c>
      <c r="I244" s="35">
        <f>IF((H244/AI244&gt;'Parámetros Proyección'!$G$11),0,D244*'Parámetros Proyección'!$G$11/(IF((H244/AI244&gt;'Parámetros Proyección'!$G$11),0,'Parámetros Proyección'!$G$11)+IF((N244/AI244&gt;'Parámetros Proyección'!$G$12),0,'Parámetros Proyección'!$G$12)+IF((T244/AI244&gt;'Parámetros Proyección'!$G$13),0,'Parámetros Proyección'!$G$13)+IF((Z244/AI244&gt;'Parámetros Proyección'!$G$14),0,'Parámetros Proyección'!$G$14)+IF((AF244/AI244&gt;'Parámetros Proyección'!$G$15),0,'Parámetros Proyección'!$G$15)))</f>
        <v/>
      </c>
      <c r="J244" s="35">
        <f>H244+I244</f>
        <v/>
      </c>
      <c r="K244" s="35">
        <f>P243</f>
        <v/>
      </c>
      <c r="L244" s="35">
        <f>K244*(1+'Parámetros Proyección'!$E$12)</f>
        <v/>
      </c>
      <c r="M244" s="35">
        <f>L244*'Parámetros Proyección'!$F$12</f>
        <v/>
      </c>
      <c r="N244" s="35">
        <f>L244+M244</f>
        <v/>
      </c>
      <c r="O244" s="35">
        <f>IF((N244/AI244&gt;'Parámetros Proyección'!$G$12),0,D244*'Parámetros Proyección'!$G$12/(IF((H244/AI244&gt;'Parámetros Proyección'!$G$11),0,'Parámetros Proyección'!$G$11)+IF((N244/AI244&gt;'Parámetros Proyección'!$G$12),0,'Parámetros Proyección'!$G$12)+IF((T244/AI244&gt;'Parámetros Proyección'!$G$13),0,'Parámetros Proyección'!$G$13)+IF((Z244/AI244&gt;'Parámetros Proyección'!$G$14),0,'Parámetros Proyección'!$G$14)+IF((AF244/AI244&gt;'Parámetros Proyección'!$G$15),0,'Parámetros Proyección'!$G$15)))</f>
        <v/>
      </c>
      <c r="P244" s="35">
        <f>N244+O244</f>
        <v/>
      </c>
      <c r="Q244" s="35">
        <f>V243</f>
        <v/>
      </c>
      <c r="R244" s="35">
        <f>Q244*(1+'Parámetros Proyección'!$E$13)</f>
        <v/>
      </c>
      <c r="S244" s="35">
        <f>R244*'Parámetros Proyección'!$F$13</f>
        <v/>
      </c>
      <c r="T244" s="35">
        <f>R244+S244</f>
        <v/>
      </c>
      <c r="U244" s="35">
        <f>IF((T244/AI244&gt;'Parámetros Proyección'!$G$13),0,D244*'Parámetros Proyección'!$G$13/(IF((H244/AI244&gt;'Parámetros Proyección'!$G$11),0,'Parámetros Proyección'!$G$11)+IF((N244/AI244&gt;'Parámetros Proyección'!$G$12),0,'Parámetros Proyección'!$G$12)+IF((T244/AI244&gt;'Parámetros Proyección'!$G$13),0,'Parámetros Proyección'!$G$13)+IF((Z244/AI244&gt;'Parámetros Proyección'!$G$14),0,'Parámetros Proyección'!$G$14)+IF((AF244/AI244&gt;'Parámetros Proyección'!$G$15),0,'Parámetros Proyección'!$G$15)))</f>
        <v/>
      </c>
      <c r="V244" s="35">
        <f>T244+U244</f>
        <v/>
      </c>
      <c r="W244" s="35">
        <f>AB243</f>
        <v/>
      </c>
      <c r="X244" s="35">
        <f>W244*(1+'Parámetros Proyección'!$E$14)</f>
        <v/>
      </c>
      <c r="Y244" s="35">
        <f>X244*'Parámetros Proyección'!$F$14</f>
        <v/>
      </c>
      <c r="Z244" s="35">
        <f>X244+Y244</f>
        <v/>
      </c>
      <c r="AA244" s="35">
        <f>IF((Z244/AI244&gt;'Parámetros Proyección'!$G$14),0,D244*'Parámetros Proyección'!$G$14/(IF((H244/AI244&gt;'Parámetros Proyección'!$G$11),0,'Parámetros Proyección'!$G$11)+IF((N244/AI244&gt;'Parámetros Proyección'!$G$12),0,'Parámetros Proyección'!$G$12)+IF((T244/AI244&gt;'Parámetros Proyección'!$G$13),0,'Parámetros Proyección'!$G$13)+IF((Z244/AI244&gt;'Parámetros Proyección'!$G$14),0,'Parámetros Proyección'!$G$14)+IF((AF244/AI244&gt;'Parámetros Proyección'!$G$15),0,'Parámetros Proyección'!$G$15)))</f>
        <v/>
      </c>
      <c r="AB244" s="35">
        <f>Z244+AA244</f>
        <v/>
      </c>
      <c r="AC244" s="35">
        <f>AH243</f>
        <v/>
      </c>
      <c r="AD244" s="35">
        <f>AC244*(1+'Parámetros Proyección'!$E$15)</f>
        <v/>
      </c>
      <c r="AE244" s="35">
        <f>AD244*'Parámetros Proyección'!$F$15</f>
        <v/>
      </c>
      <c r="AF244" s="35">
        <f>AD244+AE244</f>
        <v/>
      </c>
      <c r="AG244" s="35">
        <f>IF((AF244/AI244&gt;'Parámetros Proyección'!$G$15),0,D244*'Parámetros Proyección'!$G$15/(IF((H244/AI244&gt;'Parámetros Proyección'!$G$11),0,'Parámetros Proyección'!$G$11)+IF((N244/AI244&gt;'Parámetros Proyección'!$G$12),0,'Parámetros Proyección'!$G$12)+IF((T244/AI244&gt;'Parámetros Proyección'!$G$13),0,'Parámetros Proyección'!$G$13)+IF((Z244/AI244&gt;'Parámetros Proyección'!$G$14),0,'Parámetros Proyección'!$G$14)+IF((AF244/AI244&gt;'Parámetros Proyección'!$G$15),0,'Parámetros Proyección'!$G$15)))</f>
        <v/>
      </c>
      <c r="AH244" s="35">
        <f>AF244+AG244</f>
        <v/>
      </c>
      <c r="AI244" s="35">
        <f>H244+N244+T244+Z244+AF244</f>
        <v/>
      </c>
      <c r="AJ244" s="33">
        <f>AF244/AI244</f>
        <v/>
      </c>
      <c r="AK244">
        <f>IF(AJ244&gt;'Parámetros Proyección'!$B$5,1,0)</f>
        <v/>
      </c>
      <c r="AL244" s="35">
        <f>G244+M244+S244+Y244+AE244</f>
        <v/>
      </c>
      <c r="AM244" s="35">
        <f>AM243+D244</f>
        <v/>
      </c>
      <c r="AN244" s="35">
        <f>AN243+AL244</f>
        <v/>
      </c>
      <c r="AO244" s="35">
        <f>J244+P244+V244+AB244+AH244</f>
        <v/>
      </c>
    </row>
    <row r="245">
      <c r="A245" t="n">
        <v>242</v>
      </c>
      <c r="B245" s="34">
        <f>EDATE(B244,1)</f>
        <v/>
      </c>
      <c r="C245">
        <f>YEAR(B245)</f>
        <v/>
      </c>
      <c r="D245" s="35">
        <f>'Parámetros Proyección'!$B$3*(1+'Parámetros Proyección'!$B$4)^(C245-YEAR('Parámetros Proyección'!$B$6))</f>
        <v/>
      </c>
      <c r="E245" s="35">
        <f>J244</f>
        <v/>
      </c>
      <c r="F245" s="35">
        <f>E245*(1+'Parámetros Proyección'!$E$11)</f>
        <v/>
      </c>
      <c r="G245" s="35">
        <f>F245*'Parámetros Proyección'!$F$11</f>
        <v/>
      </c>
      <c r="H245" s="35">
        <f>F245+G245</f>
        <v/>
      </c>
      <c r="I245" s="35">
        <f>IF((H245/AI245&gt;'Parámetros Proyección'!$G$11),0,D245*'Parámetros Proyección'!$G$11/(IF((H245/AI245&gt;'Parámetros Proyección'!$G$11),0,'Parámetros Proyección'!$G$11)+IF((N245/AI245&gt;'Parámetros Proyección'!$G$12),0,'Parámetros Proyección'!$G$12)+IF((T245/AI245&gt;'Parámetros Proyección'!$G$13),0,'Parámetros Proyección'!$G$13)+IF((Z245/AI245&gt;'Parámetros Proyección'!$G$14),0,'Parámetros Proyección'!$G$14)+IF((AF245/AI245&gt;'Parámetros Proyección'!$G$15),0,'Parámetros Proyección'!$G$15)))</f>
        <v/>
      </c>
      <c r="J245" s="35">
        <f>H245+I245</f>
        <v/>
      </c>
      <c r="K245" s="35">
        <f>P244</f>
        <v/>
      </c>
      <c r="L245" s="35">
        <f>K245*(1+'Parámetros Proyección'!$E$12)</f>
        <v/>
      </c>
      <c r="M245" s="35">
        <f>L245*'Parámetros Proyección'!$F$12</f>
        <v/>
      </c>
      <c r="N245" s="35">
        <f>L245+M245</f>
        <v/>
      </c>
      <c r="O245" s="35">
        <f>IF((N245/AI245&gt;'Parámetros Proyección'!$G$12),0,D245*'Parámetros Proyección'!$G$12/(IF((H245/AI245&gt;'Parámetros Proyección'!$G$11),0,'Parámetros Proyección'!$G$11)+IF((N245/AI245&gt;'Parámetros Proyección'!$G$12),0,'Parámetros Proyección'!$G$12)+IF((T245/AI245&gt;'Parámetros Proyección'!$G$13),0,'Parámetros Proyección'!$G$13)+IF((Z245/AI245&gt;'Parámetros Proyección'!$G$14),0,'Parámetros Proyección'!$G$14)+IF((AF245/AI245&gt;'Parámetros Proyección'!$G$15),0,'Parámetros Proyección'!$G$15)))</f>
        <v/>
      </c>
      <c r="P245" s="35">
        <f>N245+O245</f>
        <v/>
      </c>
      <c r="Q245" s="35">
        <f>V244</f>
        <v/>
      </c>
      <c r="R245" s="35">
        <f>Q245*(1+'Parámetros Proyección'!$E$13)</f>
        <v/>
      </c>
      <c r="S245" s="35">
        <f>R245*'Parámetros Proyección'!$F$13</f>
        <v/>
      </c>
      <c r="T245" s="35">
        <f>R245+S245</f>
        <v/>
      </c>
      <c r="U245" s="35">
        <f>IF((T245/AI245&gt;'Parámetros Proyección'!$G$13),0,D245*'Parámetros Proyección'!$G$13/(IF((H245/AI245&gt;'Parámetros Proyección'!$G$11),0,'Parámetros Proyección'!$G$11)+IF((N245/AI245&gt;'Parámetros Proyección'!$G$12),0,'Parámetros Proyección'!$G$12)+IF((T245/AI245&gt;'Parámetros Proyección'!$G$13),0,'Parámetros Proyección'!$G$13)+IF((Z245/AI245&gt;'Parámetros Proyección'!$G$14),0,'Parámetros Proyección'!$G$14)+IF((AF245/AI245&gt;'Parámetros Proyección'!$G$15),0,'Parámetros Proyección'!$G$15)))</f>
        <v/>
      </c>
      <c r="V245" s="35">
        <f>T245+U245</f>
        <v/>
      </c>
      <c r="W245" s="35">
        <f>AB244</f>
        <v/>
      </c>
      <c r="X245" s="35">
        <f>W245*(1+'Parámetros Proyección'!$E$14)</f>
        <v/>
      </c>
      <c r="Y245" s="35">
        <f>X245*'Parámetros Proyección'!$F$14</f>
        <v/>
      </c>
      <c r="Z245" s="35">
        <f>X245+Y245</f>
        <v/>
      </c>
      <c r="AA245" s="35">
        <f>IF((Z245/AI245&gt;'Parámetros Proyección'!$G$14),0,D245*'Parámetros Proyección'!$G$14/(IF((H245/AI245&gt;'Parámetros Proyección'!$G$11),0,'Parámetros Proyección'!$G$11)+IF((N245/AI245&gt;'Parámetros Proyección'!$G$12),0,'Parámetros Proyección'!$G$12)+IF((T245/AI245&gt;'Parámetros Proyección'!$G$13),0,'Parámetros Proyección'!$G$13)+IF((Z245/AI245&gt;'Parámetros Proyección'!$G$14),0,'Parámetros Proyección'!$G$14)+IF((AF245/AI245&gt;'Parámetros Proyección'!$G$15),0,'Parámetros Proyección'!$G$15)))</f>
        <v/>
      </c>
      <c r="AB245" s="35">
        <f>Z245+AA245</f>
        <v/>
      </c>
      <c r="AC245" s="35">
        <f>AH244</f>
        <v/>
      </c>
      <c r="AD245" s="35">
        <f>AC245*(1+'Parámetros Proyección'!$E$15)</f>
        <v/>
      </c>
      <c r="AE245" s="35">
        <f>AD245*'Parámetros Proyección'!$F$15</f>
        <v/>
      </c>
      <c r="AF245" s="35">
        <f>AD245+AE245</f>
        <v/>
      </c>
      <c r="AG245" s="35">
        <f>IF((AF245/AI245&gt;'Parámetros Proyección'!$G$15),0,D245*'Parámetros Proyección'!$G$15/(IF((H245/AI245&gt;'Parámetros Proyección'!$G$11),0,'Parámetros Proyección'!$G$11)+IF((N245/AI245&gt;'Parámetros Proyección'!$G$12),0,'Parámetros Proyección'!$G$12)+IF((T245/AI245&gt;'Parámetros Proyección'!$G$13),0,'Parámetros Proyección'!$G$13)+IF((Z245/AI245&gt;'Parámetros Proyección'!$G$14),0,'Parámetros Proyección'!$G$14)+IF((AF245/AI245&gt;'Parámetros Proyección'!$G$15),0,'Parámetros Proyección'!$G$15)))</f>
        <v/>
      </c>
      <c r="AH245" s="35">
        <f>AF245+AG245</f>
        <v/>
      </c>
      <c r="AI245" s="35">
        <f>H245+N245+T245+Z245+AF245</f>
        <v/>
      </c>
      <c r="AJ245" s="33">
        <f>AF245/AI245</f>
        <v/>
      </c>
      <c r="AK245">
        <f>IF(AJ245&gt;'Parámetros Proyección'!$B$5,1,0)</f>
        <v/>
      </c>
      <c r="AL245" s="35">
        <f>G245+M245+S245+Y245+AE245</f>
        <v/>
      </c>
      <c r="AM245" s="35">
        <f>AM244+D245</f>
        <v/>
      </c>
      <c r="AN245" s="35">
        <f>AN244+AL245</f>
        <v/>
      </c>
      <c r="AO245" s="35">
        <f>J245+P245+V245+AB245+AH245</f>
        <v/>
      </c>
    </row>
    <row r="246">
      <c r="A246" t="n">
        <v>243</v>
      </c>
      <c r="B246" s="34">
        <f>EDATE(B245,1)</f>
        <v/>
      </c>
      <c r="C246">
        <f>YEAR(B246)</f>
        <v/>
      </c>
      <c r="D246" s="35">
        <f>'Parámetros Proyección'!$B$3*(1+'Parámetros Proyección'!$B$4)^(C246-YEAR('Parámetros Proyección'!$B$6))</f>
        <v/>
      </c>
      <c r="E246" s="35">
        <f>J245</f>
        <v/>
      </c>
      <c r="F246" s="35">
        <f>E246*(1+'Parámetros Proyección'!$E$11)</f>
        <v/>
      </c>
      <c r="G246" s="35">
        <f>F246*'Parámetros Proyección'!$F$11</f>
        <v/>
      </c>
      <c r="H246" s="35">
        <f>F246+G246</f>
        <v/>
      </c>
      <c r="I246" s="35">
        <f>IF((H246/AI246&gt;'Parámetros Proyección'!$G$11),0,D246*'Parámetros Proyección'!$G$11/(IF((H246/AI246&gt;'Parámetros Proyección'!$G$11),0,'Parámetros Proyección'!$G$11)+IF((N246/AI246&gt;'Parámetros Proyección'!$G$12),0,'Parámetros Proyección'!$G$12)+IF((T246/AI246&gt;'Parámetros Proyección'!$G$13),0,'Parámetros Proyección'!$G$13)+IF((Z246/AI246&gt;'Parámetros Proyección'!$G$14),0,'Parámetros Proyección'!$G$14)+IF((AF246/AI246&gt;'Parámetros Proyección'!$G$15),0,'Parámetros Proyección'!$G$15)))</f>
        <v/>
      </c>
      <c r="J246" s="35">
        <f>H246+I246</f>
        <v/>
      </c>
      <c r="K246" s="35">
        <f>P245</f>
        <v/>
      </c>
      <c r="L246" s="35">
        <f>K246*(1+'Parámetros Proyección'!$E$12)</f>
        <v/>
      </c>
      <c r="M246" s="35">
        <f>L246*'Parámetros Proyección'!$F$12</f>
        <v/>
      </c>
      <c r="N246" s="35">
        <f>L246+M246</f>
        <v/>
      </c>
      <c r="O246" s="35">
        <f>IF((N246/AI246&gt;'Parámetros Proyección'!$G$12),0,D246*'Parámetros Proyección'!$G$12/(IF((H246/AI246&gt;'Parámetros Proyección'!$G$11),0,'Parámetros Proyección'!$G$11)+IF((N246/AI246&gt;'Parámetros Proyección'!$G$12),0,'Parámetros Proyección'!$G$12)+IF((T246/AI246&gt;'Parámetros Proyección'!$G$13),0,'Parámetros Proyección'!$G$13)+IF((Z246/AI246&gt;'Parámetros Proyección'!$G$14),0,'Parámetros Proyección'!$G$14)+IF((AF246/AI246&gt;'Parámetros Proyección'!$G$15),0,'Parámetros Proyección'!$G$15)))</f>
        <v/>
      </c>
      <c r="P246" s="35">
        <f>N246+O246</f>
        <v/>
      </c>
      <c r="Q246" s="35">
        <f>V245</f>
        <v/>
      </c>
      <c r="R246" s="35">
        <f>Q246*(1+'Parámetros Proyección'!$E$13)</f>
        <v/>
      </c>
      <c r="S246" s="35">
        <f>R246*'Parámetros Proyección'!$F$13</f>
        <v/>
      </c>
      <c r="T246" s="35">
        <f>R246+S246</f>
        <v/>
      </c>
      <c r="U246" s="35">
        <f>IF((T246/AI246&gt;'Parámetros Proyección'!$G$13),0,D246*'Parámetros Proyección'!$G$13/(IF((H246/AI246&gt;'Parámetros Proyección'!$G$11),0,'Parámetros Proyección'!$G$11)+IF((N246/AI246&gt;'Parámetros Proyección'!$G$12),0,'Parámetros Proyección'!$G$12)+IF((T246/AI246&gt;'Parámetros Proyección'!$G$13),0,'Parámetros Proyección'!$G$13)+IF((Z246/AI246&gt;'Parámetros Proyección'!$G$14),0,'Parámetros Proyección'!$G$14)+IF((AF246/AI246&gt;'Parámetros Proyección'!$G$15),0,'Parámetros Proyección'!$G$15)))</f>
        <v/>
      </c>
      <c r="V246" s="35">
        <f>T246+U246</f>
        <v/>
      </c>
      <c r="W246" s="35">
        <f>AB245</f>
        <v/>
      </c>
      <c r="X246" s="35">
        <f>W246*(1+'Parámetros Proyección'!$E$14)</f>
        <v/>
      </c>
      <c r="Y246" s="35">
        <f>X246*'Parámetros Proyección'!$F$14</f>
        <v/>
      </c>
      <c r="Z246" s="35">
        <f>X246+Y246</f>
        <v/>
      </c>
      <c r="AA246" s="35">
        <f>IF((Z246/AI246&gt;'Parámetros Proyección'!$G$14),0,D246*'Parámetros Proyección'!$G$14/(IF((H246/AI246&gt;'Parámetros Proyección'!$G$11),0,'Parámetros Proyección'!$G$11)+IF((N246/AI246&gt;'Parámetros Proyección'!$G$12),0,'Parámetros Proyección'!$G$12)+IF((T246/AI246&gt;'Parámetros Proyección'!$G$13),0,'Parámetros Proyección'!$G$13)+IF((Z246/AI246&gt;'Parámetros Proyección'!$G$14),0,'Parámetros Proyección'!$G$14)+IF((AF246/AI246&gt;'Parámetros Proyección'!$G$15),0,'Parámetros Proyección'!$G$15)))</f>
        <v/>
      </c>
      <c r="AB246" s="35">
        <f>Z246+AA246</f>
        <v/>
      </c>
      <c r="AC246" s="35">
        <f>AH245</f>
        <v/>
      </c>
      <c r="AD246" s="35">
        <f>AC246*(1+'Parámetros Proyección'!$E$15)</f>
        <v/>
      </c>
      <c r="AE246" s="35">
        <f>AD246*'Parámetros Proyección'!$F$15</f>
        <v/>
      </c>
      <c r="AF246" s="35">
        <f>AD246+AE246</f>
        <v/>
      </c>
      <c r="AG246" s="35">
        <f>IF((AF246/AI246&gt;'Parámetros Proyección'!$G$15),0,D246*'Parámetros Proyección'!$G$15/(IF((H246/AI246&gt;'Parámetros Proyección'!$G$11),0,'Parámetros Proyección'!$G$11)+IF((N246/AI246&gt;'Parámetros Proyección'!$G$12),0,'Parámetros Proyección'!$G$12)+IF((T246/AI246&gt;'Parámetros Proyección'!$G$13),0,'Parámetros Proyección'!$G$13)+IF((Z246/AI246&gt;'Parámetros Proyección'!$G$14),0,'Parámetros Proyección'!$G$14)+IF((AF246/AI246&gt;'Parámetros Proyección'!$G$15),0,'Parámetros Proyección'!$G$15)))</f>
        <v/>
      </c>
      <c r="AH246" s="35">
        <f>AF246+AG246</f>
        <v/>
      </c>
      <c r="AI246" s="35">
        <f>H246+N246+T246+Z246+AF246</f>
        <v/>
      </c>
      <c r="AJ246" s="33">
        <f>AF246/AI246</f>
        <v/>
      </c>
      <c r="AK246">
        <f>IF(AJ246&gt;'Parámetros Proyección'!$B$5,1,0)</f>
        <v/>
      </c>
      <c r="AL246" s="35">
        <f>G246+M246+S246+Y246+AE246</f>
        <v/>
      </c>
      <c r="AM246" s="35">
        <f>AM245+D246</f>
        <v/>
      </c>
      <c r="AN246" s="35">
        <f>AN245+AL246</f>
        <v/>
      </c>
      <c r="AO246" s="35">
        <f>J246+P246+V246+AB246+AH246</f>
        <v/>
      </c>
    </row>
    <row r="247">
      <c r="A247" t="n">
        <v>244</v>
      </c>
      <c r="B247" s="34">
        <f>EDATE(B246,1)</f>
        <v/>
      </c>
      <c r="C247">
        <f>YEAR(B247)</f>
        <v/>
      </c>
      <c r="D247" s="35">
        <f>'Parámetros Proyección'!$B$3*(1+'Parámetros Proyección'!$B$4)^(C247-YEAR('Parámetros Proyección'!$B$6))</f>
        <v/>
      </c>
      <c r="E247" s="35">
        <f>J246</f>
        <v/>
      </c>
      <c r="F247" s="35">
        <f>E247*(1+'Parámetros Proyección'!$E$11)</f>
        <v/>
      </c>
      <c r="G247" s="35">
        <f>F247*'Parámetros Proyección'!$F$11</f>
        <v/>
      </c>
      <c r="H247" s="35">
        <f>F247+G247</f>
        <v/>
      </c>
      <c r="I247" s="35">
        <f>IF((H247/AI247&gt;'Parámetros Proyección'!$G$11),0,D247*'Parámetros Proyección'!$G$11/(IF((H247/AI247&gt;'Parámetros Proyección'!$G$11),0,'Parámetros Proyección'!$G$11)+IF((N247/AI247&gt;'Parámetros Proyección'!$G$12),0,'Parámetros Proyección'!$G$12)+IF((T247/AI247&gt;'Parámetros Proyección'!$G$13),0,'Parámetros Proyección'!$G$13)+IF((Z247/AI247&gt;'Parámetros Proyección'!$G$14),0,'Parámetros Proyección'!$G$14)+IF((AF247/AI247&gt;'Parámetros Proyección'!$G$15),0,'Parámetros Proyección'!$G$15)))</f>
        <v/>
      </c>
      <c r="J247" s="35">
        <f>H247+I247</f>
        <v/>
      </c>
      <c r="K247" s="35">
        <f>P246</f>
        <v/>
      </c>
      <c r="L247" s="35">
        <f>K247*(1+'Parámetros Proyección'!$E$12)</f>
        <v/>
      </c>
      <c r="M247" s="35">
        <f>L247*'Parámetros Proyección'!$F$12</f>
        <v/>
      </c>
      <c r="N247" s="35">
        <f>L247+M247</f>
        <v/>
      </c>
      <c r="O247" s="35">
        <f>IF((N247/AI247&gt;'Parámetros Proyección'!$G$12),0,D247*'Parámetros Proyección'!$G$12/(IF((H247/AI247&gt;'Parámetros Proyección'!$G$11),0,'Parámetros Proyección'!$G$11)+IF((N247/AI247&gt;'Parámetros Proyección'!$G$12),0,'Parámetros Proyección'!$G$12)+IF((T247/AI247&gt;'Parámetros Proyección'!$G$13),0,'Parámetros Proyección'!$G$13)+IF((Z247/AI247&gt;'Parámetros Proyección'!$G$14),0,'Parámetros Proyección'!$G$14)+IF((AF247/AI247&gt;'Parámetros Proyección'!$G$15),0,'Parámetros Proyección'!$G$15)))</f>
        <v/>
      </c>
      <c r="P247" s="35">
        <f>N247+O247</f>
        <v/>
      </c>
      <c r="Q247" s="35">
        <f>V246</f>
        <v/>
      </c>
      <c r="R247" s="35">
        <f>Q247*(1+'Parámetros Proyección'!$E$13)</f>
        <v/>
      </c>
      <c r="S247" s="35">
        <f>R247*'Parámetros Proyección'!$F$13</f>
        <v/>
      </c>
      <c r="T247" s="35">
        <f>R247+S247</f>
        <v/>
      </c>
      <c r="U247" s="35">
        <f>IF((T247/AI247&gt;'Parámetros Proyección'!$G$13),0,D247*'Parámetros Proyección'!$G$13/(IF((H247/AI247&gt;'Parámetros Proyección'!$G$11),0,'Parámetros Proyección'!$G$11)+IF((N247/AI247&gt;'Parámetros Proyección'!$G$12),0,'Parámetros Proyección'!$G$12)+IF((T247/AI247&gt;'Parámetros Proyección'!$G$13),0,'Parámetros Proyección'!$G$13)+IF((Z247/AI247&gt;'Parámetros Proyección'!$G$14),0,'Parámetros Proyección'!$G$14)+IF((AF247/AI247&gt;'Parámetros Proyección'!$G$15),0,'Parámetros Proyección'!$G$15)))</f>
        <v/>
      </c>
      <c r="V247" s="35">
        <f>T247+U247</f>
        <v/>
      </c>
      <c r="W247" s="35">
        <f>AB246</f>
        <v/>
      </c>
      <c r="X247" s="35">
        <f>W247*(1+'Parámetros Proyección'!$E$14)</f>
        <v/>
      </c>
      <c r="Y247" s="35">
        <f>X247*'Parámetros Proyección'!$F$14</f>
        <v/>
      </c>
      <c r="Z247" s="35">
        <f>X247+Y247</f>
        <v/>
      </c>
      <c r="AA247" s="35">
        <f>IF((Z247/AI247&gt;'Parámetros Proyección'!$G$14),0,D247*'Parámetros Proyección'!$G$14/(IF((H247/AI247&gt;'Parámetros Proyección'!$G$11),0,'Parámetros Proyección'!$G$11)+IF((N247/AI247&gt;'Parámetros Proyección'!$G$12),0,'Parámetros Proyección'!$G$12)+IF((T247/AI247&gt;'Parámetros Proyección'!$G$13),0,'Parámetros Proyección'!$G$13)+IF((Z247/AI247&gt;'Parámetros Proyección'!$G$14),0,'Parámetros Proyección'!$G$14)+IF((AF247/AI247&gt;'Parámetros Proyección'!$G$15),0,'Parámetros Proyección'!$G$15)))</f>
        <v/>
      </c>
      <c r="AB247" s="35">
        <f>Z247+AA247</f>
        <v/>
      </c>
      <c r="AC247" s="35">
        <f>AH246</f>
        <v/>
      </c>
      <c r="AD247" s="35">
        <f>AC247*(1+'Parámetros Proyección'!$E$15)</f>
        <v/>
      </c>
      <c r="AE247" s="35">
        <f>AD247*'Parámetros Proyección'!$F$15</f>
        <v/>
      </c>
      <c r="AF247" s="35">
        <f>AD247+AE247</f>
        <v/>
      </c>
      <c r="AG247" s="35">
        <f>IF((AF247/AI247&gt;'Parámetros Proyección'!$G$15),0,D247*'Parámetros Proyección'!$G$15/(IF((H247/AI247&gt;'Parámetros Proyección'!$G$11),0,'Parámetros Proyección'!$G$11)+IF((N247/AI247&gt;'Parámetros Proyección'!$G$12),0,'Parámetros Proyección'!$G$12)+IF((T247/AI247&gt;'Parámetros Proyección'!$G$13),0,'Parámetros Proyección'!$G$13)+IF((Z247/AI247&gt;'Parámetros Proyección'!$G$14),0,'Parámetros Proyección'!$G$14)+IF((AF247/AI247&gt;'Parámetros Proyección'!$G$15),0,'Parámetros Proyección'!$G$15)))</f>
        <v/>
      </c>
      <c r="AH247" s="35">
        <f>AF247+AG247</f>
        <v/>
      </c>
      <c r="AI247" s="35">
        <f>H247+N247+T247+Z247+AF247</f>
        <v/>
      </c>
      <c r="AJ247" s="33">
        <f>AF247/AI247</f>
        <v/>
      </c>
      <c r="AK247">
        <f>IF(AJ247&gt;'Parámetros Proyección'!$B$5,1,0)</f>
        <v/>
      </c>
      <c r="AL247" s="35">
        <f>G247+M247+S247+Y247+AE247</f>
        <v/>
      </c>
      <c r="AM247" s="35">
        <f>AM246+D247</f>
        <v/>
      </c>
      <c r="AN247" s="35">
        <f>AN246+AL247</f>
        <v/>
      </c>
      <c r="AO247" s="35">
        <f>J247+P247+V247+AB247+AH247</f>
        <v/>
      </c>
    </row>
    <row r="248">
      <c r="A248" t="n">
        <v>245</v>
      </c>
      <c r="B248" s="34">
        <f>EDATE(B247,1)</f>
        <v/>
      </c>
      <c r="C248">
        <f>YEAR(B248)</f>
        <v/>
      </c>
      <c r="D248" s="35">
        <f>'Parámetros Proyección'!$B$3*(1+'Parámetros Proyección'!$B$4)^(C248-YEAR('Parámetros Proyección'!$B$6))</f>
        <v/>
      </c>
      <c r="E248" s="35">
        <f>J247</f>
        <v/>
      </c>
      <c r="F248" s="35">
        <f>E248*(1+'Parámetros Proyección'!$E$11)</f>
        <v/>
      </c>
      <c r="G248" s="35">
        <f>F248*'Parámetros Proyección'!$F$11</f>
        <v/>
      </c>
      <c r="H248" s="35">
        <f>F248+G248</f>
        <v/>
      </c>
      <c r="I248" s="35">
        <f>IF((H248/AI248&gt;'Parámetros Proyección'!$G$11),0,D248*'Parámetros Proyección'!$G$11/(IF((H248/AI248&gt;'Parámetros Proyección'!$G$11),0,'Parámetros Proyección'!$G$11)+IF((N248/AI248&gt;'Parámetros Proyección'!$G$12),0,'Parámetros Proyección'!$G$12)+IF((T248/AI248&gt;'Parámetros Proyección'!$G$13),0,'Parámetros Proyección'!$G$13)+IF((Z248/AI248&gt;'Parámetros Proyección'!$G$14),0,'Parámetros Proyección'!$G$14)+IF((AF248/AI248&gt;'Parámetros Proyección'!$G$15),0,'Parámetros Proyección'!$G$15)))</f>
        <v/>
      </c>
      <c r="J248" s="35">
        <f>H248+I248</f>
        <v/>
      </c>
      <c r="K248" s="35">
        <f>P247</f>
        <v/>
      </c>
      <c r="L248" s="35">
        <f>K248*(1+'Parámetros Proyección'!$E$12)</f>
        <v/>
      </c>
      <c r="M248" s="35">
        <f>L248*'Parámetros Proyección'!$F$12</f>
        <v/>
      </c>
      <c r="N248" s="35">
        <f>L248+M248</f>
        <v/>
      </c>
      <c r="O248" s="35">
        <f>IF((N248/AI248&gt;'Parámetros Proyección'!$G$12),0,D248*'Parámetros Proyección'!$G$12/(IF((H248/AI248&gt;'Parámetros Proyección'!$G$11),0,'Parámetros Proyección'!$G$11)+IF((N248/AI248&gt;'Parámetros Proyección'!$G$12),0,'Parámetros Proyección'!$G$12)+IF((T248/AI248&gt;'Parámetros Proyección'!$G$13),0,'Parámetros Proyección'!$G$13)+IF((Z248/AI248&gt;'Parámetros Proyección'!$G$14),0,'Parámetros Proyección'!$G$14)+IF((AF248/AI248&gt;'Parámetros Proyección'!$G$15),0,'Parámetros Proyección'!$G$15)))</f>
        <v/>
      </c>
      <c r="P248" s="35">
        <f>N248+O248</f>
        <v/>
      </c>
      <c r="Q248" s="35">
        <f>V247</f>
        <v/>
      </c>
      <c r="R248" s="35">
        <f>Q248*(1+'Parámetros Proyección'!$E$13)</f>
        <v/>
      </c>
      <c r="S248" s="35">
        <f>R248*'Parámetros Proyección'!$F$13</f>
        <v/>
      </c>
      <c r="T248" s="35">
        <f>R248+S248</f>
        <v/>
      </c>
      <c r="U248" s="35">
        <f>IF((T248/AI248&gt;'Parámetros Proyección'!$G$13),0,D248*'Parámetros Proyección'!$G$13/(IF((H248/AI248&gt;'Parámetros Proyección'!$G$11),0,'Parámetros Proyección'!$G$11)+IF((N248/AI248&gt;'Parámetros Proyección'!$G$12),0,'Parámetros Proyección'!$G$12)+IF((T248/AI248&gt;'Parámetros Proyección'!$G$13),0,'Parámetros Proyección'!$G$13)+IF((Z248/AI248&gt;'Parámetros Proyección'!$G$14),0,'Parámetros Proyección'!$G$14)+IF((AF248/AI248&gt;'Parámetros Proyección'!$G$15),0,'Parámetros Proyección'!$G$15)))</f>
        <v/>
      </c>
      <c r="V248" s="35">
        <f>T248+U248</f>
        <v/>
      </c>
      <c r="W248" s="35">
        <f>AB247</f>
        <v/>
      </c>
      <c r="X248" s="35">
        <f>W248*(1+'Parámetros Proyección'!$E$14)</f>
        <v/>
      </c>
      <c r="Y248" s="35">
        <f>X248*'Parámetros Proyección'!$F$14</f>
        <v/>
      </c>
      <c r="Z248" s="35">
        <f>X248+Y248</f>
        <v/>
      </c>
      <c r="AA248" s="35">
        <f>IF((Z248/AI248&gt;'Parámetros Proyección'!$G$14),0,D248*'Parámetros Proyección'!$G$14/(IF((H248/AI248&gt;'Parámetros Proyección'!$G$11),0,'Parámetros Proyección'!$G$11)+IF((N248/AI248&gt;'Parámetros Proyección'!$G$12),0,'Parámetros Proyección'!$G$12)+IF((T248/AI248&gt;'Parámetros Proyección'!$G$13),0,'Parámetros Proyección'!$G$13)+IF((Z248/AI248&gt;'Parámetros Proyección'!$G$14),0,'Parámetros Proyección'!$G$14)+IF((AF248/AI248&gt;'Parámetros Proyección'!$G$15),0,'Parámetros Proyección'!$G$15)))</f>
        <v/>
      </c>
      <c r="AB248" s="35">
        <f>Z248+AA248</f>
        <v/>
      </c>
      <c r="AC248" s="35">
        <f>AH247</f>
        <v/>
      </c>
      <c r="AD248" s="35">
        <f>AC248*(1+'Parámetros Proyección'!$E$15)</f>
        <v/>
      </c>
      <c r="AE248" s="35">
        <f>AD248*'Parámetros Proyección'!$F$15</f>
        <v/>
      </c>
      <c r="AF248" s="35">
        <f>AD248+AE248</f>
        <v/>
      </c>
      <c r="AG248" s="35">
        <f>IF((AF248/AI248&gt;'Parámetros Proyección'!$G$15),0,D248*'Parámetros Proyección'!$G$15/(IF((H248/AI248&gt;'Parámetros Proyección'!$G$11),0,'Parámetros Proyección'!$G$11)+IF((N248/AI248&gt;'Parámetros Proyección'!$G$12),0,'Parámetros Proyección'!$G$12)+IF((T248/AI248&gt;'Parámetros Proyección'!$G$13),0,'Parámetros Proyección'!$G$13)+IF((Z248/AI248&gt;'Parámetros Proyección'!$G$14),0,'Parámetros Proyección'!$G$14)+IF((AF248/AI248&gt;'Parámetros Proyección'!$G$15),0,'Parámetros Proyección'!$G$15)))</f>
        <v/>
      </c>
      <c r="AH248" s="35">
        <f>AF248+AG248</f>
        <v/>
      </c>
      <c r="AI248" s="35">
        <f>H248+N248+T248+Z248+AF248</f>
        <v/>
      </c>
      <c r="AJ248" s="33">
        <f>AF248/AI248</f>
        <v/>
      </c>
      <c r="AK248">
        <f>IF(AJ248&gt;'Parámetros Proyección'!$B$5,1,0)</f>
        <v/>
      </c>
      <c r="AL248" s="35">
        <f>G248+M248+S248+Y248+AE248</f>
        <v/>
      </c>
      <c r="AM248" s="35">
        <f>AM247+D248</f>
        <v/>
      </c>
      <c r="AN248" s="35">
        <f>AN247+AL248</f>
        <v/>
      </c>
      <c r="AO248" s="35">
        <f>J248+P248+V248+AB248+AH248</f>
        <v/>
      </c>
    </row>
    <row r="249">
      <c r="A249" t="n">
        <v>246</v>
      </c>
      <c r="B249" s="34">
        <f>EDATE(B248,1)</f>
        <v/>
      </c>
      <c r="C249">
        <f>YEAR(B249)</f>
        <v/>
      </c>
      <c r="D249" s="35">
        <f>'Parámetros Proyección'!$B$3*(1+'Parámetros Proyección'!$B$4)^(C249-YEAR('Parámetros Proyección'!$B$6))</f>
        <v/>
      </c>
      <c r="E249" s="35">
        <f>J248</f>
        <v/>
      </c>
      <c r="F249" s="35">
        <f>E249*(1+'Parámetros Proyección'!$E$11)</f>
        <v/>
      </c>
      <c r="G249" s="35">
        <f>F249*'Parámetros Proyección'!$F$11</f>
        <v/>
      </c>
      <c r="H249" s="35">
        <f>F249+G249</f>
        <v/>
      </c>
      <c r="I249" s="35">
        <f>IF((H249/AI249&gt;'Parámetros Proyección'!$G$11),0,D249*'Parámetros Proyección'!$G$11/(IF((H249/AI249&gt;'Parámetros Proyección'!$G$11),0,'Parámetros Proyección'!$G$11)+IF((N249/AI249&gt;'Parámetros Proyección'!$G$12),0,'Parámetros Proyección'!$G$12)+IF((T249/AI249&gt;'Parámetros Proyección'!$G$13),0,'Parámetros Proyección'!$G$13)+IF((Z249/AI249&gt;'Parámetros Proyección'!$G$14),0,'Parámetros Proyección'!$G$14)+IF((AF249/AI249&gt;'Parámetros Proyección'!$G$15),0,'Parámetros Proyección'!$G$15)))</f>
        <v/>
      </c>
      <c r="J249" s="35">
        <f>H249+I249</f>
        <v/>
      </c>
      <c r="K249" s="35">
        <f>P248</f>
        <v/>
      </c>
      <c r="L249" s="35">
        <f>K249*(1+'Parámetros Proyección'!$E$12)</f>
        <v/>
      </c>
      <c r="M249" s="35">
        <f>L249*'Parámetros Proyección'!$F$12</f>
        <v/>
      </c>
      <c r="N249" s="35">
        <f>L249+M249</f>
        <v/>
      </c>
      <c r="O249" s="35">
        <f>IF((N249/AI249&gt;'Parámetros Proyección'!$G$12),0,D249*'Parámetros Proyección'!$G$12/(IF((H249/AI249&gt;'Parámetros Proyección'!$G$11),0,'Parámetros Proyección'!$G$11)+IF((N249/AI249&gt;'Parámetros Proyección'!$G$12),0,'Parámetros Proyección'!$G$12)+IF((T249/AI249&gt;'Parámetros Proyección'!$G$13),0,'Parámetros Proyección'!$G$13)+IF((Z249/AI249&gt;'Parámetros Proyección'!$G$14),0,'Parámetros Proyección'!$G$14)+IF((AF249/AI249&gt;'Parámetros Proyección'!$G$15),0,'Parámetros Proyección'!$G$15)))</f>
        <v/>
      </c>
      <c r="P249" s="35">
        <f>N249+O249</f>
        <v/>
      </c>
      <c r="Q249" s="35">
        <f>V248</f>
        <v/>
      </c>
      <c r="R249" s="35">
        <f>Q249*(1+'Parámetros Proyección'!$E$13)</f>
        <v/>
      </c>
      <c r="S249" s="35">
        <f>R249*'Parámetros Proyección'!$F$13</f>
        <v/>
      </c>
      <c r="T249" s="35">
        <f>R249+S249</f>
        <v/>
      </c>
      <c r="U249" s="35">
        <f>IF((T249/AI249&gt;'Parámetros Proyección'!$G$13),0,D249*'Parámetros Proyección'!$G$13/(IF((H249/AI249&gt;'Parámetros Proyección'!$G$11),0,'Parámetros Proyección'!$G$11)+IF((N249/AI249&gt;'Parámetros Proyección'!$G$12),0,'Parámetros Proyección'!$G$12)+IF((T249/AI249&gt;'Parámetros Proyección'!$G$13),0,'Parámetros Proyección'!$G$13)+IF((Z249/AI249&gt;'Parámetros Proyección'!$G$14),0,'Parámetros Proyección'!$G$14)+IF((AF249/AI249&gt;'Parámetros Proyección'!$G$15),0,'Parámetros Proyección'!$G$15)))</f>
        <v/>
      </c>
      <c r="V249" s="35">
        <f>T249+U249</f>
        <v/>
      </c>
      <c r="W249" s="35">
        <f>AB248</f>
        <v/>
      </c>
      <c r="X249" s="35">
        <f>W249*(1+'Parámetros Proyección'!$E$14)</f>
        <v/>
      </c>
      <c r="Y249" s="35">
        <f>X249*'Parámetros Proyección'!$F$14</f>
        <v/>
      </c>
      <c r="Z249" s="35">
        <f>X249+Y249</f>
        <v/>
      </c>
      <c r="AA249" s="35">
        <f>IF((Z249/AI249&gt;'Parámetros Proyección'!$G$14),0,D249*'Parámetros Proyección'!$G$14/(IF((H249/AI249&gt;'Parámetros Proyección'!$G$11),0,'Parámetros Proyección'!$G$11)+IF((N249/AI249&gt;'Parámetros Proyección'!$G$12),0,'Parámetros Proyección'!$G$12)+IF((T249/AI249&gt;'Parámetros Proyección'!$G$13),0,'Parámetros Proyección'!$G$13)+IF((Z249/AI249&gt;'Parámetros Proyección'!$G$14),0,'Parámetros Proyección'!$G$14)+IF((AF249/AI249&gt;'Parámetros Proyección'!$G$15),0,'Parámetros Proyección'!$G$15)))</f>
        <v/>
      </c>
      <c r="AB249" s="35">
        <f>Z249+AA249</f>
        <v/>
      </c>
      <c r="AC249" s="35">
        <f>AH248</f>
        <v/>
      </c>
      <c r="AD249" s="35">
        <f>AC249*(1+'Parámetros Proyección'!$E$15)</f>
        <v/>
      </c>
      <c r="AE249" s="35">
        <f>AD249*'Parámetros Proyección'!$F$15</f>
        <v/>
      </c>
      <c r="AF249" s="35">
        <f>AD249+AE249</f>
        <v/>
      </c>
      <c r="AG249" s="35">
        <f>IF((AF249/AI249&gt;'Parámetros Proyección'!$G$15),0,D249*'Parámetros Proyección'!$G$15/(IF((H249/AI249&gt;'Parámetros Proyección'!$G$11),0,'Parámetros Proyección'!$G$11)+IF((N249/AI249&gt;'Parámetros Proyección'!$G$12),0,'Parámetros Proyección'!$G$12)+IF((T249/AI249&gt;'Parámetros Proyección'!$G$13),0,'Parámetros Proyección'!$G$13)+IF((Z249/AI249&gt;'Parámetros Proyección'!$G$14),0,'Parámetros Proyección'!$G$14)+IF((AF249/AI249&gt;'Parámetros Proyección'!$G$15),0,'Parámetros Proyección'!$G$15)))</f>
        <v/>
      </c>
      <c r="AH249" s="35">
        <f>AF249+AG249</f>
        <v/>
      </c>
      <c r="AI249" s="35">
        <f>H249+N249+T249+Z249+AF249</f>
        <v/>
      </c>
      <c r="AJ249" s="33">
        <f>AF249/AI249</f>
        <v/>
      </c>
      <c r="AK249">
        <f>IF(AJ249&gt;'Parámetros Proyección'!$B$5,1,0)</f>
        <v/>
      </c>
      <c r="AL249" s="35">
        <f>G249+M249+S249+Y249+AE249</f>
        <v/>
      </c>
      <c r="AM249" s="35">
        <f>AM248+D249</f>
        <v/>
      </c>
      <c r="AN249" s="35">
        <f>AN248+AL249</f>
        <v/>
      </c>
      <c r="AO249" s="35">
        <f>J249+P249+V249+AB249+AH249</f>
        <v/>
      </c>
    </row>
    <row r="250">
      <c r="A250" t="n">
        <v>247</v>
      </c>
      <c r="B250" s="34">
        <f>EDATE(B249,1)</f>
        <v/>
      </c>
      <c r="C250">
        <f>YEAR(B250)</f>
        <v/>
      </c>
      <c r="D250" s="35">
        <f>'Parámetros Proyección'!$B$3*(1+'Parámetros Proyección'!$B$4)^(C250-YEAR('Parámetros Proyección'!$B$6))</f>
        <v/>
      </c>
      <c r="E250" s="35">
        <f>J249</f>
        <v/>
      </c>
      <c r="F250" s="35">
        <f>E250*(1+'Parámetros Proyección'!$E$11)</f>
        <v/>
      </c>
      <c r="G250" s="35">
        <f>F250*'Parámetros Proyección'!$F$11</f>
        <v/>
      </c>
      <c r="H250" s="35">
        <f>F250+G250</f>
        <v/>
      </c>
      <c r="I250" s="35">
        <f>IF((H250/AI250&gt;'Parámetros Proyección'!$G$11),0,D250*'Parámetros Proyección'!$G$11/(IF((H250/AI250&gt;'Parámetros Proyección'!$G$11),0,'Parámetros Proyección'!$G$11)+IF((N250/AI250&gt;'Parámetros Proyección'!$G$12),0,'Parámetros Proyección'!$G$12)+IF((T250/AI250&gt;'Parámetros Proyección'!$G$13),0,'Parámetros Proyección'!$G$13)+IF((Z250/AI250&gt;'Parámetros Proyección'!$G$14),0,'Parámetros Proyección'!$G$14)+IF((AF250/AI250&gt;'Parámetros Proyección'!$G$15),0,'Parámetros Proyección'!$G$15)))</f>
        <v/>
      </c>
      <c r="J250" s="35">
        <f>H250+I250</f>
        <v/>
      </c>
      <c r="K250" s="35">
        <f>P249</f>
        <v/>
      </c>
      <c r="L250" s="35">
        <f>K250*(1+'Parámetros Proyección'!$E$12)</f>
        <v/>
      </c>
      <c r="M250" s="35">
        <f>L250*'Parámetros Proyección'!$F$12</f>
        <v/>
      </c>
      <c r="N250" s="35">
        <f>L250+M250</f>
        <v/>
      </c>
      <c r="O250" s="35">
        <f>IF((N250/AI250&gt;'Parámetros Proyección'!$G$12),0,D250*'Parámetros Proyección'!$G$12/(IF((H250/AI250&gt;'Parámetros Proyección'!$G$11),0,'Parámetros Proyección'!$G$11)+IF((N250/AI250&gt;'Parámetros Proyección'!$G$12),0,'Parámetros Proyección'!$G$12)+IF((T250/AI250&gt;'Parámetros Proyección'!$G$13),0,'Parámetros Proyección'!$G$13)+IF((Z250/AI250&gt;'Parámetros Proyección'!$G$14),0,'Parámetros Proyección'!$G$14)+IF((AF250/AI250&gt;'Parámetros Proyección'!$G$15),0,'Parámetros Proyección'!$G$15)))</f>
        <v/>
      </c>
      <c r="P250" s="35">
        <f>N250+O250</f>
        <v/>
      </c>
      <c r="Q250" s="35">
        <f>V249</f>
        <v/>
      </c>
      <c r="R250" s="35">
        <f>Q250*(1+'Parámetros Proyección'!$E$13)</f>
        <v/>
      </c>
      <c r="S250" s="35">
        <f>R250*'Parámetros Proyección'!$F$13</f>
        <v/>
      </c>
      <c r="T250" s="35">
        <f>R250+S250</f>
        <v/>
      </c>
      <c r="U250" s="35">
        <f>IF((T250/AI250&gt;'Parámetros Proyección'!$G$13),0,D250*'Parámetros Proyección'!$G$13/(IF((H250/AI250&gt;'Parámetros Proyección'!$G$11),0,'Parámetros Proyección'!$G$11)+IF((N250/AI250&gt;'Parámetros Proyección'!$G$12),0,'Parámetros Proyección'!$G$12)+IF((T250/AI250&gt;'Parámetros Proyección'!$G$13),0,'Parámetros Proyección'!$G$13)+IF((Z250/AI250&gt;'Parámetros Proyección'!$G$14),0,'Parámetros Proyección'!$G$14)+IF((AF250/AI250&gt;'Parámetros Proyección'!$G$15),0,'Parámetros Proyección'!$G$15)))</f>
        <v/>
      </c>
      <c r="V250" s="35">
        <f>T250+U250</f>
        <v/>
      </c>
      <c r="W250" s="35">
        <f>AB249</f>
        <v/>
      </c>
      <c r="X250" s="35">
        <f>W250*(1+'Parámetros Proyección'!$E$14)</f>
        <v/>
      </c>
      <c r="Y250" s="35">
        <f>X250*'Parámetros Proyección'!$F$14</f>
        <v/>
      </c>
      <c r="Z250" s="35">
        <f>X250+Y250</f>
        <v/>
      </c>
      <c r="AA250" s="35">
        <f>IF((Z250/AI250&gt;'Parámetros Proyección'!$G$14),0,D250*'Parámetros Proyección'!$G$14/(IF((H250/AI250&gt;'Parámetros Proyección'!$G$11),0,'Parámetros Proyección'!$G$11)+IF((N250/AI250&gt;'Parámetros Proyección'!$G$12),0,'Parámetros Proyección'!$G$12)+IF((T250/AI250&gt;'Parámetros Proyección'!$G$13),0,'Parámetros Proyección'!$G$13)+IF((Z250/AI250&gt;'Parámetros Proyección'!$G$14),0,'Parámetros Proyección'!$G$14)+IF((AF250/AI250&gt;'Parámetros Proyección'!$G$15),0,'Parámetros Proyección'!$G$15)))</f>
        <v/>
      </c>
      <c r="AB250" s="35">
        <f>Z250+AA250</f>
        <v/>
      </c>
      <c r="AC250" s="35">
        <f>AH249</f>
        <v/>
      </c>
      <c r="AD250" s="35">
        <f>AC250*(1+'Parámetros Proyección'!$E$15)</f>
        <v/>
      </c>
      <c r="AE250" s="35">
        <f>AD250*'Parámetros Proyección'!$F$15</f>
        <v/>
      </c>
      <c r="AF250" s="35">
        <f>AD250+AE250</f>
        <v/>
      </c>
      <c r="AG250" s="35">
        <f>IF((AF250/AI250&gt;'Parámetros Proyección'!$G$15),0,D250*'Parámetros Proyección'!$G$15/(IF((H250/AI250&gt;'Parámetros Proyección'!$G$11),0,'Parámetros Proyección'!$G$11)+IF((N250/AI250&gt;'Parámetros Proyección'!$G$12),0,'Parámetros Proyección'!$G$12)+IF((T250/AI250&gt;'Parámetros Proyección'!$G$13),0,'Parámetros Proyección'!$G$13)+IF((Z250/AI250&gt;'Parámetros Proyección'!$G$14),0,'Parámetros Proyección'!$G$14)+IF((AF250/AI250&gt;'Parámetros Proyección'!$G$15),0,'Parámetros Proyección'!$G$15)))</f>
        <v/>
      </c>
      <c r="AH250" s="35">
        <f>AF250+AG250</f>
        <v/>
      </c>
      <c r="AI250" s="35">
        <f>H250+N250+T250+Z250+AF250</f>
        <v/>
      </c>
      <c r="AJ250" s="33">
        <f>AF250/AI250</f>
        <v/>
      </c>
      <c r="AK250">
        <f>IF(AJ250&gt;'Parámetros Proyección'!$B$5,1,0)</f>
        <v/>
      </c>
      <c r="AL250" s="35">
        <f>G250+M250+S250+Y250+AE250</f>
        <v/>
      </c>
      <c r="AM250" s="35">
        <f>AM249+D250</f>
        <v/>
      </c>
      <c r="AN250" s="35">
        <f>AN249+AL250</f>
        <v/>
      </c>
      <c r="AO250" s="35">
        <f>J250+P250+V250+AB250+AH250</f>
        <v/>
      </c>
    </row>
    <row r="251">
      <c r="A251" t="n">
        <v>248</v>
      </c>
      <c r="B251" s="34">
        <f>EDATE(B250,1)</f>
        <v/>
      </c>
      <c r="C251">
        <f>YEAR(B251)</f>
        <v/>
      </c>
      <c r="D251" s="35">
        <f>'Parámetros Proyección'!$B$3*(1+'Parámetros Proyección'!$B$4)^(C251-YEAR('Parámetros Proyección'!$B$6))</f>
        <v/>
      </c>
      <c r="E251" s="35">
        <f>J250</f>
        <v/>
      </c>
      <c r="F251" s="35">
        <f>E251*(1+'Parámetros Proyección'!$E$11)</f>
        <v/>
      </c>
      <c r="G251" s="35">
        <f>F251*'Parámetros Proyección'!$F$11</f>
        <v/>
      </c>
      <c r="H251" s="35">
        <f>F251+G251</f>
        <v/>
      </c>
      <c r="I251" s="35">
        <f>IF((H251/AI251&gt;'Parámetros Proyección'!$G$11),0,D251*'Parámetros Proyección'!$G$11/(IF((H251/AI251&gt;'Parámetros Proyección'!$G$11),0,'Parámetros Proyección'!$G$11)+IF((N251/AI251&gt;'Parámetros Proyección'!$G$12),0,'Parámetros Proyección'!$G$12)+IF((T251/AI251&gt;'Parámetros Proyección'!$G$13),0,'Parámetros Proyección'!$G$13)+IF((Z251/AI251&gt;'Parámetros Proyección'!$G$14),0,'Parámetros Proyección'!$G$14)+IF((AF251/AI251&gt;'Parámetros Proyección'!$G$15),0,'Parámetros Proyección'!$G$15)))</f>
        <v/>
      </c>
      <c r="J251" s="35">
        <f>H251+I251</f>
        <v/>
      </c>
      <c r="K251" s="35">
        <f>P250</f>
        <v/>
      </c>
      <c r="L251" s="35">
        <f>K251*(1+'Parámetros Proyección'!$E$12)</f>
        <v/>
      </c>
      <c r="M251" s="35">
        <f>L251*'Parámetros Proyección'!$F$12</f>
        <v/>
      </c>
      <c r="N251" s="35">
        <f>L251+M251</f>
        <v/>
      </c>
      <c r="O251" s="35">
        <f>IF((N251/AI251&gt;'Parámetros Proyección'!$G$12),0,D251*'Parámetros Proyección'!$G$12/(IF((H251/AI251&gt;'Parámetros Proyección'!$G$11),0,'Parámetros Proyección'!$G$11)+IF((N251/AI251&gt;'Parámetros Proyección'!$G$12),0,'Parámetros Proyección'!$G$12)+IF((T251/AI251&gt;'Parámetros Proyección'!$G$13),0,'Parámetros Proyección'!$G$13)+IF((Z251/AI251&gt;'Parámetros Proyección'!$G$14),0,'Parámetros Proyección'!$G$14)+IF((AF251/AI251&gt;'Parámetros Proyección'!$G$15),0,'Parámetros Proyección'!$G$15)))</f>
        <v/>
      </c>
      <c r="P251" s="35">
        <f>N251+O251</f>
        <v/>
      </c>
      <c r="Q251" s="35">
        <f>V250</f>
        <v/>
      </c>
      <c r="R251" s="35">
        <f>Q251*(1+'Parámetros Proyección'!$E$13)</f>
        <v/>
      </c>
      <c r="S251" s="35">
        <f>R251*'Parámetros Proyección'!$F$13</f>
        <v/>
      </c>
      <c r="T251" s="35">
        <f>R251+S251</f>
        <v/>
      </c>
      <c r="U251" s="35">
        <f>IF((T251/AI251&gt;'Parámetros Proyección'!$G$13),0,D251*'Parámetros Proyección'!$G$13/(IF((H251/AI251&gt;'Parámetros Proyección'!$G$11),0,'Parámetros Proyección'!$G$11)+IF((N251/AI251&gt;'Parámetros Proyección'!$G$12),0,'Parámetros Proyección'!$G$12)+IF((T251/AI251&gt;'Parámetros Proyección'!$G$13),0,'Parámetros Proyección'!$G$13)+IF((Z251/AI251&gt;'Parámetros Proyección'!$G$14),0,'Parámetros Proyección'!$G$14)+IF((AF251/AI251&gt;'Parámetros Proyección'!$G$15),0,'Parámetros Proyección'!$G$15)))</f>
        <v/>
      </c>
      <c r="V251" s="35">
        <f>T251+U251</f>
        <v/>
      </c>
      <c r="W251" s="35">
        <f>AB250</f>
        <v/>
      </c>
      <c r="X251" s="35">
        <f>W251*(1+'Parámetros Proyección'!$E$14)</f>
        <v/>
      </c>
      <c r="Y251" s="35">
        <f>X251*'Parámetros Proyección'!$F$14</f>
        <v/>
      </c>
      <c r="Z251" s="35">
        <f>X251+Y251</f>
        <v/>
      </c>
      <c r="AA251" s="35">
        <f>IF((Z251/AI251&gt;'Parámetros Proyección'!$G$14),0,D251*'Parámetros Proyección'!$G$14/(IF((H251/AI251&gt;'Parámetros Proyección'!$G$11),0,'Parámetros Proyección'!$G$11)+IF((N251/AI251&gt;'Parámetros Proyección'!$G$12),0,'Parámetros Proyección'!$G$12)+IF((T251/AI251&gt;'Parámetros Proyección'!$G$13),0,'Parámetros Proyección'!$G$13)+IF((Z251/AI251&gt;'Parámetros Proyección'!$G$14),0,'Parámetros Proyección'!$G$14)+IF((AF251/AI251&gt;'Parámetros Proyección'!$G$15),0,'Parámetros Proyección'!$G$15)))</f>
        <v/>
      </c>
      <c r="AB251" s="35">
        <f>Z251+AA251</f>
        <v/>
      </c>
      <c r="AC251" s="35">
        <f>AH250</f>
        <v/>
      </c>
      <c r="AD251" s="35">
        <f>AC251*(1+'Parámetros Proyección'!$E$15)</f>
        <v/>
      </c>
      <c r="AE251" s="35">
        <f>AD251*'Parámetros Proyección'!$F$15</f>
        <v/>
      </c>
      <c r="AF251" s="35">
        <f>AD251+AE251</f>
        <v/>
      </c>
      <c r="AG251" s="35">
        <f>IF((AF251/AI251&gt;'Parámetros Proyección'!$G$15),0,D251*'Parámetros Proyección'!$G$15/(IF((H251/AI251&gt;'Parámetros Proyección'!$G$11),0,'Parámetros Proyección'!$G$11)+IF((N251/AI251&gt;'Parámetros Proyección'!$G$12),0,'Parámetros Proyección'!$G$12)+IF((T251/AI251&gt;'Parámetros Proyección'!$G$13),0,'Parámetros Proyección'!$G$13)+IF((Z251/AI251&gt;'Parámetros Proyección'!$G$14),0,'Parámetros Proyección'!$G$14)+IF((AF251/AI251&gt;'Parámetros Proyección'!$G$15),0,'Parámetros Proyección'!$G$15)))</f>
        <v/>
      </c>
      <c r="AH251" s="35">
        <f>AF251+AG251</f>
        <v/>
      </c>
      <c r="AI251" s="35">
        <f>H251+N251+T251+Z251+AF251</f>
        <v/>
      </c>
      <c r="AJ251" s="33">
        <f>AF251/AI251</f>
        <v/>
      </c>
      <c r="AK251">
        <f>IF(AJ251&gt;'Parámetros Proyección'!$B$5,1,0)</f>
        <v/>
      </c>
      <c r="AL251" s="35">
        <f>G251+M251+S251+Y251+AE251</f>
        <v/>
      </c>
      <c r="AM251" s="35">
        <f>AM250+D251</f>
        <v/>
      </c>
      <c r="AN251" s="35">
        <f>AN250+AL251</f>
        <v/>
      </c>
      <c r="AO251" s="35">
        <f>J251+P251+V251+AB251+AH251</f>
        <v/>
      </c>
    </row>
    <row r="252">
      <c r="A252" t="n">
        <v>249</v>
      </c>
      <c r="B252" s="34">
        <f>EDATE(B251,1)</f>
        <v/>
      </c>
      <c r="C252">
        <f>YEAR(B252)</f>
        <v/>
      </c>
      <c r="D252" s="35">
        <f>'Parámetros Proyección'!$B$3*(1+'Parámetros Proyección'!$B$4)^(C252-YEAR('Parámetros Proyección'!$B$6))</f>
        <v/>
      </c>
      <c r="E252" s="35">
        <f>J251</f>
        <v/>
      </c>
      <c r="F252" s="35">
        <f>E252*(1+'Parámetros Proyección'!$E$11)</f>
        <v/>
      </c>
      <c r="G252" s="35">
        <f>F252*'Parámetros Proyección'!$F$11</f>
        <v/>
      </c>
      <c r="H252" s="35">
        <f>F252+G252</f>
        <v/>
      </c>
      <c r="I252" s="35">
        <f>IF((H252/AI252&gt;'Parámetros Proyección'!$G$11),0,D252*'Parámetros Proyección'!$G$11/(IF((H252/AI252&gt;'Parámetros Proyección'!$G$11),0,'Parámetros Proyección'!$G$11)+IF((N252/AI252&gt;'Parámetros Proyección'!$G$12),0,'Parámetros Proyección'!$G$12)+IF((T252/AI252&gt;'Parámetros Proyección'!$G$13),0,'Parámetros Proyección'!$G$13)+IF((Z252/AI252&gt;'Parámetros Proyección'!$G$14),0,'Parámetros Proyección'!$G$14)+IF((AF252/AI252&gt;'Parámetros Proyección'!$G$15),0,'Parámetros Proyección'!$G$15)))</f>
        <v/>
      </c>
      <c r="J252" s="35">
        <f>H252+I252</f>
        <v/>
      </c>
      <c r="K252" s="35">
        <f>P251</f>
        <v/>
      </c>
      <c r="L252" s="35">
        <f>K252*(1+'Parámetros Proyección'!$E$12)</f>
        <v/>
      </c>
      <c r="M252" s="35">
        <f>L252*'Parámetros Proyección'!$F$12</f>
        <v/>
      </c>
      <c r="N252" s="35">
        <f>L252+M252</f>
        <v/>
      </c>
      <c r="O252" s="35">
        <f>IF((N252/AI252&gt;'Parámetros Proyección'!$G$12),0,D252*'Parámetros Proyección'!$G$12/(IF((H252/AI252&gt;'Parámetros Proyección'!$G$11),0,'Parámetros Proyección'!$G$11)+IF((N252/AI252&gt;'Parámetros Proyección'!$G$12),0,'Parámetros Proyección'!$G$12)+IF((T252/AI252&gt;'Parámetros Proyección'!$G$13),0,'Parámetros Proyección'!$G$13)+IF((Z252/AI252&gt;'Parámetros Proyección'!$G$14),0,'Parámetros Proyección'!$G$14)+IF((AF252/AI252&gt;'Parámetros Proyección'!$G$15),0,'Parámetros Proyección'!$G$15)))</f>
        <v/>
      </c>
      <c r="P252" s="35">
        <f>N252+O252</f>
        <v/>
      </c>
      <c r="Q252" s="35">
        <f>V251</f>
        <v/>
      </c>
      <c r="R252" s="35">
        <f>Q252*(1+'Parámetros Proyección'!$E$13)</f>
        <v/>
      </c>
      <c r="S252" s="35">
        <f>R252*'Parámetros Proyección'!$F$13</f>
        <v/>
      </c>
      <c r="T252" s="35">
        <f>R252+S252</f>
        <v/>
      </c>
      <c r="U252" s="35">
        <f>IF((T252/AI252&gt;'Parámetros Proyección'!$G$13),0,D252*'Parámetros Proyección'!$G$13/(IF((H252/AI252&gt;'Parámetros Proyección'!$G$11),0,'Parámetros Proyección'!$G$11)+IF((N252/AI252&gt;'Parámetros Proyección'!$G$12),0,'Parámetros Proyección'!$G$12)+IF((T252/AI252&gt;'Parámetros Proyección'!$G$13),0,'Parámetros Proyección'!$G$13)+IF((Z252/AI252&gt;'Parámetros Proyección'!$G$14),0,'Parámetros Proyección'!$G$14)+IF((AF252/AI252&gt;'Parámetros Proyección'!$G$15),0,'Parámetros Proyección'!$G$15)))</f>
        <v/>
      </c>
      <c r="V252" s="35">
        <f>T252+U252</f>
        <v/>
      </c>
      <c r="W252" s="35">
        <f>AB251</f>
        <v/>
      </c>
      <c r="X252" s="35">
        <f>W252*(1+'Parámetros Proyección'!$E$14)</f>
        <v/>
      </c>
      <c r="Y252" s="35">
        <f>X252*'Parámetros Proyección'!$F$14</f>
        <v/>
      </c>
      <c r="Z252" s="35">
        <f>X252+Y252</f>
        <v/>
      </c>
      <c r="AA252" s="35">
        <f>IF((Z252/AI252&gt;'Parámetros Proyección'!$G$14),0,D252*'Parámetros Proyección'!$G$14/(IF((H252/AI252&gt;'Parámetros Proyección'!$G$11),0,'Parámetros Proyección'!$G$11)+IF((N252/AI252&gt;'Parámetros Proyección'!$G$12),0,'Parámetros Proyección'!$G$12)+IF((T252/AI252&gt;'Parámetros Proyección'!$G$13),0,'Parámetros Proyección'!$G$13)+IF((Z252/AI252&gt;'Parámetros Proyección'!$G$14),0,'Parámetros Proyección'!$G$14)+IF((AF252/AI252&gt;'Parámetros Proyección'!$G$15),0,'Parámetros Proyección'!$G$15)))</f>
        <v/>
      </c>
      <c r="AB252" s="35">
        <f>Z252+AA252</f>
        <v/>
      </c>
      <c r="AC252" s="35">
        <f>AH251</f>
        <v/>
      </c>
      <c r="AD252" s="35">
        <f>AC252*(1+'Parámetros Proyección'!$E$15)</f>
        <v/>
      </c>
      <c r="AE252" s="35">
        <f>AD252*'Parámetros Proyección'!$F$15</f>
        <v/>
      </c>
      <c r="AF252" s="35">
        <f>AD252+AE252</f>
        <v/>
      </c>
      <c r="AG252" s="35">
        <f>IF((AF252/AI252&gt;'Parámetros Proyección'!$G$15),0,D252*'Parámetros Proyección'!$G$15/(IF((H252/AI252&gt;'Parámetros Proyección'!$G$11),0,'Parámetros Proyección'!$G$11)+IF((N252/AI252&gt;'Parámetros Proyección'!$G$12),0,'Parámetros Proyección'!$G$12)+IF((T252/AI252&gt;'Parámetros Proyección'!$G$13),0,'Parámetros Proyección'!$G$13)+IF((Z252/AI252&gt;'Parámetros Proyección'!$G$14),0,'Parámetros Proyección'!$G$14)+IF((AF252/AI252&gt;'Parámetros Proyección'!$G$15),0,'Parámetros Proyección'!$G$15)))</f>
        <v/>
      </c>
      <c r="AH252" s="35">
        <f>AF252+AG252</f>
        <v/>
      </c>
      <c r="AI252" s="35">
        <f>H252+N252+T252+Z252+AF252</f>
        <v/>
      </c>
      <c r="AJ252" s="33">
        <f>AF252/AI252</f>
        <v/>
      </c>
      <c r="AK252">
        <f>IF(AJ252&gt;'Parámetros Proyección'!$B$5,1,0)</f>
        <v/>
      </c>
      <c r="AL252" s="35">
        <f>G252+M252+S252+Y252+AE252</f>
        <v/>
      </c>
      <c r="AM252" s="35">
        <f>AM251+D252</f>
        <v/>
      </c>
      <c r="AN252" s="35">
        <f>AN251+AL252</f>
        <v/>
      </c>
      <c r="AO252" s="35">
        <f>J252+P252+V252+AB252+AH252</f>
        <v/>
      </c>
    </row>
    <row r="253">
      <c r="A253" t="n">
        <v>250</v>
      </c>
      <c r="B253" s="34">
        <f>EDATE(B252,1)</f>
        <v/>
      </c>
      <c r="C253">
        <f>YEAR(B253)</f>
        <v/>
      </c>
      <c r="D253" s="35">
        <f>'Parámetros Proyección'!$B$3*(1+'Parámetros Proyección'!$B$4)^(C253-YEAR('Parámetros Proyección'!$B$6))</f>
        <v/>
      </c>
      <c r="E253" s="35">
        <f>J252</f>
        <v/>
      </c>
      <c r="F253" s="35">
        <f>E253*(1+'Parámetros Proyección'!$E$11)</f>
        <v/>
      </c>
      <c r="G253" s="35">
        <f>F253*'Parámetros Proyección'!$F$11</f>
        <v/>
      </c>
      <c r="H253" s="35">
        <f>F253+G253</f>
        <v/>
      </c>
      <c r="I253" s="35">
        <f>IF((H253/AI253&gt;'Parámetros Proyección'!$G$11),0,D253*'Parámetros Proyección'!$G$11/(IF((H253/AI253&gt;'Parámetros Proyección'!$G$11),0,'Parámetros Proyección'!$G$11)+IF((N253/AI253&gt;'Parámetros Proyección'!$G$12),0,'Parámetros Proyección'!$G$12)+IF((T253/AI253&gt;'Parámetros Proyección'!$G$13),0,'Parámetros Proyección'!$G$13)+IF((Z253/AI253&gt;'Parámetros Proyección'!$G$14),0,'Parámetros Proyección'!$G$14)+IF((AF253/AI253&gt;'Parámetros Proyección'!$G$15),0,'Parámetros Proyección'!$G$15)))</f>
        <v/>
      </c>
      <c r="J253" s="35">
        <f>H253+I253</f>
        <v/>
      </c>
      <c r="K253" s="35">
        <f>P252</f>
        <v/>
      </c>
      <c r="L253" s="35">
        <f>K253*(1+'Parámetros Proyección'!$E$12)</f>
        <v/>
      </c>
      <c r="M253" s="35">
        <f>L253*'Parámetros Proyección'!$F$12</f>
        <v/>
      </c>
      <c r="N253" s="35">
        <f>L253+M253</f>
        <v/>
      </c>
      <c r="O253" s="35">
        <f>IF((N253/AI253&gt;'Parámetros Proyección'!$G$12),0,D253*'Parámetros Proyección'!$G$12/(IF((H253/AI253&gt;'Parámetros Proyección'!$G$11),0,'Parámetros Proyección'!$G$11)+IF((N253/AI253&gt;'Parámetros Proyección'!$G$12),0,'Parámetros Proyección'!$G$12)+IF((T253/AI253&gt;'Parámetros Proyección'!$G$13),0,'Parámetros Proyección'!$G$13)+IF((Z253/AI253&gt;'Parámetros Proyección'!$G$14),0,'Parámetros Proyección'!$G$14)+IF((AF253/AI253&gt;'Parámetros Proyección'!$G$15),0,'Parámetros Proyección'!$G$15)))</f>
        <v/>
      </c>
      <c r="P253" s="35">
        <f>N253+O253</f>
        <v/>
      </c>
      <c r="Q253" s="35">
        <f>V252</f>
        <v/>
      </c>
      <c r="R253" s="35">
        <f>Q253*(1+'Parámetros Proyección'!$E$13)</f>
        <v/>
      </c>
      <c r="S253" s="35">
        <f>R253*'Parámetros Proyección'!$F$13</f>
        <v/>
      </c>
      <c r="T253" s="35">
        <f>R253+S253</f>
        <v/>
      </c>
      <c r="U253" s="35">
        <f>IF((T253/AI253&gt;'Parámetros Proyección'!$G$13),0,D253*'Parámetros Proyección'!$G$13/(IF((H253/AI253&gt;'Parámetros Proyección'!$G$11),0,'Parámetros Proyección'!$G$11)+IF((N253/AI253&gt;'Parámetros Proyección'!$G$12),0,'Parámetros Proyección'!$G$12)+IF((T253/AI253&gt;'Parámetros Proyección'!$G$13),0,'Parámetros Proyección'!$G$13)+IF((Z253/AI253&gt;'Parámetros Proyección'!$G$14),0,'Parámetros Proyección'!$G$14)+IF((AF253/AI253&gt;'Parámetros Proyección'!$G$15),0,'Parámetros Proyección'!$G$15)))</f>
        <v/>
      </c>
      <c r="V253" s="35">
        <f>T253+U253</f>
        <v/>
      </c>
      <c r="W253" s="35">
        <f>AB252</f>
        <v/>
      </c>
      <c r="X253" s="35">
        <f>W253*(1+'Parámetros Proyección'!$E$14)</f>
        <v/>
      </c>
      <c r="Y253" s="35">
        <f>X253*'Parámetros Proyección'!$F$14</f>
        <v/>
      </c>
      <c r="Z253" s="35">
        <f>X253+Y253</f>
        <v/>
      </c>
      <c r="AA253" s="35">
        <f>IF((Z253/AI253&gt;'Parámetros Proyección'!$G$14),0,D253*'Parámetros Proyección'!$G$14/(IF((H253/AI253&gt;'Parámetros Proyección'!$G$11),0,'Parámetros Proyección'!$G$11)+IF((N253/AI253&gt;'Parámetros Proyección'!$G$12),0,'Parámetros Proyección'!$G$12)+IF((T253/AI253&gt;'Parámetros Proyección'!$G$13),0,'Parámetros Proyección'!$G$13)+IF((Z253/AI253&gt;'Parámetros Proyección'!$G$14),0,'Parámetros Proyección'!$G$14)+IF((AF253/AI253&gt;'Parámetros Proyección'!$G$15),0,'Parámetros Proyección'!$G$15)))</f>
        <v/>
      </c>
      <c r="AB253" s="35">
        <f>Z253+AA253</f>
        <v/>
      </c>
      <c r="AC253" s="35">
        <f>AH252</f>
        <v/>
      </c>
      <c r="AD253" s="35">
        <f>AC253*(1+'Parámetros Proyección'!$E$15)</f>
        <v/>
      </c>
      <c r="AE253" s="35">
        <f>AD253*'Parámetros Proyección'!$F$15</f>
        <v/>
      </c>
      <c r="AF253" s="35">
        <f>AD253+AE253</f>
        <v/>
      </c>
      <c r="AG253" s="35">
        <f>IF((AF253/AI253&gt;'Parámetros Proyección'!$G$15),0,D253*'Parámetros Proyección'!$G$15/(IF((H253/AI253&gt;'Parámetros Proyección'!$G$11),0,'Parámetros Proyección'!$G$11)+IF((N253/AI253&gt;'Parámetros Proyección'!$G$12),0,'Parámetros Proyección'!$G$12)+IF((T253/AI253&gt;'Parámetros Proyección'!$G$13),0,'Parámetros Proyección'!$G$13)+IF((Z253/AI253&gt;'Parámetros Proyección'!$G$14),0,'Parámetros Proyección'!$G$14)+IF((AF253/AI253&gt;'Parámetros Proyección'!$G$15),0,'Parámetros Proyección'!$G$15)))</f>
        <v/>
      </c>
      <c r="AH253" s="35">
        <f>AF253+AG253</f>
        <v/>
      </c>
      <c r="AI253" s="35">
        <f>H253+N253+T253+Z253+AF253</f>
        <v/>
      </c>
      <c r="AJ253" s="33">
        <f>AF253/AI253</f>
        <v/>
      </c>
      <c r="AK253">
        <f>IF(AJ253&gt;'Parámetros Proyección'!$B$5,1,0)</f>
        <v/>
      </c>
      <c r="AL253" s="35">
        <f>G253+M253+S253+Y253+AE253</f>
        <v/>
      </c>
      <c r="AM253" s="35">
        <f>AM252+D253</f>
        <v/>
      </c>
      <c r="AN253" s="35">
        <f>AN252+AL253</f>
        <v/>
      </c>
      <c r="AO253" s="35">
        <f>J253+P253+V253+AB253+AH253</f>
        <v/>
      </c>
    </row>
    <row r="254">
      <c r="A254" t="n">
        <v>251</v>
      </c>
      <c r="B254" s="34">
        <f>EDATE(B253,1)</f>
        <v/>
      </c>
      <c r="C254">
        <f>YEAR(B254)</f>
        <v/>
      </c>
      <c r="D254" s="35">
        <f>'Parámetros Proyección'!$B$3*(1+'Parámetros Proyección'!$B$4)^(C254-YEAR('Parámetros Proyección'!$B$6))</f>
        <v/>
      </c>
      <c r="E254" s="35">
        <f>J253</f>
        <v/>
      </c>
      <c r="F254" s="35">
        <f>E254*(1+'Parámetros Proyección'!$E$11)</f>
        <v/>
      </c>
      <c r="G254" s="35">
        <f>F254*'Parámetros Proyección'!$F$11</f>
        <v/>
      </c>
      <c r="H254" s="35">
        <f>F254+G254</f>
        <v/>
      </c>
      <c r="I254" s="35">
        <f>IF((H254/AI254&gt;'Parámetros Proyección'!$G$11),0,D254*'Parámetros Proyección'!$G$11/(IF((H254/AI254&gt;'Parámetros Proyección'!$G$11),0,'Parámetros Proyección'!$G$11)+IF((N254/AI254&gt;'Parámetros Proyección'!$G$12),0,'Parámetros Proyección'!$G$12)+IF((T254/AI254&gt;'Parámetros Proyección'!$G$13),0,'Parámetros Proyección'!$G$13)+IF((Z254/AI254&gt;'Parámetros Proyección'!$G$14),0,'Parámetros Proyección'!$G$14)+IF((AF254/AI254&gt;'Parámetros Proyección'!$G$15),0,'Parámetros Proyección'!$G$15)))</f>
        <v/>
      </c>
      <c r="J254" s="35">
        <f>H254+I254</f>
        <v/>
      </c>
      <c r="K254" s="35">
        <f>P253</f>
        <v/>
      </c>
      <c r="L254" s="35">
        <f>K254*(1+'Parámetros Proyección'!$E$12)</f>
        <v/>
      </c>
      <c r="M254" s="35">
        <f>L254*'Parámetros Proyección'!$F$12</f>
        <v/>
      </c>
      <c r="N254" s="35">
        <f>L254+M254</f>
        <v/>
      </c>
      <c r="O254" s="35">
        <f>IF((N254/AI254&gt;'Parámetros Proyección'!$G$12),0,D254*'Parámetros Proyección'!$G$12/(IF((H254/AI254&gt;'Parámetros Proyección'!$G$11),0,'Parámetros Proyección'!$G$11)+IF((N254/AI254&gt;'Parámetros Proyección'!$G$12),0,'Parámetros Proyección'!$G$12)+IF((T254/AI254&gt;'Parámetros Proyección'!$G$13),0,'Parámetros Proyección'!$G$13)+IF((Z254/AI254&gt;'Parámetros Proyección'!$G$14),0,'Parámetros Proyección'!$G$14)+IF((AF254/AI254&gt;'Parámetros Proyección'!$G$15),0,'Parámetros Proyección'!$G$15)))</f>
        <v/>
      </c>
      <c r="P254" s="35">
        <f>N254+O254</f>
        <v/>
      </c>
      <c r="Q254" s="35">
        <f>V253</f>
        <v/>
      </c>
      <c r="R254" s="35">
        <f>Q254*(1+'Parámetros Proyección'!$E$13)</f>
        <v/>
      </c>
      <c r="S254" s="35">
        <f>R254*'Parámetros Proyección'!$F$13</f>
        <v/>
      </c>
      <c r="T254" s="35">
        <f>R254+S254</f>
        <v/>
      </c>
      <c r="U254" s="35">
        <f>IF((T254/AI254&gt;'Parámetros Proyección'!$G$13),0,D254*'Parámetros Proyección'!$G$13/(IF((H254/AI254&gt;'Parámetros Proyección'!$G$11),0,'Parámetros Proyección'!$G$11)+IF((N254/AI254&gt;'Parámetros Proyección'!$G$12),0,'Parámetros Proyección'!$G$12)+IF((T254/AI254&gt;'Parámetros Proyección'!$G$13),0,'Parámetros Proyección'!$G$13)+IF((Z254/AI254&gt;'Parámetros Proyección'!$G$14),0,'Parámetros Proyección'!$G$14)+IF((AF254/AI254&gt;'Parámetros Proyección'!$G$15),0,'Parámetros Proyección'!$G$15)))</f>
        <v/>
      </c>
      <c r="V254" s="35">
        <f>T254+U254</f>
        <v/>
      </c>
      <c r="W254" s="35">
        <f>AB253</f>
        <v/>
      </c>
      <c r="X254" s="35">
        <f>W254*(1+'Parámetros Proyección'!$E$14)</f>
        <v/>
      </c>
      <c r="Y254" s="35">
        <f>X254*'Parámetros Proyección'!$F$14</f>
        <v/>
      </c>
      <c r="Z254" s="35">
        <f>X254+Y254</f>
        <v/>
      </c>
      <c r="AA254" s="35">
        <f>IF((Z254/AI254&gt;'Parámetros Proyección'!$G$14),0,D254*'Parámetros Proyección'!$G$14/(IF((H254/AI254&gt;'Parámetros Proyección'!$G$11),0,'Parámetros Proyección'!$G$11)+IF((N254/AI254&gt;'Parámetros Proyección'!$G$12),0,'Parámetros Proyección'!$G$12)+IF((T254/AI254&gt;'Parámetros Proyección'!$G$13),0,'Parámetros Proyección'!$G$13)+IF((Z254/AI254&gt;'Parámetros Proyección'!$G$14),0,'Parámetros Proyección'!$G$14)+IF((AF254/AI254&gt;'Parámetros Proyección'!$G$15),0,'Parámetros Proyección'!$G$15)))</f>
        <v/>
      </c>
      <c r="AB254" s="35">
        <f>Z254+AA254</f>
        <v/>
      </c>
      <c r="AC254" s="35">
        <f>AH253</f>
        <v/>
      </c>
      <c r="AD254" s="35">
        <f>AC254*(1+'Parámetros Proyección'!$E$15)</f>
        <v/>
      </c>
      <c r="AE254" s="35">
        <f>AD254*'Parámetros Proyección'!$F$15</f>
        <v/>
      </c>
      <c r="AF254" s="35">
        <f>AD254+AE254</f>
        <v/>
      </c>
      <c r="AG254" s="35">
        <f>IF((AF254/AI254&gt;'Parámetros Proyección'!$G$15),0,D254*'Parámetros Proyección'!$G$15/(IF((H254/AI254&gt;'Parámetros Proyección'!$G$11),0,'Parámetros Proyección'!$G$11)+IF((N254/AI254&gt;'Parámetros Proyección'!$G$12),0,'Parámetros Proyección'!$G$12)+IF((T254/AI254&gt;'Parámetros Proyección'!$G$13),0,'Parámetros Proyección'!$G$13)+IF((Z254/AI254&gt;'Parámetros Proyección'!$G$14),0,'Parámetros Proyección'!$G$14)+IF((AF254/AI254&gt;'Parámetros Proyección'!$G$15),0,'Parámetros Proyección'!$G$15)))</f>
        <v/>
      </c>
      <c r="AH254" s="35">
        <f>AF254+AG254</f>
        <v/>
      </c>
      <c r="AI254" s="35">
        <f>H254+N254+T254+Z254+AF254</f>
        <v/>
      </c>
      <c r="AJ254" s="33">
        <f>AF254/AI254</f>
        <v/>
      </c>
      <c r="AK254">
        <f>IF(AJ254&gt;'Parámetros Proyección'!$B$5,1,0)</f>
        <v/>
      </c>
      <c r="AL254" s="35">
        <f>G254+M254+S254+Y254+AE254</f>
        <v/>
      </c>
      <c r="AM254" s="35">
        <f>AM253+D254</f>
        <v/>
      </c>
      <c r="AN254" s="35">
        <f>AN253+AL254</f>
        <v/>
      </c>
      <c r="AO254" s="35">
        <f>J254+P254+V254+AB254+AH254</f>
        <v/>
      </c>
    </row>
    <row r="255">
      <c r="A255" t="n">
        <v>252</v>
      </c>
      <c r="B255" s="34">
        <f>EDATE(B254,1)</f>
        <v/>
      </c>
      <c r="C255">
        <f>YEAR(B255)</f>
        <v/>
      </c>
      <c r="D255" s="35">
        <f>'Parámetros Proyección'!$B$3*(1+'Parámetros Proyección'!$B$4)^(C255-YEAR('Parámetros Proyección'!$B$6))</f>
        <v/>
      </c>
      <c r="E255" s="35">
        <f>J254</f>
        <v/>
      </c>
      <c r="F255" s="35">
        <f>E255*(1+'Parámetros Proyección'!$E$11)</f>
        <v/>
      </c>
      <c r="G255" s="35">
        <f>F255*'Parámetros Proyección'!$F$11</f>
        <v/>
      </c>
      <c r="H255" s="35">
        <f>F255+G255</f>
        <v/>
      </c>
      <c r="I255" s="35">
        <f>IF((H255/AI255&gt;'Parámetros Proyección'!$G$11),0,D255*'Parámetros Proyección'!$G$11/(IF((H255/AI255&gt;'Parámetros Proyección'!$G$11),0,'Parámetros Proyección'!$G$11)+IF((N255/AI255&gt;'Parámetros Proyección'!$G$12),0,'Parámetros Proyección'!$G$12)+IF((T255/AI255&gt;'Parámetros Proyección'!$G$13),0,'Parámetros Proyección'!$G$13)+IF((Z255/AI255&gt;'Parámetros Proyección'!$G$14),0,'Parámetros Proyección'!$G$14)+IF((AF255/AI255&gt;'Parámetros Proyección'!$G$15),0,'Parámetros Proyección'!$G$15)))</f>
        <v/>
      </c>
      <c r="J255" s="35">
        <f>H255+I255</f>
        <v/>
      </c>
      <c r="K255" s="35">
        <f>P254</f>
        <v/>
      </c>
      <c r="L255" s="35">
        <f>K255*(1+'Parámetros Proyección'!$E$12)</f>
        <v/>
      </c>
      <c r="M255" s="35">
        <f>L255*'Parámetros Proyección'!$F$12</f>
        <v/>
      </c>
      <c r="N255" s="35">
        <f>L255+M255</f>
        <v/>
      </c>
      <c r="O255" s="35">
        <f>IF((N255/AI255&gt;'Parámetros Proyección'!$G$12),0,D255*'Parámetros Proyección'!$G$12/(IF((H255/AI255&gt;'Parámetros Proyección'!$G$11),0,'Parámetros Proyección'!$G$11)+IF((N255/AI255&gt;'Parámetros Proyección'!$G$12),0,'Parámetros Proyección'!$G$12)+IF((T255/AI255&gt;'Parámetros Proyección'!$G$13),0,'Parámetros Proyección'!$G$13)+IF((Z255/AI255&gt;'Parámetros Proyección'!$G$14),0,'Parámetros Proyección'!$G$14)+IF((AF255/AI255&gt;'Parámetros Proyección'!$G$15),0,'Parámetros Proyección'!$G$15)))</f>
        <v/>
      </c>
      <c r="P255" s="35">
        <f>N255+O255</f>
        <v/>
      </c>
      <c r="Q255" s="35">
        <f>V254</f>
        <v/>
      </c>
      <c r="R255" s="35">
        <f>Q255*(1+'Parámetros Proyección'!$E$13)</f>
        <v/>
      </c>
      <c r="S255" s="35">
        <f>R255*'Parámetros Proyección'!$F$13</f>
        <v/>
      </c>
      <c r="T255" s="35">
        <f>R255+S255</f>
        <v/>
      </c>
      <c r="U255" s="35">
        <f>IF((T255/AI255&gt;'Parámetros Proyección'!$G$13),0,D255*'Parámetros Proyección'!$G$13/(IF((H255/AI255&gt;'Parámetros Proyección'!$G$11),0,'Parámetros Proyección'!$G$11)+IF((N255/AI255&gt;'Parámetros Proyección'!$G$12),0,'Parámetros Proyección'!$G$12)+IF((T255/AI255&gt;'Parámetros Proyección'!$G$13),0,'Parámetros Proyección'!$G$13)+IF((Z255/AI255&gt;'Parámetros Proyección'!$G$14),0,'Parámetros Proyección'!$G$14)+IF((AF255/AI255&gt;'Parámetros Proyección'!$G$15),0,'Parámetros Proyección'!$G$15)))</f>
        <v/>
      </c>
      <c r="V255" s="35">
        <f>T255+U255</f>
        <v/>
      </c>
      <c r="W255" s="35">
        <f>AB254</f>
        <v/>
      </c>
      <c r="X255" s="35">
        <f>W255*(1+'Parámetros Proyección'!$E$14)</f>
        <v/>
      </c>
      <c r="Y255" s="35">
        <f>X255*'Parámetros Proyección'!$F$14</f>
        <v/>
      </c>
      <c r="Z255" s="35">
        <f>X255+Y255</f>
        <v/>
      </c>
      <c r="AA255" s="35">
        <f>IF((Z255/AI255&gt;'Parámetros Proyección'!$G$14),0,D255*'Parámetros Proyección'!$G$14/(IF((H255/AI255&gt;'Parámetros Proyección'!$G$11),0,'Parámetros Proyección'!$G$11)+IF((N255/AI255&gt;'Parámetros Proyección'!$G$12),0,'Parámetros Proyección'!$G$12)+IF((T255/AI255&gt;'Parámetros Proyección'!$G$13),0,'Parámetros Proyección'!$G$13)+IF((Z255/AI255&gt;'Parámetros Proyección'!$G$14),0,'Parámetros Proyección'!$G$14)+IF((AF255/AI255&gt;'Parámetros Proyección'!$G$15),0,'Parámetros Proyección'!$G$15)))</f>
        <v/>
      </c>
      <c r="AB255" s="35">
        <f>Z255+AA255</f>
        <v/>
      </c>
      <c r="AC255" s="35">
        <f>AH254</f>
        <v/>
      </c>
      <c r="AD255" s="35">
        <f>AC255*(1+'Parámetros Proyección'!$E$15)</f>
        <v/>
      </c>
      <c r="AE255" s="35">
        <f>AD255*'Parámetros Proyección'!$F$15</f>
        <v/>
      </c>
      <c r="AF255" s="35">
        <f>AD255+AE255</f>
        <v/>
      </c>
      <c r="AG255" s="35">
        <f>IF((AF255/AI255&gt;'Parámetros Proyección'!$G$15),0,D255*'Parámetros Proyección'!$G$15/(IF((H255/AI255&gt;'Parámetros Proyección'!$G$11),0,'Parámetros Proyección'!$G$11)+IF((N255/AI255&gt;'Parámetros Proyección'!$G$12),0,'Parámetros Proyección'!$G$12)+IF((T255/AI255&gt;'Parámetros Proyección'!$G$13),0,'Parámetros Proyección'!$G$13)+IF((Z255/AI255&gt;'Parámetros Proyección'!$G$14),0,'Parámetros Proyección'!$G$14)+IF((AF255/AI255&gt;'Parámetros Proyección'!$G$15),0,'Parámetros Proyección'!$G$15)))</f>
        <v/>
      </c>
      <c r="AH255" s="35">
        <f>AF255+AG255</f>
        <v/>
      </c>
      <c r="AI255" s="35">
        <f>H255+N255+T255+Z255+AF255</f>
        <v/>
      </c>
      <c r="AJ255" s="33">
        <f>AF255/AI255</f>
        <v/>
      </c>
      <c r="AK255">
        <f>IF(AJ255&gt;'Parámetros Proyección'!$B$5,1,0)</f>
        <v/>
      </c>
      <c r="AL255" s="35">
        <f>G255+M255+S255+Y255+AE255</f>
        <v/>
      </c>
      <c r="AM255" s="35">
        <f>AM254+D255</f>
        <v/>
      </c>
      <c r="AN255" s="35">
        <f>AN254+AL255</f>
        <v/>
      </c>
      <c r="AO255" s="35">
        <f>J255+P255+V255+AB255+AH255</f>
        <v/>
      </c>
    </row>
    <row r="256">
      <c r="A256" t="n">
        <v>253</v>
      </c>
      <c r="B256" s="34">
        <f>EDATE(B255,1)</f>
        <v/>
      </c>
      <c r="C256">
        <f>YEAR(B256)</f>
        <v/>
      </c>
      <c r="D256" s="35">
        <f>'Parámetros Proyección'!$B$3*(1+'Parámetros Proyección'!$B$4)^(C256-YEAR('Parámetros Proyección'!$B$6))</f>
        <v/>
      </c>
      <c r="E256" s="35">
        <f>J255</f>
        <v/>
      </c>
      <c r="F256" s="35">
        <f>E256*(1+'Parámetros Proyección'!$E$11)</f>
        <v/>
      </c>
      <c r="G256" s="35">
        <f>F256*'Parámetros Proyección'!$F$11</f>
        <v/>
      </c>
      <c r="H256" s="35">
        <f>F256+G256</f>
        <v/>
      </c>
      <c r="I256" s="35">
        <f>IF((H256/AI256&gt;'Parámetros Proyección'!$G$11),0,D256*'Parámetros Proyección'!$G$11/(IF((H256/AI256&gt;'Parámetros Proyección'!$G$11),0,'Parámetros Proyección'!$G$11)+IF((N256/AI256&gt;'Parámetros Proyección'!$G$12),0,'Parámetros Proyección'!$G$12)+IF((T256/AI256&gt;'Parámetros Proyección'!$G$13),0,'Parámetros Proyección'!$G$13)+IF((Z256/AI256&gt;'Parámetros Proyección'!$G$14),0,'Parámetros Proyección'!$G$14)+IF((AF256/AI256&gt;'Parámetros Proyección'!$G$15),0,'Parámetros Proyección'!$G$15)))</f>
        <v/>
      </c>
      <c r="J256" s="35">
        <f>H256+I256</f>
        <v/>
      </c>
      <c r="K256" s="35">
        <f>P255</f>
        <v/>
      </c>
      <c r="L256" s="35">
        <f>K256*(1+'Parámetros Proyección'!$E$12)</f>
        <v/>
      </c>
      <c r="M256" s="35">
        <f>L256*'Parámetros Proyección'!$F$12</f>
        <v/>
      </c>
      <c r="N256" s="35">
        <f>L256+M256</f>
        <v/>
      </c>
      <c r="O256" s="35">
        <f>IF((N256/AI256&gt;'Parámetros Proyección'!$G$12),0,D256*'Parámetros Proyección'!$G$12/(IF((H256/AI256&gt;'Parámetros Proyección'!$G$11),0,'Parámetros Proyección'!$G$11)+IF((N256/AI256&gt;'Parámetros Proyección'!$G$12),0,'Parámetros Proyección'!$G$12)+IF((T256/AI256&gt;'Parámetros Proyección'!$G$13),0,'Parámetros Proyección'!$G$13)+IF((Z256/AI256&gt;'Parámetros Proyección'!$G$14),0,'Parámetros Proyección'!$G$14)+IF((AF256/AI256&gt;'Parámetros Proyección'!$G$15),0,'Parámetros Proyección'!$G$15)))</f>
        <v/>
      </c>
      <c r="P256" s="35">
        <f>N256+O256</f>
        <v/>
      </c>
      <c r="Q256" s="35">
        <f>V255</f>
        <v/>
      </c>
      <c r="R256" s="35">
        <f>Q256*(1+'Parámetros Proyección'!$E$13)</f>
        <v/>
      </c>
      <c r="S256" s="35">
        <f>R256*'Parámetros Proyección'!$F$13</f>
        <v/>
      </c>
      <c r="T256" s="35">
        <f>R256+S256</f>
        <v/>
      </c>
      <c r="U256" s="35">
        <f>IF((T256/AI256&gt;'Parámetros Proyección'!$G$13),0,D256*'Parámetros Proyección'!$G$13/(IF((H256/AI256&gt;'Parámetros Proyección'!$G$11),0,'Parámetros Proyección'!$G$11)+IF((N256/AI256&gt;'Parámetros Proyección'!$G$12),0,'Parámetros Proyección'!$G$12)+IF((T256/AI256&gt;'Parámetros Proyección'!$G$13),0,'Parámetros Proyección'!$G$13)+IF((Z256/AI256&gt;'Parámetros Proyección'!$G$14),0,'Parámetros Proyección'!$G$14)+IF((AF256/AI256&gt;'Parámetros Proyección'!$G$15),0,'Parámetros Proyección'!$G$15)))</f>
        <v/>
      </c>
      <c r="V256" s="35">
        <f>T256+U256</f>
        <v/>
      </c>
      <c r="W256" s="35">
        <f>AB255</f>
        <v/>
      </c>
      <c r="X256" s="35">
        <f>W256*(1+'Parámetros Proyección'!$E$14)</f>
        <v/>
      </c>
      <c r="Y256" s="35">
        <f>X256*'Parámetros Proyección'!$F$14</f>
        <v/>
      </c>
      <c r="Z256" s="35">
        <f>X256+Y256</f>
        <v/>
      </c>
      <c r="AA256" s="35">
        <f>IF((Z256/AI256&gt;'Parámetros Proyección'!$G$14),0,D256*'Parámetros Proyección'!$G$14/(IF((H256/AI256&gt;'Parámetros Proyección'!$G$11),0,'Parámetros Proyección'!$G$11)+IF((N256/AI256&gt;'Parámetros Proyección'!$G$12),0,'Parámetros Proyección'!$G$12)+IF((T256/AI256&gt;'Parámetros Proyección'!$G$13),0,'Parámetros Proyección'!$G$13)+IF((Z256/AI256&gt;'Parámetros Proyección'!$G$14),0,'Parámetros Proyección'!$G$14)+IF((AF256/AI256&gt;'Parámetros Proyección'!$G$15),0,'Parámetros Proyección'!$G$15)))</f>
        <v/>
      </c>
      <c r="AB256" s="35">
        <f>Z256+AA256</f>
        <v/>
      </c>
      <c r="AC256" s="35">
        <f>AH255</f>
        <v/>
      </c>
      <c r="AD256" s="35">
        <f>AC256*(1+'Parámetros Proyección'!$E$15)</f>
        <v/>
      </c>
      <c r="AE256" s="35">
        <f>AD256*'Parámetros Proyección'!$F$15</f>
        <v/>
      </c>
      <c r="AF256" s="35">
        <f>AD256+AE256</f>
        <v/>
      </c>
      <c r="AG256" s="35">
        <f>IF((AF256/AI256&gt;'Parámetros Proyección'!$G$15),0,D256*'Parámetros Proyección'!$G$15/(IF((H256/AI256&gt;'Parámetros Proyección'!$G$11),0,'Parámetros Proyección'!$G$11)+IF((N256/AI256&gt;'Parámetros Proyección'!$G$12),0,'Parámetros Proyección'!$G$12)+IF((T256/AI256&gt;'Parámetros Proyección'!$G$13),0,'Parámetros Proyección'!$G$13)+IF((Z256/AI256&gt;'Parámetros Proyección'!$G$14),0,'Parámetros Proyección'!$G$14)+IF((AF256/AI256&gt;'Parámetros Proyección'!$G$15),0,'Parámetros Proyección'!$G$15)))</f>
        <v/>
      </c>
      <c r="AH256" s="35">
        <f>AF256+AG256</f>
        <v/>
      </c>
      <c r="AI256" s="35">
        <f>H256+N256+T256+Z256+AF256</f>
        <v/>
      </c>
      <c r="AJ256" s="33">
        <f>AF256/AI256</f>
        <v/>
      </c>
      <c r="AK256">
        <f>IF(AJ256&gt;'Parámetros Proyección'!$B$5,1,0)</f>
        <v/>
      </c>
      <c r="AL256" s="35">
        <f>G256+M256+S256+Y256+AE256</f>
        <v/>
      </c>
      <c r="AM256" s="35">
        <f>AM255+D256</f>
        <v/>
      </c>
      <c r="AN256" s="35">
        <f>AN255+AL256</f>
        <v/>
      </c>
      <c r="AO256" s="35">
        <f>J256+P256+V256+AB256+AH256</f>
        <v/>
      </c>
    </row>
    <row r="257">
      <c r="A257" t="n">
        <v>254</v>
      </c>
      <c r="B257" s="34">
        <f>EDATE(B256,1)</f>
        <v/>
      </c>
      <c r="C257">
        <f>YEAR(B257)</f>
        <v/>
      </c>
      <c r="D257" s="35">
        <f>'Parámetros Proyección'!$B$3*(1+'Parámetros Proyección'!$B$4)^(C257-YEAR('Parámetros Proyección'!$B$6))</f>
        <v/>
      </c>
      <c r="E257" s="35">
        <f>J256</f>
        <v/>
      </c>
      <c r="F257" s="35">
        <f>E257*(1+'Parámetros Proyección'!$E$11)</f>
        <v/>
      </c>
      <c r="G257" s="35">
        <f>F257*'Parámetros Proyección'!$F$11</f>
        <v/>
      </c>
      <c r="H257" s="35">
        <f>F257+G257</f>
        <v/>
      </c>
      <c r="I257" s="35">
        <f>IF((H257/AI257&gt;'Parámetros Proyección'!$G$11),0,D257*'Parámetros Proyección'!$G$11/(IF((H257/AI257&gt;'Parámetros Proyección'!$G$11),0,'Parámetros Proyección'!$G$11)+IF((N257/AI257&gt;'Parámetros Proyección'!$G$12),0,'Parámetros Proyección'!$G$12)+IF((T257/AI257&gt;'Parámetros Proyección'!$G$13),0,'Parámetros Proyección'!$G$13)+IF((Z257/AI257&gt;'Parámetros Proyección'!$G$14),0,'Parámetros Proyección'!$G$14)+IF((AF257/AI257&gt;'Parámetros Proyección'!$G$15),0,'Parámetros Proyección'!$G$15)))</f>
        <v/>
      </c>
      <c r="J257" s="35">
        <f>H257+I257</f>
        <v/>
      </c>
      <c r="K257" s="35">
        <f>P256</f>
        <v/>
      </c>
      <c r="L257" s="35">
        <f>K257*(1+'Parámetros Proyección'!$E$12)</f>
        <v/>
      </c>
      <c r="M257" s="35">
        <f>L257*'Parámetros Proyección'!$F$12</f>
        <v/>
      </c>
      <c r="N257" s="35">
        <f>L257+M257</f>
        <v/>
      </c>
      <c r="O257" s="35">
        <f>IF((N257/AI257&gt;'Parámetros Proyección'!$G$12),0,D257*'Parámetros Proyección'!$G$12/(IF((H257/AI257&gt;'Parámetros Proyección'!$G$11),0,'Parámetros Proyección'!$G$11)+IF((N257/AI257&gt;'Parámetros Proyección'!$G$12),0,'Parámetros Proyección'!$G$12)+IF((T257/AI257&gt;'Parámetros Proyección'!$G$13),0,'Parámetros Proyección'!$G$13)+IF((Z257/AI257&gt;'Parámetros Proyección'!$G$14),0,'Parámetros Proyección'!$G$14)+IF((AF257/AI257&gt;'Parámetros Proyección'!$G$15),0,'Parámetros Proyección'!$G$15)))</f>
        <v/>
      </c>
      <c r="P257" s="35">
        <f>N257+O257</f>
        <v/>
      </c>
      <c r="Q257" s="35">
        <f>V256</f>
        <v/>
      </c>
      <c r="R257" s="35">
        <f>Q257*(1+'Parámetros Proyección'!$E$13)</f>
        <v/>
      </c>
      <c r="S257" s="35">
        <f>R257*'Parámetros Proyección'!$F$13</f>
        <v/>
      </c>
      <c r="T257" s="35">
        <f>R257+S257</f>
        <v/>
      </c>
      <c r="U257" s="35">
        <f>IF((T257/AI257&gt;'Parámetros Proyección'!$G$13),0,D257*'Parámetros Proyección'!$G$13/(IF((H257/AI257&gt;'Parámetros Proyección'!$G$11),0,'Parámetros Proyección'!$G$11)+IF((N257/AI257&gt;'Parámetros Proyección'!$G$12),0,'Parámetros Proyección'!$G$12)+IF((T257/AI257&gt;'Parámetros Proyección'!$G$13),0,'Parámetros Proyección'!$G$13)+IF((Z257/AI257&gt;'Parámetros Proyección'!$G$14),0,'Parámetros Proyección'!$G$14)+IF((AF257/AI257&gt;'Parámetros Proyección'!$G$15),0,'Parámetros Proyección'!$G$15)))</f>
        <v/>
      </c>
      <c r="V257" s="35">
        <f>T257+U257</f>
        <v/>
      </c>
      <c r="W257" s="35">
        <f>AB256</f>
        <v/>
      </c>
      <c r="X257" s="35">
        <f>W257*(1+'Parámetros Proyección'!$E$14)</f>
        <v/>
      </c>
      <c r="Y257" s="35">
        <f>X257*'Parámetros Proyección'!$F$14</f>
        <v/>
      </c>
      <c r="Z257" s="35">
        <f>X257+Y257</f>
        <v/>
      </c>
      <c r="AA257" s="35">
        <f>IF((Z257/AI257&gt;'Parámetros Proyección'!$G$14),0,D257*'Parámetros Proyección'!$G$14/(IF((H257/AI257&gt;'Parámetros Proyección'!$G$11),0,'Parámetros Proyección'!$G$11)+IF((N257/AI257&gt;'Parámetros Proyección'!$G$12),0,'Parámetros Proyección'!$G$12)+IF((T257/AI257&gt;'Parámetros Proyección'!$G$13),0,'Parámetros Proyección'!$G$13)+IF((Z257/AI257&gt;'Parámetros Proyección'!$G$14),0,'Parámetros Proyección'!$G$14)+IF((AF257/AI257&gt;'Parámetros Proyección'!$G$15),0,'Parámetros Proyección'!$G$15)))</f>
        <v/>
      </c>
      <c r="AB257" s="35">
        <f>Z257+AA257</f>
        <v/>
      </c>
      <c r="AC257" s="35">
        <f>AH256</f>
        <v/>
      </c>
      <c r="AD257" s="35">
        <f>AC257*(1+'Parámetros Proyección'!$E$15)</f>
        <v/>
      </c>
      <c r="AE257" s="35">
        <f>AD257*'Parámetros Proyección'!$F$15</f>
        <v/>
      </c>
      <c r="AF257" s="35">
        <f>AD257+AE257</f>
        <v/>
      </c>
      <c r="AG257" s="35">
        <f>IF((AF257/AI257&gt;'Parámetros Proyección'!$G$15),0,D257*'Parámetros Proyección'!$G$15/(IF((H257/AI257&gt;'Parámetros Proyección'!$G$11),0,'Parámetros Proyección'!$G$11)+IF((N257/AI257&gt;'Parámetros Proyección'!$G$12),0,'Parámetros Proyección'!$G$12)+IF((T257/AI257&gt;'Parámetros Proyección'!$G$13),0,'Parámetros Proyección'!$G$13)+IF((Z257/AI257&gt;'Parámetros Proyección'!$G$14),0,'Parámetros Proyección'!$G$14)+IF((AF257/AI257&gt;'Parámetros Proyección'!$G$15),0,'Parámetros Proyección'!$G$15)))</f>
        <v/>
      </c>
      <c r="AH257" s="35">
        <f>AF257+AG257</f>
        <v/>
      </c>
      <c r="AI257" s="35">
        <f>H257+N257+T257+Z257+AF257</f>
        <v/>
      </c>
      <c r="AJ257" s="33">
        <f>AF257/AI257</f>
        <v/>
      </c>
      <c r="AK257">
        <f>IF(AJ257&gt;'Parámetros Proyección'!$B$5,1,0)</f>
        <v/>
      </c>
      <c r="AL257" s="35">
        <f>G257+M257+S257+Y257+AE257</f>
        <v/>
      </c>
      <c r="AM257" s="35">
        <f>AM256+D257</f>
        <v/>
      </c>
      <c r="AN257" s="35">
        <f>AN256+AL257</f>
        <v/>
      </c>
      <c r="AO257" s="35">
        <f>J257+P257+V257+AB257+AH257</f>
        <v/>
      </c>
    </row>
    <row r="258">
      <c r="A258" t="n">
        <v>255</v>
      </c>
      <c r="B258" s="34">
        <f>EDATE(B257,1)</f>
        <v/>
      </c>
      <c r="C258">
        <f>YEAR(B258)</f>
        <v/>
      </c>
      <c r="D258" s="35">
        <f>'Parámetros Proyección'!$B$3*(1+'Parámetros Proyección'!$B$4)^(C258-YEAR('Parámetros Proyección'!$B$6))</f>
        <v/>
      </c>
      <c r="E258" s="35">
        <f>J257</f>
        <v/>
      </c>
      <c r="F258" s="35">
        <f>E258*(1+'Parámetros Proyección'!$E$11)</f>
        <v/>
      </c>
      <c r="G258" s="35">
        <f>F258*'Parámetros Proyección'!$F$11</f>
        <v/>
      </c>
      <c r="H258" s="35">
        <f>F258+G258</f>
        <v/>
      </c>
      <c r="I258" s="35">
        <f>IF((H258/AI258&gt;'Parámetros Proyección'!$G$11),0,D258*'Parámetros Proyección'!$G$11/(IF((H258/AI258&gt;'Parámetros Proyección'!$G$11),0,'Parámetros Proyección'!$G$11)+IF((N258/AI258&gt;'Parámetros Proyección'!$G$12),0,'Parámetros Proyección'!$G$12)+IF((T258/AI258&gt;'Parámetros Proyección'!$G$13),0,'Parámetros Proyección'!$G$13)+IF((Z258/AI258&gt;'Parámetros Proyección'!$G$14),0,'Parámetros Proyección'!$G$14)+IF((AF258/AI258&gt;'Parámetros Proyección'!$G$15),0,'Parámetros Proyección'!$G$15)))</f>
        <v/>
      </c>
      <c r="J258" s="35">
        <f>H258+I258</f>
        <v/>
      </c>
      <c r="K258" s="35">
        <f>P257</f>
        <v/>
      </c>
      <c r="L258" s="35">
        <f>K258*(1+'Parámetros Proyección'!$E$12)</f>
        <v/>
      </c>
      <c r="M258" s="35">
        <f>L258*'Parámetros Proyección'!$F$12</f>
        <v/>
      </c>
      <c r="N258" s="35">
        <f>L258+M258</f>
        <v/>
      </c>
      <c r="O258" s="35">
        <f>IF((N258/AI258&gt;'Parámetros Proyección'!$G$12),0,D258*'Parámetros Proyección'!$G$12/(IF((H258/AI258&gt;'Parámetros Proyección'!$G$11),0,'Parámetros Proyección'!$G$11)+IF((N258/AI258&gt;'Parámetros Proyección'!$G$12),0,'Parámetros Proyección'!$G$12)+IF((T258/AI258&gt;'Parámetros Proyección'!$G$13),0,'Parámetros Proyección'!$G$13)+IF((Z258/AI258&gt;'Parámetros Proyección'!$G$14),0,'Parámetros Proyección'!$G$14)+IF((AF258/AI258&gt;'Parámetros Proyección'!$G$15),0,'Parámetros Proyección'!$G$15)))</f>
        <v/>
      </c>
      <c r="P258" s="35">
        <f>N258+O258</f>
        <v/>
      </c>
      <c r="Q258" s="35">
        <f>V257</f>
        <v/>
      </c>
      <c r="R258" s="35">
        <f>Q258*(1+'Parámetros Proyección'!$E$13)</f>
        <v/>
      </c>
      <c r="S258" s="35">
        <f>R258*'Parámetros Proyección'!$F$13</f>
        <v/>
      </c>
      <c r="T258" s="35">
        <f>R258+S258</f>
        <v/>
      </c>
      <c r="U258" s="35">
        <f>IF((T258/AI258&gt;'Parámetros Proyección'!$G$13),0,D258*'Parámetros Proyección'!$G$13/(IF((H258/AI258&gt;'Parámetros Proyección'!$G$11),0,'Parámetros Proyección'!$G$11)+IF((N258/AI258&gt;'Parámetros Proyección'!$G$12),0,'Parámetros Proyección'!$G$12)+IF((T258/AI258&gt;'Parámetros Proyección'!$G$13),0,'Parámetros Proyección'!$G$13)+IF((Z258/AI258&gt;'Parámetros Proyección'!$G$14),0,'Parámetros Proyección'!$G$14)+IF((AF258/AI258&gt;'Parámetros Proyección'!$G$15),0,'Parámetros Proyección'!$G$15)))</f>
        <v/>
      </c>
      <c r="V258" s="35">
        <f>T258+U258</f>
        <v/>
      </c>
      <c r="W258" s="35">
        <f>AB257</f>
        <v/>
      </c>
      <c r="X258" s="35">
        <f>W258*(1+'Parámetros Proyección'!$E$14)</f>
        <v/>
      </c>
      <c r="Y258" s="35">
        <f>X258*'Parámetros Proyección'!$F$14</f>
        <v/>
      </c>
      <c r="Z258" s="35">
        <f>X258+Y258</f>
        <v/>
      </c>
      <c r="AA258" s="35">
        <f>IF((Z258/AI258&gt;'Parámetros Proyección'!$G$14),0,D258*'Parámetros Proyección'!$G$14/(IF((H258/AI258&gt;'Parámetros Proyección'!$G$11),0,'Parámetros Proyección'!$G$11)+IF((N258/AI258&gt;'Parámetros Proyección'!$G$12),0,'Parámetros Proyección'!$G$12)+IF((T258/AI258&gt;'Parámetros Proyección'!$G$13),0,'Parámetros Proyección'!$G$13)+IF((Z258/AI258&gt;'Parámetros Proyección'!$G$14),0,'Parámetros Proyección'!$G$14)+IF((AF258/AI258&gt;'Parámetros Proyección'!$G$15),0,'Parámetros Proyección'!$G$15)))</f>
        <v/>
      </c>
      <c r="AB258" s="35">
        <f>Z258+AA258</f>
        <v/>
      </c>
      <c r="AC258" s="35">
        <f>AH257</f>
        <v/>
      </c>
      <c r="AD258" s="35">
        <f>AC258*(1+'Parámetros Proyección'!$E$15)</f>
        <v/>
      </c>
      <c r="AE258" s="35">
        <f>AD258*'Parámetros Proyección'!$F$15</f>
        <v/>
      </c>
      <c r="AF258" s="35">
        <f>AD258+AE258</f>
        <v/>
      </c>
      <c r="AG258" s="35">
        <f>IF((AF258/AI258&gt;'Parámetros Proyección'!$G$15),0,D258*'Parámetros Proyección'!$G$15/(IF((H258/AI258&gt;'Parámetros Proyección'!$G$11),0,'Parámetros Proyección'!$G$11)+IF((N258/AI258&gt;'Parámetros Proyección'!$G$12),0,'Parámetros Proyección'!$G$12)+IF((T258/AI258&gt;'Parámetros Proyección'!$G$13),0,'Parámetros Proyección'!$G$13)+IF((Z258/AI258&gt;'Parámetros Proyección'!$G$14),0,'Parámetros Proyección'!$G$14)+IF((AF258/AI258&gt;'Parámetros Proyección'!$G$15),0,'Parámetros Proyección'!$G$15)))</f>
        <v/>
      </c>
      <c r="AH258" s="35">
        <f>AF258+AG258</f>
        <v/>
      </c>
      <c r="AI258" s="35">
        <f>H258+N258+T258+Z258+AF258</f>
        <v/>
      </c>
      <c r="AJ258" s="33">
        <f>AF258/AI258</f>
        <v/>
      </c>
      <c r="AK258">
        <f>IF(AJ258&gt;'Parámetros Proyección'!$B$5,1,0)</f>
        <v/>
      </c>
      <c r="AL258" s="35">
        <f>G258+M258+S258+Y258+AE258</f>
        <v/>
      </c>
      <c r="AM258" s="35">
        <f>AM257+D258</f>
        <v/>
      </c>
      <c r="AN258" s="35">
        <f>AN257+AL258</f>
        <v/>
      </c>
      <c r="AO258" s="35">
        <f>J258+P258+V258+AB258+AH258</f>
        <v/>
      </c>
    </row>
    <row r="259">
      <c r="A259" t="n">
        <v>256</v>
      </c>
      <c r="B259" s="34">
        <f>EDATE(B258,1)</f>
        <v/>
      </c>
      <c r="C259">
        <f>YEAR(B259)</f>
        <v/>
      </c>
      <c r="D259" s="35">
        <f>'Parámetros Proyección'!$B$3*(1+'Parámetros Proyección'!$B$4)^(C259-YEAR('Parámetros Proyección'!$B$6))</f>
        <v/>
      </c>
      <c r="E259" s="35">
        <f>J258</f>
        <v/>
      </c>
      <c r="F259" s="35">
        <f>E259*(1+'Parámetros Proyección'!$E$11)</f>
        <v/>
      </c>
      <c r="G259" s="35">
        <f>F259*'Parámetros Proyección'!$F$11</f>
        <v/>
      </c>
      <c r="H259" s="35">
        <f>F259+G259</f>
        <v/>
      </c>
      <c r="I259" s="35">
        <f>IF((H259/AI259&gt;'Parámetros Proyección'!$G$11),0,D259*'Parámetros Proyección'!$G$11/(IF((H259/AI259&gt;'Parámetros Proyección'!$G$11),0,'Parámetros Proyección'!$G$11)+IF((N259/AI259&gt;'Parámetros Proyección'!$G$12),0,'Parámetros Proyección'!$G$12)+IF((T259/AI259&gt;'Parámetros Proyección'!$G$13),0,'Parámetros Proyección'!$G$13)+IF((Z259/AI259&gt;'Parámetros Proyección'!$G$14),0,'Parámetros Proyección'!$G$14)+IF((AF259/AI259&gt;'Parámetros Proyección'!$G$15),0,'Parámetros Proyección'!$G$15)))</f>
        <v/>
      </c>
      <c r="J259" s="35">
        <f>H259+I259</f>
        <v/>
      </c>
      <c r="K259" s="35">
        <f>P258</f>
        <v/>
      </c>
      <c r="L259" s="35">
        <f>K259*(1+'Parámetros Proyección'!$E$12)</f>
        <v/>
      </c>
      <c r="M259" s="35">
        <f>L259*'Parámetros Proyección'!$F$12</f>
        <v/>
      </c>
      <c r="N259" s="35">
        <f>L259+M259</f>
        <v/>
      </c>
      <c r="O259" s="35">
        <f>IF((N259/AI259&gt;'Parámetros Proyección'!$G$12),0,D259*'Parámetros Proyección'!$G$12/(IF((H259/AI259&gt;'Parámetros Proyección'!$G$11),0,'Parámetros Proyección'!$G$11)+IF((N259/AI259&gt;'Parámetros Proyección'!$G$12),0,'Parámetros Proyección'!$G$12)+IF((T259/AI259&gt;'Parámetros Proyección'!$G$13),0,'Parámetros Proyección'!$G$13)+IF((Z259/AI259&gt;'Parámetros Proyección'!$G$14),0,'Parámetros Proyección'!$G$14)+IF((AF259/AI259&gt;'Parámetros Proyección'!$G$15),0,'Parámetros Proyección'!$G$15)))</f>
        <v/>
      </c>
      <c r="P259" s="35">
        <f>N259+O259</f>
        <v/>
      </c>
      <c r="Q259" s="35">
        <f>V258</f>
        <v/>
      </c>
      <c r="R259" s="35">
        <f>Q259*(1+'Parámetros Proyección'!$E$13)</f>
        <v/>
      </c>
      <c r="S259" s="35">
        <f>R259*'Parámetros Proyección'!$F$13</f>
        <v/>
      </c>
      <c r="T259" s="35">
        <f>R259+S259</f>
        <v/>
      </c>
      <c r="U259" s="35">
        <f>IF((T259/AI259&gt;'Parámetros Proyección'!$G$13),0,D259*'Parámetros Proyección'!$G$13/(IF((H259/AI259&gt;'Parámetros Proyección'!$G$11),0,'Parámetros Proyección'!$G$11)+IF((N259/AI259&gt;'Parámetros Proyección'!$G$12),0,'Parámetros Proyección'!$G$12)+IF((T259/AI259&gt;'Parámetros Proyección'!$G$13),0,'Parámetros Proyección'!$G$13)+IF((Z259/AI259&gt;'Parámetros Proyección'!$G$14),0,'Parámetros Proyección'!$G$14)+IF((AF259/AI259&gt;'Parámetros Proyección'!$G$15),0,'Parámetros Proyección'!$G$15)))</f>
        <v/>
      </c>
      <c r="V259" s="35">
        <f>T259+U259</f>
        <v/>
      </c>
      <c r="W259" s="35">
        <f>AB258</f>
        <v/>
      </c>
      <c r="X259" s="35">
        <f>W259*(1+'Parámetros Proyección'!$E$14)</f>
        <v/>
      </c>
      <c r="Y259" s="35">
        <f>X259*'Parámetros Proyección'!$F$14</f>
        <v/>
      </c>
      <c r="Z259" s="35">
        <f>X259+Y259</f>
        <v/>
      </c>
      <c r="AA259" s="35">
        <f>IF((Z259/AI259&gt;'Parámetros Proyección'!$G$14),0,D259*'Parámetros Proyección'!$G$14/(IF((H259/AI259&gt;'Parámetros Proyección'!$G$11),0,'Parámetros Proyección'!$G$11)+IF((N259/AI259&gt;'Parámetros Proyección'!$G$12),0,'Parámetros Proyección'!$G$12)+IF((T259/AI259&gt;'Parámetros Proyección'!$G$13),0,'Parámetros Proyección'!$G$13)+IF((Z259/AI259&gt;'Parámetros Proyección'!$G$14),0,'Parámetros Proyección'!$G$14)+IF((AF259/AI259&gt;'Parámetros Proyección'!$G$15),0,'Parámetros Proyección'!$G$15)))</f>
        <v/>
      </c>
      <c r="AB259" s="35">
        <f>Z259+AA259</f>
        <v/>
      </c>
      <c r="AC259" s="35">
        <f>AH258</f>
        <v/>
      </c>
      <c r="AD259" s="35">
        <f>AC259*(1+'Parámetros Proyección'!$E$15)</f>
        <v/>
      </c>
      <c r="AE259" s="35">
        <f>AD259*'Parámetros Proyección'!$F$15</f>
        <v/>
      </c>
      <c r="AF259" s="35">
        <f>AD259+AE259</f>
        <v/>
      </c>
      <c r="AG259" s="35">
        <f>IF((AF259/AI259&gt;'Parámetros Proyección'!$G$15),0,D259*'Parámetros Proyección'!$G$15/(IF((H259/AI259&gt;'Parámetros Proyección'!$G$11),0,'Parámetros Proyección'!$G$11)+IF((N259/AI259&gt;'Parámetros Proyección'!$G$12),0,'Parámetros Proyección'!$G$12)+IF((T259/AI259&gt;'Parámetros Proyección'!$G$13),0,'Parámetros Proyección'!$G$13)+IF((Z259/AI259&gt;'Parámetros Proyección'!$G$14),0,'Parámetros Proyección'!$G$14)+IF((AF259/AI259&gt;'Parámetros Proyección'!$G$15),0,'Parámetros Proyección'!$G$15)))</f>
        <v/>
      </c>
      <c r="AH259" s="35">
        <f>AF259+AG259</f>
        <v/>
      </c>
      <c r="AI259" s="35">
        <f>H259+N259+T259+Z259+AF259</f>
        <v/>
      </c>
      <c r="AJ259" s="33">
        <f>AF259/AI259</f>
        <v/>
      </c>
      <c r="AK259">
        <f>IF(AJ259&gt;'Parámetros Proyección'!$B$5,1,0)</f>
        <v/>
      </c>
      <c r="AL259" s="35">
        <f>G259+M259+S259+Y259+AE259</f>
        <v/>
      </c>
      <c r="AM259" s="35">
        <f>AM258+D259</f>
        <v/>
      </c>
      <c r="AN259" s="35">
        <f>AN258+AL259</f>
        <v/>
      </c>
      <c r="AO259" s="35">
        <f>J259+P259+V259+AB259+AH259</f>
        <v/>
      </c>
    </row>
    <row r="260">
      <c r="A260" t="n">
        <v>257</v>
      </c>
      <c r="B260" s="34">
        <f>EDATE(B259,1)</f>
        <v/>
      </c>
      <c r="C260">
        <f>YEAR(B260)</f>
        <v/>
      </c>
      <c r="D260" s="35">
        <f>'Parámetros Proyección'!$B$3*(1+'Parámetros Proyección'!$B$4)^(C260-YEAR('Parámetros Proyección'!$B$6))</f>
        <v/>
      </c>
      <c r="E260" s="35">
        <f>J259</f>
        <v/>
      </c>
      <c r="F260" s="35">
        <f>E260*(1+'Parámetros Proyección'!$E$11)</f>
        <v/>
      </c>
      <c r="G260" s="35">
        <f>F260*'Parámetros Proyección'!$F$11</f>
        <v/>
      </c>
      <c r="H260" s="35">
        <f>F260+G260</f>
        <v/>
      </c>
      <c r="I260" s="35">
        <f>IF((H260/AI260&gt;'Parámetros Proyección'!$G$11),0,D260*'Parámetros Proyección'!$G$11/(IF((H260/AI260&gt;'Parámetros Proyección'!$G$11),0,'Parámetros Proyección'!$G$11)+IF((N260/AI260&gt;'Parámetros Proyección'!$G$12),0,'Parámetros Proyección'!$G$12)+IF((T260/AI260&gt;'Parámetros Proyección'!$G$13),0,'Parámetros Proyección'!$G$13)+IF((Z260/AI260&gt;'Parámetros Proyección'!$G$14),0,'Parámetros Proyección'!$G$14)+IF((AF260/AI260&gt;'Parámetros Proyección'!$G$15),0,'Parámetros Proyección'!$G$15)))</f>
        <v/>
      </c>
      <c r="J260" s="35">
        <f>H260+I260</f>
        <v/>
      </c>
      <c r="K260" s="35">
        <f>P259</f>
        <v/>
      </c>
      <c r="L260" s="35">
        <f>K260*(1+'Parámetros Proyección'!$E$12)</f>
        <v/>
      </c>
      <c r="M260" s="35">
        <f>L260*'Parámetros Proyección'!$F$12</f>
        <v/>
      </c>
      <c r="N260" s="35">
        <f>L260+M260</f>
        <v/>
      </c>
      <c r="O260" s="35">
        <f>IF((N260/AI260&gt;'Parámetros Proyección'!$G$12),0,D260*'Parámetros Proyección'!$G$12/(IF((H260/AI260&gt;'Parámetros Proyección'!$G$11),0,'Parámetros Proyección'!$G$11)+IF((N260/AI260&gt;'Parámetros Proyección'!$G$12),0,'Parámetros Proyección'!$G$12)+IF((T260/AI260&gt;'Parámetros Proyección'!$G$13),0,'Parámetros Proyección'!$G$13)+IF((Z260/AI260&gt;'Parámetros Proyección'!$G$14),0,'Parámetros Proyección'!$G$14)+IF((AF260/AI260&gt;'Parámetros Proyección'!$G$15),0,'Parámetros Proyección'!$G$15)))</f>
        <v/>
      </c>
      <c r="P260" s="35">
        <f>N260+O260</f>
        <v/>
      </c>
      <c r="Q260" s="35">
        <f>V259</f>
        <v/>
      </c>
      <c r="R260" s="35">
        <f>Q260*(1+'Parámetros Proyección'!$E$13)</f>
        <v/>
      </c>
      <c r="S260" s="35">
        <f>R260*'Parámetros Proyección'!$F$13</f>
        <v/>
      </c>
      <c r="T260" s="35">
        <f>R260+S260</f>
        <v/>
      </c>
      <c r="U260" s="35">
        <f>IF((T260/AI260&gt;'Parámetros Proyección'!$G$13),0,D260*'Parámetros Proyección'!$G$13/(IF((H260/AI260&gt;'Parámetros Proyección'!$G$11),0,'Parámetros Proyección'!$G$11)+IF((N260/AI260&gt;'Parámetros Proyección'!$G$12),0,'Parámetros Proyección'!$G$12)+IF((T260/AI260&gt;'Parámetros Proyección'!$G$13),0,'Parámetros Proyección'!$G$13)+IF((Z260/AI260&gt;'Parámetros Proyección'!$G$14),0,'Parámetros Proyección'!$G$14)+IF((AF260/AI260&gt;'Parámetros Proyección'!$G$15),0,'Parámetros Proyección'!$G$15)))</f>
        <v/>
      </c>
      <c r="V260" s="35">
        <f>T260+U260</f>
        <v/>
      </c>
      <c r="W260" s="35">
        <f>AB259</f>
        <v/>
      </c>
      <c r="X260" s="35">
        <f>W260*(1+'Parámetros Proyección'!$E$14)</f>
        <v/>
      </c>
      <c r="Y260" s="35">
        <f>X260*'Parámetros Proyección'!$F$14</f>
        <v/>
      </c>
      <c r="Z260" s="35">
        <f>X260+Y260</f>
        <v/>
      </c>
      <c r="AA260" s="35">
        <f>IF((Z260/AI260&gt;'Parámetros Proyección'!$G$14),0,D260*'Parámetros Proyección'!$G$14/(IF((H260/AI260&gt;'Parámetros Proyección'!$G$11),0,'Parámetros Proyección'!$G$11)+IF((N260/AI260&gt;'Parámetros Proyección'!$G$12),0,'Parámetros Proyección'!$G$12)+IF((T260/AI260&gt;'Parámetros Proyección'!$G$13),0,'Parámetros Proyección'!$G$13)+IF((Z260/AI260&gt;'Parámetros Proyección'!$G$14),0,'Parámetros Proyección'!$G$14)+IF((AF260/AI260&gt;'Parámetros Proyección'!$G$15),0,'Parámetros Proyección'!$G$15)))</f>
        <v/>
      </c>
      <c r="AB260" s="35">
        <f>Z260+AA260</f>
        <v/>
      </c>
      <c r="AC260" s="35">
        <f>AH259</f>
        <v/>
      </c>
      <c r="AD260" s="35">
        <f>AC260*(1+'Parámetros Proyección'!$E$15)</f>
        <v/>
      </c>
      <c r="AE260" s="35">
        <f>AD260*'Parámetros Proyección'!$F$15</f>
        <v/>
      </c>
      <c r="AF260" s="35">
        <f>AD260+AE260</f>
        <v/>
      </c>
      <c r="AG260" s="35">
        <f>IF((AF260/AI260&gt;'Parámetros Proyección'!$G$15),0,D260*'Parámetros Proyección'!$G$15/(IF((H260/AI260&gt;'Parámetros Proyección'!$G$11),0,'Parámetros Proyección'!$G$11)+IF((N260/AI260&gt;'Parámetros Proyección'!$G$12),0,'Parámetros Proyección'!$G$12)+IF((T260/AI260&gt;'Parámetros Proyección'!$G$13),0,'Parámetros Proyección'!$G$13)+IF((Z260/AI260&gt;'Parámetros Proyección'!$G$14),0,'Parámetros Proyección'!$G$14)+IF((AF260/AI260&gt;'Parámetros Proyección'!$G$15),0,'Parámetros Proyección'!$G$15)))</f>
        <v/>
      </c>
      <c r="AH260" s="35">
        <f>AF260+AG260</f>
        <v/>
      </c>
      <c r="AI260" s="35">
        <f>H260+N260+T260+Z260+AF260</f>
        <v/>
      </c>
      <c r="AJ260" s="33">
        <f>AF260/AI260</f>
        <v/>
      </c>
      <c r="AK260">
        <f>IF(AJ260&gt;'Parámetros Proyección'!$B$5,1,0)</f>
        <v/>
      </c>
      <c r="AL260" s="35">
        <f>G260+M260+S260+Y260+AE260</f>
        <v/>
      </c>
      <c r="AM260" s="35">
        <f>AM259+D260</f>
        <v/>
      </c>
      <c r="AN260" s="35">
        <f>AN259+AL260</f>
        <v/>
      </c>
      <c r="AO260" s="35">
        <f>J260+P260+V260+AB260+AH260</f>
        <v/>
      </c>
    </row>
    <row r="261">
      <c r="A261" t="n">
        <v>258</v>
      </c>
      <c r="B261" s="34">
        <f>EDATE(B260,1)</f>
        <v/>
      </c>
      <c r="C261">
        <f>YEAR(B261)</f>
        <v/>
      </c>
      <c r="D261" s="35">
        <f>'Parámetros Proyección'!$B$3*(1+'Parámetros Proyección'!$B$4)^(C261-YEAR('Parámetros Proyección'!$B$6))</f>
        <v/>
      </c>
      <c r="E261" s="35">
        <f>J260</f>
        <v/>
      </c>
      <c r="F261" s="35">
        <f>E261*(1+'Parámetros Proyección'!$E$11)</f>
        <v/>
      </c>
      <c r="G261" s="35">
        <f>F261*'Parámetros Proyección'!$F$11</f>
        <v/>
      </c>
      <c r="H261" s="35">
        <f>F261+G261</f>
        <v/>
      </c>
      <c r="I261" s="35">
        <f>IF((H261/AI261&gt;'Parámetros Proyección'!$G$11),0,D261*'Parámetros Proyección'!$G$11/(IF((H261/AI261&gt;'Parámetros Proyección'!$G$11),0,'Parámetros Proyección'!$G$11)+IF((N261/AI261&gt;'Parámetros Proyección'!$G$12),0,'Parámetros Proyección'!$G$12)+IF((T261/AI261&gt;'Parámetros Proyección'!$G$13),0,'Parámetros Proyección'!$G$13)+IF((Z261/AI261&gt;'Parámetros Proyección'!$G$14),0,'Parámetros Proyección'!$G$14)+IF((AF261/AI261&gt;'Parámetros Proyección'!$G$15),0,'Parámetros Proyección'!$G$15)))</f>
        <v/>
      </c>
      <c r="J261" s="35">
        <f>H261+I261</f>
        <v/>
      </c>
      <c r="K261" s="35">
        <f>P260</f>
        <v/>
      </c>
      <c r="L261" s="35">
        <f>K261*(1+'Parámetros Proyección'!$E$12)</f>
        <v/>
      </c>
      <c r="M261" s="35">
        <f>L261*'Parámetros Proyección'!$F$12</f>
        <v/>
      </c>
      <c r="N261" s="35">
        <f>L261+M261</f>
        <v/>
      </c>
      <c r="O261" s="35">
        <f>IF((N261/AI261&gt;'Parámetros Proyección'!$G$12),0,D261*'Parámetros Proyección'!$G$12/(IF((H261/AI261&gt;'Parámetros Proyección'!$G$11),0,'Parámetros Proyección'!$G$11)+IF((N261/AI261&gt;'Parámetros Proyección'!$G$12),0,'Parámetros Proyección'!$G$12)+IF((T261/AI261&gt;'Parámetros Proyección'!$G$13),0,'Parámetros Proyección'!$G$13)+IF((Z261/AI261&gt;'Parámetros Proyección'!$G$14),0,'Parámetros Proyección'!$G$14)+IF((AF261/AI261&gt;'Parámetros Proyección'!$G$15),0,'Parámetros Proyección'!$G$15)))</f>
        <v/>
      </c>
      <c r="P261" s="35">
        <f>N261+O261</f>
        <v/>
      </c>
      <c r="Q261" s="35">
        <f>V260</f>
        <v/>
      </c>
      <c r="R261" s="35">
        <f>Q261*(1+'Parámetros Proyección'!$E$13)</f>
        <v/>
      </c>
      <c r="S261" s="35">
        <f>R261*'Parámetros Proyección'!$F$13</f>
        <v/>
      </c>
      <c r="T261" s="35">
        <f>R261+S261</f>
        <v/>
      </c>
      <c r="U261" s="35">
        <f>IF((T261/AI261&gt;'Parámetros Proyección'!$G$13),0,D261*'Parámetros Proyección'!$G$13/(IF((H261/AI261&gt;'Parámetros Proyección'!$G$11),0,'Parámetros Proyección'!$G$11)+IF((N261/AI261&gt;'Parámetros Proyección'!$G$12),0,'Parámetros Proyección'!$G$12)+IF((T261/AI261&gt;'Parámetros Proyección'!$G$13),0,'Parámetros Proyección'!$G$13)+IF((Z261/AI261&gt;'Parámetros Proyección'!$G$14),0,'Parámetros Proyección'!$G$14)+IF((AF261/AI261&gt;'Parámetros Proyección'!$G$15),0,'Parámetros Proyección'!$G$15)))</f>
        <v/>
      </c>
      <c r="V261" s="35">
        <f>T261+U261</f>
        <v/>
      </c>
      <c r="W261" s="35">
        <f>AB260</f>
        <v/>
      </c>
      <c r="X261" s="35">
        <f>W261*(1+'Parámetros Proyección'!$E$14)</f>
        <v/>
      </c>
      <c r="Y261" s="35">
        <f>X261*'Parámetros Proyección'!$F$14</f>
        <v/>
      </c>
      <c r="Z261" s="35">
        <f>X261+Y261</f>
        <v/>
      </c>
      <c r="AA261" s="35">
        <f>IF((Z261/AI261&gt;'Parámetros Proyección'!$G$14),0,D261*'Parámetros Proyección'!$G$14/(IF((H261/AI261&gt;'Parámetros Proyección'!$G$11),0,'Parámetros Proyección'!$G$11)+IF((N261/AI261&gt;'Parámetros Proyección'!$G$12),0,'Parámetros Proyección'!$G$12)+IF((T261/AI261&gt;'Parámetros Proyección'!$G$13),0,'Parámetros Proyección'!$G$13)+IF((Z261/AI261&gt;'Parámetros Proyección'!$G$14),0,'Parámetros Proyección'!$G$14)+IF((AF261/AI261&gt;'Parámetros Proyección'!$G$15),0,'Parámetros Proyección'!$G$15)))</f>
        <v/>
      </c>
      <c r="AB261" s="35">
        <f>Z261+AA261</f>
        <v/>
      </c>
      <c r="AC261" s="35">
        <f>AH260</f>
        <v/>
      </c>
      <c r="AD261" s="35">
        <f>AC261*(1+'Parámetros Proyección'!$E$15)</f>
        <v/>
      </c>
      <c r="AE261" s="35">
        <f>AD261*'Parámetros Proyección'!$F$15</f>
        <v/>
      </c>
      <c r="AF261" s="35">
        <f>AD261+AE261</f>
        <v/>
      </c>
      <c r="AG261" s="35">
        <f>IF((AF261/AI261&gt;'Parámetros Proyección'!$G$15),0,D261*'Parámetros Proyección'!$G$15/(IF((H261/AI261&gt;'Parámetros Proyección'!$G$11),0,'Parámetros Proyección'!$G$11)+IF((N261/AI261&gt;'Parámetros Proyección'!$G$12),0,'Parámetros Proyección'!$G$12)+IF((T261/AI261&gt;'Parámetros Proyección'!$G$13),0,'Parámetros Proyección'!$G$13)+IF((Z261/AI261&gt;'Parámetros Proyección'!$G$14),0,'Parámetros Proyección'!$G$14)+IF((AF261/AI261&gt;'Parámetros Proyección'!$G$15),0,'Parámetros Proyección'!$G$15)))</f>
        <v/>
      </c>
      <c r="AH261" s="35">
        <f>AF261+AG261</f>
        <v/>
      </c>
      <c r="AI261" s="35">
        <f>H261+N261+T261+Z261+AF261</f>
        <v/>
      </c>
      <c r="AJ261" s="33">
        <f>AF261/AI261</f>
        <v/>
      </c>
      <c r="AK261">
        <f>IF(AJ261&gt;'Parámetros Proyección'!$B$5,1,0)</f>
        <v/>
      </c>
      <c r="AL261" s="35">
        <f>G261+M261+S261+Y261+AE261</f>
        <v/>
      </c>
      <c r="AM261" s="35">
        <f>AM260+D261</f>
        <v/>
      </c>
      <c r="AN261" s="35">
        <f>AN260+AL261</f>
        <v/>
      </c>
      <c r="AO261" s="35">
        <f>J261+P261+V261+AB261+AH261</f>
        <v/>
      </c>
    </row>
    <row r="262">
      <c r="A262" t="n">
        <v>259</v>
      </c>
      <c r="B262" s="34">
        <f>EDATE(B261,1)</f>
        <v/>
      </c>
      <c r="C262">
        <f>YEAR(B262)</f>
        <v/>
      </c>
      <c r="D262" s="35">
        <f>'Parámetros Proyección'!$B$3*(1+'Parámetros Proyección'!$B$4)^(C262-YEAR('Parámetros Proyección'!$B$6))</f>
        <v/>
      </c>
      <c r="E262" s="35">
        <f>J261</f>
        <v/>
      </c>
      <c r="F262" s="35">
        <f>E262*(1+'Parámetros Proyección'!$E$11)</f>
        <v/>
      </c>
      <c r="G262" s="35">
        <f>F262*'Parámetros Proyección'!$F$11</f>
        <v/>
      </c>
      <c r="H262" s="35">
        <f>F262+G262</f>
        <v/>
      </c>
      <c r="I262" s="35">
        <f>IF((H262/AI262&gt;'Parámetros Proyección'!$G$11),0,D262*'Parámetros Proyección'!$G$11/(IF((H262/AI262&gt;'Parámetros Proyección'!$G$11),0,'Parámetros Proyección'!$G$11)+IF((N262/AI262&gt;'Parámetros Proyección'!$G$12),0,'Parámetros Proyección'!$G$12)+IF((T262/AI262&gt;'Parámetros Proyección'!$G$13),0,'Parámetros Proyección'!$G$13)+IF((Z262/AI262&gt;'Parámetros Proyección'!$G$14),0,'Parámetros Proyección'!$G$14)+IF((AF262/AI262&gt;'Parámetros Proyección'!$G$15),0,'Parámetros Proyección'!$G$15)))</f>
        <v/>
      </c>
      <c r="J262" s="35">
        <f>H262+I262</f>
        <v/>
      </c>
      <c r="K262" s="35">
        <f>P261</f>
        <v/>
      </c>
      <c r="L262" s="35">
        <f>K262*(1+'Parámetros Proyección'!$E$12)</f>
        <v/>
      </c>
      <c r="M262" s="35">
        <f>L262*'Parámetros Proyección'!$F$12</f>
        <v/>
      </c>
      <c r="N262" s="35">
        <f>L262+M262</f>
        <v/>
      </c>
      <c r="O262" s="35">
        <f>IF((N262/AI262&gt;'Parámetros Proyección'!$G$12),0,D262*'Parámetros Proyección'!$G$12/(IF((H262/AI262&gt;'Parámetros Proyección'!$G$11),0,'Parámetros Proyección'!$G$11)+IF((N262/AI262&gt;'Parámetros Proyección'!$G$12),0,'Parámetros Proyección'!$G$12)+IF((T262/AI262&gt;'Parámetros Proyección'!$G$13),0,'Parámetros Proyección'!$G$13)+IF((Z262/AI262&gt;'Parámetros Proyección'!$G$14),0,'Parámetros Proyección'!$G$14)+IF((AF262/AI262&gt;'Parámetros Proyección'!$G$15),0,'Parámetros Proyección'!$G$15)))</f>
        <v/>
      </c>
      <c r="P262" s="35">
        <f>N262+O262</f>
        <v/>
      </c>
      <c r="Q262" s="35">
        <f>V261</f>
        <v/>
      </c>
      <c r="R262" s="35">
        <f>Q262*(1+'Parámetros Proyección'!$E$13)</f>
        <v/>
      </c>
      <c r="S262" s="35">
        <f>R262*'Parámetros Proyección'!$F$13</f>
        <v/>
      </c>
      <c r="T262" s="35">
        <f>R262+S262</f>
        <v/>
      </c>
      <c r="U262" s="35">
        <f>IF((T262/AI262&gt;'Parámetros Proyección'!$G$13),0,D262*'Parámetros Proyección'!$G$13/(IF((H262/AI262&gt;'Parámetros Proyección'!$G$11),0,'Parámetros Proyección'!$G$11)+IF((N262/AI262&gt;'Parámetros Proyección'!$G$12),0,'Parámetros Proyección'!$G$12)+IF((T262/AI262&gt;'Parámetros Proyección'!$G$13),0,'Parámetros Proyección'!$G$13)+IF((Z262/AI262&gt;'Parámetros Proyección'!$G$14),0,'Parámetros Proyección'!$G$14)+IF((AF262/AI262&gt;'Parámetros Proyección'!$G$15),0,'Parámetros Proyección'!$G$15)))</f>
        <v/>
      </c>
      <c r="V262" s="35">
        <f>T262+U262</f>
        <v/>
      </c>
      <c r="W262" s="35">
        <f>AB261</f>
        <v/>
      </c>
      <c r="X262" s="35">
        <f>W262*(1+'Parámetros Proyección'!$E$14)</f>
        <v/>
      </c>
      <c r="Y262" s="35">
        <f>X262*'Parámetros Proyección'!$F$14</f>
        <v/>
      </c>
      <c r="Z262" s="35">
        <f>X262+Y262</f>
        <v/>
      </c>
      <c r="AA262" s="35">
        <f>IF((Z262/AI262&gt;'Parámetros Proyección'!$G$14),0,D262*'Parámetros Proyección'!$G$14/(IF((H262/AI262&gt;'Parámetros Proyección'!$G$11),0,'Parámetros Proyección'!$G$11)+IF((N262/AI262&gt;'Parámetros Proyección'!$G$12),0,'Parámetros Proyección'!$G$12)+IF((T262/AI262&gt;'Parámetros Proyección'!$G$13),0,'Parámetros Proyección'!$G$13)+IF((Z262/AI262&gt;'Parámetros Proyección'!$G$14),0,'Parámetros Proyección'!$G$14)+IF((AF262/AI262&gt;'Parámetros Proyección'!$G$15),0,'Parámetros Proyección'!$G$15)))</f>
        <v/>
      </c>
      <c r="AB262" s="35">
        <f>Z262+AA262</f>
        <v/>
      </c>
      <c r="AC262" s="35">
        <f>AH261</f>
        <v/>
      </c>
      <c r="AD262" s="35">
        <f>AC262*(1+'Parámetros Proyección'!$E$15)</f>
        <v/>
      </c>
      <c r="AE262" s="35">
        <f>AD262*'Parámetros Proyección'!$F$15</f>
        <v/>
      </c>
      <c r="AF262" s="35">
        <f>AD262+AE262</f>
        <v/>
      </c>
      <c r="AG262" s="35">
        <f>IF((AF262/AI262&gt;'Parámetros Proyección'!$G$15),0,D262*'Parámetros Proyección'!$G$15/(IF((H262/AI262&gt;'Parámetros Proyección'!$G$11),0,'Parámetros Proyección'!$G$11)+IF((N262/AI262&gt;'Parámetros Proyección'!$G$12),0,'Parámetros Proyección'!$G$12)+IF((T262/AI262&gt;'Parámetros Proyección'!$G$13),0,'Parámetros Proyección'!$G$13)+IF((Z262/AI262&gt;'Parámetros Proyección'!$G$14),0,'Parámetros Proyección'!$G$14)+IF((AF262/AI262&gt;'Parámetros Proyección'!$G$15),0,'Parámetros Proyección'!$G$15)))</f>
        <v/>
      </c>
      <c r="AH262" s="35">
        <f>AF262+AG262</f>
        <v/>
      </c>
      <c r="AI262" s="35">
        <f>H262+N262+T262+Z262+AF262</f>
        <v/>
      </c>
      <c r="AJ262" s="33">
        <f>AF262/AI262</f>
        <v/>
      </c>
      <c r="AK262">
        <f>IF(AJ262&gt;'Parámetros Proyección'!$B$5,1,0)</f>
        <v/>
      </c>
      <c r="AL262" s="35">
        <f>G262+M262+S262+Y262+AE262</f>
        <v/>
      </c>
      <c r="AM262" s="35">
        <f>AM261+D262</f>
        <v/>
      </c>
      <c r="AN262" s="35">
        <f>AN261+AL262</f>
        <v/>
      </c>
      <c r="AO262" s="35">
        <f>J262+P262+V262+AB262+AH262</f>
        <v/>
      </c>
    </row>
    <row r="263">
      <c r="A263" t="n">
        <v>260</v>
      </c>
      <c r="B263" s="34">
        <f>EDATE(B262,1)</f>
        <v/>
      </c>
      <c r="C263">
        <f>YEAR(B263)</f>
        <v/>
      </c>
      <c r="D263" s="35">
        <f>'Parámetros Proyección'!$B$3*(1+'Parámetros Proyección'!$B$4)^(C263-YEAR('Parámetros Proyección'!$B$6))</f>
        <v/>
      </c>
      <c r="E263" s="35">
        <f>J262</f>
        <v/>
      </c>
      <c r="F263" s="35">
        <f>E263*(1+'Parámetros Proyección'!$E$11)</f>
        <v/>
      </c>
      <c r="G263" s="35">
        <f>F263*'Parámetros Proyección'!$F$11</f>
        <v/>
      </c>
      <c r="H263" s="35">
        <f>F263+G263</f>
        <v/>
      </c>
      <c r="I263" s="35">
        <f>IF((H263/AI263&gt;'Parámetros Proyección'!$G$11),0,D263*'Parámetros Proyección'!$G$11/(IF((H263/AI263&gt;'Parámetros Proyección'!$G$11),0,'Parámetros Proyección'!$G$11)+IF((N263/AI263&gt;'Parámetros Proyección'!$G$12),0,'Parámetros Proyección'!$G$12)+IF((T263/AI263&gt;'Parámetros Proyección'!$G$13),0,'Parámetros Proyección'!$G$13)+IF((Z263/AI263&gt;'Parámetros Proyección'!$G$14),0,'Parámetros Proyección'!$G$14)+IF((AF263/AI263&gt;'Parámetros Proyección'!$G$15),0,'Parámetros Proyección'!$G$15)))</f>
        <v/>
      </c>
      <c r="J263" s="35">
        <f>H263+I263</f>
        <v/>
      </c>
      <c r="K263" s="35">
        <f>P262</f>
        <v/>
      </c>
      <c r="L263" s="35">
        <f>K263*(1+'Parámetros Proyección'!$E$12)</f>
        <v/>
      </c>
      <c r="M263" s="35">
        <f>L263*'Parámetros Proyección'!$F$12</f>
        <v/>
      </c>
      <c r="N263" s="35">
        <f>L263+M263</f>
        <v/>
      </c>
      <c r="O263" s="35">
        <f>IF((N263/AI263&gt;'Parámetros Proyección'!$G$12),0,D263*'Parámetros Proyección'!$G$12/(IF((H263/AI263&gt;'Parámetros Proyección'!$G$11),0,'Parámetros Proyección'!$G$11)+IF((N263/AI263&gt;'Parámetros Proyección'!$G$12),0,'Parámetros Proyección'!$G$12)+IF((T263/AI263&gt;'Parámetros Proyección'!$G$13),0,'Parámetros Proyección'!$G$13)+IF((Z263/AI263&gt;'Parámetros Proyección'!$G$14),0,'Parámetros Proyección'!$G$14)+IF((AF263/AI263&gt;'Parámetros Proyección'!$G$15),0,'Parámetros Proyección'!$G$15)))</f>
        <v/>
      </c>
      <c r="P263" s="35">
        <f>N263+O263</f>
        <v/>
      </c>
      <c r="Q263" s="35">
        <f>V262</f>
        <v/>
      </c>
      <c r="R263" s="35">
        <f>Q263*(1+'Parámetros Proyección'!$E$13)</f>
        <v/>
      </c>
      <c r="S263" s="35">
        <f>R263*'Parámetros Proyección'!$F$13</f>
        <v/>
      </c>
      <c r="T263" s="35">
        <f>R263+S263</f>
        <v/>
      </c>
      <c r="U263" s="35">
        <f>IF((T263/AI263&gt;'Parámetros Proyección'!$G$13),0,D263*'Parámetros Proyección'!$G$13/(IF((H263/AI263&gt;'Parámetros Proyección'!$G$11),0,'Parámetros Proyección'!$G$11)+IF((N263/AI263&gt;'Parámetros Proyección'!$G$12),0,'Parámetros Proyección'!$G$12)+IF((T263/AI263&gt;'Parámetros Proyección'!$G$13),0,'Parámetros Proyección'!$G$13)+IF((Z263/AI263&gt;'Parámetros Proyección'!$G$14),0,'Parámetros Proyección'!$G$14)+IF((AF263/AI263&gt;'Parámetros Proyección'!$G$15),0,'Parámetros Proyección'!$G$15)))</f>
        <v/>
      </c>
      <c r="V263" s="35">
        <f>T263+U263</f>
        <v/>
      </c>
      <c r="W263" s="35">
        <f>AB262</f>
        <v/>
      </c>
      <c r="X263" s="35">
        <f>W263*(1+'Parámetros Proyección'!$E$14)</f>
        <v/>
      </c>
      <c r="Y263" s="35">
        <f>X263*'Parámetros Proyección'!$F$14</f>
        <v/>
      </c>
      <c r="Z263" s="35">
        <f>X263+Y263</f>
        <v/>
      </c>
      <c r="AA263" s="35">
        <f>IF((Z263/AI263&gt;'Parámetros Proyección'!$G$14),0,D263*'Parámetros Proyección'!$G$14/(IF((H263/AI263&gt;'Parámetros Proyección'!$G$11),0,'Parámetros Proyección'!$G$11)+IF((N263/AI263&gt;'Parámetros Proyección'!$G$12),0,'Parámetros Proyección'!$G$12)+IF((T263/AI263&gt;'Parámetros Proyección'!$G$13),0,'Parámetros Proyección'!$G$13)+IF((Z263/AI263&gt;'Parámetros Proyección'!$G$14),0,'Parámetros Proyección'!$G$14)+IF((AF263/AI263&gt;'Parámetros Proyección'!$G$15),0,'Parámetros Proyección'!$G$15)))</f>
        <v/>
      </c>
      <c r="AB263" s="35">
        <f>Z263+AA263</f>
        <v/>
      </c>
      <c r="AC263" s="35">
        <f>AH262</f>
        <v/>
      </c>
      <c r="AD263" s="35">
        <f>AC263*(1+'Parámetros Proyección'!$E$15)</f>
        <v/>
      </c>
      <c r="AE263" s="35">
        <f>AD263*'Parámetros Proyección'!$F$15</f>
        <v/>
      </c>
      <c r="AF263" s="35">
        <f>AD263+AE263</f>
        <v/>
      </c>
      <c r="AG263" s="35">
        <f>IF((AF263/AI263&gt;'Parámetros Proyección'!$G$15),0,D263*'Parámetros Proyección'!$G$15/(IF((H263/AI263&gt;'Parámetros Proyección'!$G$11),0,'Parámetros Proyección'!$G$11)+IF((N263/AI263&gt;'Parámetros Proyección'!$G$12),0,'Parámetros Proyección'!$G$12)+IF((T263/AI263&gt;'Parámetros Proyección'!$G$13),0,'Parámetros Proyección'!$G$13)+IF((Z263/AI263&gt;'Parámetros Proyección'!$G$14),0,'Parámetros Proyección'!$G$14)+IF((AF263/AI263&gt;'Parámetros Proyección'!$G$15),0,'Parámetros Proyección'!$G$15)))</f>
        <v/>
      </c>
      <c r="AH263" s="35">
        <f>AF263+AG263</f>
        <v/>
      </c>
      <c r="AI263" s="35">
        <f>H263+N263+T263+Z263+AF263</f>
        <v/>
      </c>
      <c r="AJ263" s="33">
        <f>AF263/AI263</f>
        <v/>
      </c>
      <c r="AK263">
        <f>IF(AJ263&gt;'Parámetros Proyección'!$B$5,1,0)</f>
        <v/>
      </c>
      <c r="AL263" s="35">
        <f>G263+M263+S263+Y263+AE263</f>
        <v/>
      </c>
      <c r="AM263" s="35">
        <f>AM262+D263</f>
        <v/>
      </c>
      <c r="AN263" s="35">
        <f>AN262+AL263</f>
        <v/>
      </c>
      <c r="AO263" s="35">
        <f>J263+P263+V263+AB263+AH263</f>
        <v/>
      </c>
    </row>
    <row r="264">
      <c r="A264" t="n">
        <v>261</v>
      </c>
      <c r="B264" s="34">
        <f>EDATE(B263,1)</f>
        <v/>
      </c>
      <c r="C264">
        <f>YEAR(B264)</f>
        <v/>
      </c>
      <c r="D264" s="35">
        <f>'Parámetros Proyección'!$B$3*(1+'Parámetros Proyección'!$B$4)^(C264-YEAR('Parámetros Proyección'!$B$6))</f>
        <v/>
      </c>
      <c r="E264" s="35">
        <f>J263</f>
        <v/>
      </c>
      <c r="F264" s="35">
        <f>E264*(1+'Parámetros Proyección'!$E$11)</f>
        <v/>
      </c>
      <c r="G264" s="35">
        <f>F264*'Parámetros Proyección'!$F$11</f>
        <v/>
      </c>
      <c r="H264" s="35">
        <f>F264+G264</f>
        <v/>
      </c>
      <c r="I264" s="35">
        <f>IF((H264/AI264&gt;'Parámetros Proyección'!$G$11),0,D264*'Parámetros Proyección'!$G$11/(IF((H264/AI264&gt;'Parámetros Proyección'!$G$11),0,'Parámetros Proyección'!$G$11)+IF((N264/AI264&gt;'Parámetros Proyección'!$G$12),0,'Parámetros Proyección'!$G$12)+IF((T264/AI264&gt;'Parámetros Proyección'!$G$13),0,'Parámetros Proyección'!$G$13)+IF((Z264/AI264&gt;'Parámetros Proyección'!$G$14),0,'Parámetros Proyección'!$G$14)+IF((AF264/AI264&gt;'Parámetros Proyección'!$G$15),0,'Parámetros Proyección'!$G$15)))</f>
        <v/>
      </c>
      <c r="J264" s="35">
        <f>H264+I264</f>
        <v/>
      </c>
      <c r="K264" s="35">
        <f>P263</f>
        <v/>
      </c>
      <c r="L264" s="35">
        <f>K264*(1+'Parámetros Proyección'!$E$12)</f>
        <v/>
      </c>
      <c r="M264" s="35">
        <f>L264*'Parámetros Proyección'!$F$12</f>
        <v/>
      </c>
      <c r="N264" s="35">
        <f>L264+M264</f>
        <v/>
      </c>
      <c r="O264" s="35">
        <f>IF((N264/AI264&gt;'Parámetros Proyección'!$G$12),0,D264*'Parámetros Proyección'!$G$12/(IF((H264/AI264&gt;'Parámetros Proyección'!$G$11),0,'Parámetros Proyección'!$G$11)+IF((N264/AI264&gt;'Parámetros Proyección'!$G$12),0,'Parámetros Proyección'!$G$12)+IF((T264/AI264&gt;'Parámetros Proyección'!$G$13),0,'Parámetros Proyección'!$G$13)+IF((Z264/AI264&gt;'Parámetros Proyección'!$G$14),0,'Parámetros Proyección'!$G$14)+IF((AF264/AI264&gt;'Parámetros Proyección'!$G$15),0,'Parámetros Proyección'!$G$15)))</f>
        <v/>
      </c>
      <c r="P264" s="35">
        <f>N264+O264</f>
        <v/>
      </c>
      <c r="Q264" s="35">
        <f>V263</f>
        <v/>
      </c>
      <c r="R264" s="35">
        <f>Q264*(1+'Parámetros Proyección'!$E$13)</f>
        <v/>
      </c>
      <c r="S264" s="35">
        <f>R264*'Parámetros Proyección'!$F$13</f>
        <v/>
      </c>
      <c r="T264" s="35">
        <f>R264+S264</f>
        <v/>
      </c>
      <c r="U264" s="35">
        <f>IF((T264/AI264&gt;'Parámetros Proyección'!$G$13),0,D264*'Parámetros Proyección'!$G$13/(IF((H264/AI264&gt;'Parámetros Proyección'!$G$11),0,'Parámetros Proyección'!$G$11)+IF((N264/AI264&gt;'Parámetros Proyección'!$G$12),0,'Parámetros Proyección'!$G$12)+IF((T264/AI264&gt;'Parámetros Proyección'!$G$13),0,'Parámetros Proyección'!$G$13)+IF((Z264/AI264&gt;'Parámetros Proyección'!$G$14),0,'Parámetros Proyección'!$G$14)+IF((AF264/AI264&gt;'Parámetros Proyección'!$G$15),0,'Parámetros Proyección'!$G$15)))</f>
        <v/>
      </c>
      <c r="V264" s="35">
        <f>T264+U264</f>
        <v/>
      </c>
      <c r="W264" s="35">
        <f>AB263</f>
        <v/>
      </c>
      <c r="X264" s="35">
        <f>W264*(1+'Parámetros Proyección'!$E$14)</f>
        <v/>
      </c>
      <c r="Y264" s="35">
        <f>X264*'Parámetros Proyección'!$F$14</f>
        <v/>
      </c>
      <c r="Z264" s="35">
        <f>X264+Y264</f>
        <v/>
      </c>
      <c r="AA264" s="35">
        <f>IF((Z264/AI264&gt;'Parámetros Proyección'!$G$14),0,D264*'Parámetros Proyección'!$G$14/(IF((H264/AI264&gt;'Parámetros Proyección'!$G$11),0,'Parámetros Proyección'!$G$11)+IF((N264/AI264&gt;'Parámetros Proyección'!$G$12),0,'Parámetros Proyección'!$G$12)+IF((T264/AI264&gt;'Parámetros Proyección'!$G$13),0,'Parámetros Proyección'!$G$13)+IF((Z264/AI264&gt;'Parámetros Proyección'!$G$14),0,'Parámetros Proyección'!$G$14)+IF((AF264/AI264&gt;'Parámetros Proyección'!$G$15),0,'Parámetros Proyección'!$G$15)))</f>
        <v/>
      </c>
      <c r="AB264" s="35">
        <f>Z264+AA264</f>
        <v/>
      </c>
      <c r="AC264" s="35">
        <f>AH263</f>
        <v/>
      </c>
      <c r="AD264" s="35">
        <f>AC264*(1+'Parámetros Proyección'!$E$15)</f>
        <v/>
      </c>
      <c r="AE264" s="35">
        <f>AD264*'Parámetros Proyección'!$F$15</f>
        <v/>
      </c>
      <c r="AF264" s="35">
        <f>AD264+AE264</f>
        <v/>
      </c>
      <c r="AG264" s="35">
        <f>IF((AF264/AI264&gt;'Parámetros Proyección'!$G$15),0,D264*'Parámetros Proyección'!$G$15/(IF((H264/AI264&gt;'Parámetros Proyección'!$G$11),0,'Parámetros Proyección'!$G$11)+IF((N264/AI264&gt;'Parámetros Proyección'!$G$12),0,'Parámetros Proyección'!$G$12)+IF((T264/AI264&gt;'Parámetros Proyección'!$G$13),0,'Parámetros Proyección'!$G$13)+IF((Z264/AI264&gt;'Parámetros Proyección'!$G$14),0,'Parámetros Proyección'!$G$14)+IF((AF264/AI264&gt;'Parámetros Proyección'!$G$15),0,'Parámetros Proyección'!$G$15)))</f>
        <v/>
      </c>
      <c r="AH264" s="35">
        <f>AF264+AG264</f>
        <v/>
      </c>
      <c r="AI264" s="35">
        <f>H264+N264+T264+Z264+AF264</f>
        <v/>
      </c>
      <c r="AJ264" s="33">
        <f>AF264/AI264</f>
        <v/>
      </c>
      <c r="AK264">
        <f>IF(AJ264&gt;'Parámetros Proyección'!$B$5,1,0)</f>
        <v/>
      </c>
      <c r="AL264" s="35">
        <f>G264+M264+S264+Y264+AE264</f>
        <v/>
      </c>
      <c r="AM264" s="35">
        <f>AM263+D264</f>
        <v/>
      </c>
      <c r="AN264" s="35">
        <f>AN263+AL264</f>
        <v/>
      </c>
      <c r="AO264" s="35">
        <f>J264+P264+V264+AB264+AH264</f>
        <v/>
      </c>
    </row>
    <row r="265">
      <c r="A265" t="n">
        <v>262</v>
      </c>
      <c r="B265" s="34">
        <f>EDATE(B264,1)</f>
        <v/>
      </c>
      <c r="C265">
        <f>YEAR(B265)</f>
        <v/>
      </c>
      <c r="D265" s="35">
        <f>'Parámetros Proyección'!$B$3*(1+'Parámetros Proyección'!$B$4)^(C265-YEAR('Parámetros Proyección'!$B$6))</f>
        <v/>
      </c>
      <c r="E265" s="35">
        <f>J264</f>
        <v/>
      </c>
      <c r="F265" s="35">
        <f>E265*(1+'Parámetros Proyección'!$E$11)</f>
        <v/>
      </c>
      <c r="G265" s="35">
        <f>F265*'Parámetros Proyección'!$F$11</f>
        <v/>
      </c>
      <c r="H265" s="35">
        <f>F265+G265</f>
        <v/>
      </c>
      <c r="I265" s="35">
        <f>IF((H265/AI265&gt;'Parámetros Proyección'!$G$11),0,D265*'Parámetros Proyección'!$G$11/(IF((H265/AI265&gt;'Parámetros Proyección'!$G$11),0,'Parámetros Proyección'!$G$11)+IF((N265/AI265&gt;'Parámetros Proyección'!$G$12),0,'Parámetros Proyección'!$G$12)+IF((T265/AI265&gt;'Parámetros Proyección'!$G$13),0,'Parámetros Proyección'!$G$13)+IF((Z265/AI265&gt;'Parámetros Proyección'!$G$14),0,'Parámetros Proyección'!$G$14)+IF((AF265/AI265&gt;'Parámetros Proyección'!$G$15),0,'Parámetros Proyección'!$G$15)))</f>
        <v/>
      </c>
      <c r="J265" s="35">
        <f>H265+I265</f>
        <v/>
      </c>
      <c r="K265" s="35">
        <f>P264</f>
        <v/>
      </c>
      <c r="L265" s="35">
        <f>K265*(1+'Parámetros Proyección'!$E$12)</f>
        <v/>
      </c>
      <c r="M265" s="35">
        <f>L265*'Parámetros Proyección'!$F$12</f>
        <v/>
      </c>
      <c r="N265" s="35">
        <f>L265+M265</f>
        <v/>
      </c>
      <c r="O265" s="35">
        <f>IF((N265/AI265&gt;'Parámetros Proyección'!$G$12),0,D265*'Parámetros Proyección'!$G$12/(IF((H265/AI265&gt;'Parámetros Proyección'!$G$11),0,'Parámetros Proyección'!$G$11)+IF((N265/AI265&gt;'Parámetros Proyección'!$G$12),0,'Parámetros Proyección'!$G$12)+IF((T265/AI265&gt;'Parámetros Proyección'!$G$13),0,'Parámetros Proyección'!$G$13)+IF((Z265/AI265&gt;'Parámetros Proyección'!$G$14),0,'Parámetros Proyección'!$G$14)+IF((AF265/AI265&gt;'Parámetros Proyección'!$G$15),0,'Parámetros Proyección'!$G$15)))</f>
        <v/>
      </c>
      <c r="P265" s="35">
        <f>N265+O265</f>
        <v/>
      </c>
      <c r="Q265" s="35">
        <f>V264</f>
        <v/>
      </c>
      <c r="R265" s="35">
        <f>Q265*(1+'Parámetros Proyección'!$E$13)</f>
        <v/>
      </c>
      <c r="S265" s="35">
        <f>R265*'Parámetros Proyección'!$F$13</f>
        <v/>
      </c>
      <c r="T265" s="35">
        <f>R265+S265</f>
        <v/>
      </c>
      <c r="U265" s="35">
        <f>IF((T265/AI265&gt;'Parámetros Proyección'!$G$13),0,D265*'Parámetros Proyección'!$G$13/(IF((H265/AI265&gt;'Parámetros Proyección'!$G$11),0,'Parámetros Proyección'!$G$11)+IF((N265/AI265&gt;'Parámetros Proyección'!$G$12),0,'Parámetros Proyección'!$G$12)+IF((T265/AI265&gt;'Parámetros Proyección'!$G$13),0,'Parámetros Proyección'!$G$13)+IF((Z265/AI265&gt;'Parámetros Proyección'!$G$14),0,'Parámetros Proyección'!$G$14)+IF((AF265/AI265&gt;'Parámetros Proyección'!$G$15),0,'Parámetros Proyección'!$G$15)))</f>
        <v/>
      </c>
      <c r="V265" s="35">
        <f>T265+U265</f>
        <v/>
      </c>
      <c r="W265" s="35">
        <f>AB264</f>
        <v/>
      </c>
      <c r="X265" s="35">
        <f>W265*(1+'Parámetros Proyección'!$E$14)</f>
        <v/>
      </c>
      <c r="Y265" s="35">
        <f>X265*'Parámetros Proyección'!$F$14</f>
        <v/>
      </c>
      <c r="Z265" s="35">
        <f>X265+Y265</f>
        <v/>
      </c>
      <c r="AA265" s="35">
        <f>IF((Z265/AI265&gt;'Parámetros Proyección'!$G$14),0,D265*'Parámetros Proyección'!$G$14/(IF((H265/AI265&gt;'Parámetros Proyección'!$G$11),0,'Parámetros Proyección'!$G$11)+IF((N265/AI265&gt;'Parámetros Proyección'!$G$12),0,'Parámetros Proyección'!$G$12)+IF((T265/AI265&gt;'Parámetros Proyección'!$G$13),0,'Parámetros Proyección'!$G$13)+IF((Z265/AI265&gt;'Parámetros Proyección'!$G$14),0,'Parámetros Proyección'!$G$14)+IF((AF265/AI265&gt;'Parámetros Proyección'!$G$15),0,'Parámetros Proyección'!$G$15)))</f>
        <v/>
      </c>
      <c r="AB265" s="35">
        <f>Z265+AA265</f>
        <v/>
      </c>
      <c r="AC265" s="35">
        <f>AH264</f>
        <v/>
      </c>
      <c r="AD265" s="35">
        <f>AC265*(1+'Parámetros Proyección'!$E$15)</f>
        <v/>
      </c>
      <c r="AE265" s="35">
        <f>AD265*'Parámetros Proyección'!$F$15</f>
        <v/>
      </c>
      <c r="AF265" s="35">
        <f>AD265+AE265</f>
        <v/>
      </c>
      <c r="AG265" s="35">
        <f>IF((AF265/AI265&gt;'Parámetros Proyección'!$G$15),0,D265*'Parámetros Proyección'!$G$15/(IF((H265/AI265&gt;'Parámetros Proyección'!$G$11),0,'Parámetros Proyección'!$G$11)+IF((N265/AI265&gt;'Parámetros Proyección'!$G$12),0,'Parámetros Proyección'!$G$12)+IF((T265/AI265&gt;'Parámetros Proyección'!$G$13),0,'Parámetros Proyección'!$G$13)+IF((Z265/AI265&gt;'Parámetros Proyección'!$G$14),0,'Parámetros Proyección'!$G$14)+IF((AF265/AI265&gt;'Parámetros Proyección'!$G$15),0,'Parámetros Proyección'!$G$15)))</f>
        <v/>
      </c>
      <c r="AH265" s="35">
        <f>AF265+AG265</f>
        <v/>
      </c>
      <c r="AI265" s="35">
        <f>H265+N265+T265+Z265+AF265</f>
        <v/>
      </c>
      <c r="AJ265" s="33">
        <f>AF265/AI265</f>
        <v/>
      </c>
      <c r="AK265">
        <f>IF(AJ265&gt;'Parámetros Proyección'!$B$5,1,0)</f>
        <v/>
      </c>
      <c r="AL265" s="35">
        <f>G265+M265+S265+Y265+AE265</f>
        <v/>
      </c>
      <c r="AM265" s="35">
        <f>AM264+D265</f>
        <v/>
      </c>
      <c r="AN265" s="35">
        <f>AN264+AL265</f>
        <v/>
      </c>
      <c r="AO265" s="35">
        <f>J265+P265+V265+AB265+AH265</f>
        <v/>
      </c>
    </row>
    <row r="266">
      <c r="A266" t="n">
        <v>263</v>
      </c>
      <c r="B266" s="34">
        <f>EDATE(B265,1)</f>
        <v/>
      </c>
      <c r="C266">
        <f>YEAR(B266)</f>
        <v/>
      </c>
      <c r="D266" s="35">
        <f>'Parámetros Proyección'!$B$3*(1+'Parámetros Proyección'!$B$4)^(C266-YEAR('Parámetros Proyección'!$B$6))</f>
        <v/>
      </c>
      <c r="E266" s="35">
        <f>J265</f>
        <v/>
      </c>
      <c r="F266" s="35">
        <f>E266*(1+'Parámetros Proyección'!$E$11)</f>
        <v/>
      </c>
      <c r="G266" s="35">
        <f>F266*'Parámetros Proyección'!$F$11</f>
        <v/>
      </c>
      <c r="H266" s="35">
        <f>F266+G266</f>
        <v/>
      </c>
      <c r="I266" s="35">
        <f>IF((H266/AI266&gt;'Parámetros Proyección'!$G$11),0,D266*'Parámetros Proyección'!$G$11/(IF((H266/AI266&gt;'Parámetros Proyección'!$G$11),0,'Parámetros Proyección'!$G$11)+IF((N266/AI266&gt;'Parámetros Proyección'!$G$12),0,'Parámetros Proyección'!$G$12)+IF((T266/AI266&gt;'Parámetros Proyección'!$G$13),0,'Parámetros Proyección'!$G$13)+IF((Z266/AI266&gt;'Parámetros Proyección'!$G$14),0,'Parámetros Proyección'!$G$14)+IF((AF266/AI266&gt;'Parámetros Proyección'!$G$15),0,'Parámetros Proyección'!$G$15)))</f>
        <v/>
      </c>
      <c r="J266" s="35">
        <f>H266+I266</f>
        <v/>
      </c>
      <c r="K266" s="35">
        <f>P265</f>
        <v/>
      </c>
      <c r="L266" s="35">
        <f>K266*(1+'Parámetros Proyección'!$E$12)</f>
        <v/>
      </c>
      <c r="M266" s="35">
        <f>L266*'Parámetros Proyección'!$F$12</f>
        <v/>
      </c>
      <c r="N266" s="35">
        <f>L266+M266</f>
        <v/>
      </c>
      <c r="O266" s="35">
        <f>IF((N266/AI266&gt;'Parámetros Proyección'!$G$12),0,D266*'Parámetros Proyección'!$G$12/(IF((H266/AI266&gt;'Parámetros Proyección'!$G$11),0,'Parámetros Proyección'!$G$11)+IF((N266/AI266&gt;'Parámetros Proyección'!$G$12),0,'Parámetros Proyección'!$G$12)+IF((T266/AI266&gt;'Parámetros Proyección'!$G$13),0,'Parámetros Proyección'!$G$13)+IF((Z266/AI266&gt;'Parámetros Proyección'!$G$14),0,'Parámetros Proyección'!$G$14)+IF((AF266/AI266&gt;'Parámetros Proyección'!$G$15),0,'Parámetros Proyección'!$G$15)))</f>
        <v/>
      </c>
      <c r="P266" s="35">
        <f>N266+O266</f>
        <v/>
      </c>
      <c r="Q266" s="35">
        <f>V265</f>
        <v/>
      </c>
      <c r="R266" s="35">
        <f>Q266*(1+'Parámetros Proyección'!$E$13)</f>
        <v/>
      </c>
      <c r="S266" s="35">
        <f>R266*'Parámetros Proyección'!$F$13</f>
        <v/>
      </c>
      <c r="T266" s="35">
        <f>R266+S266</f>
        <v/>
      </c>
      <c r="U266" s="35">
        <f>IF((T266/AI266&gt;'Parámetros Proyección'!$G$13),0,D266*'Parámetros Proyección'!$G$13/(IF((H266/AI266&gt;'Parámetros Proyección'!$G$11),0,'Parámetros Proyección'!$G$11)+IF((N266/AI266&gt;'Parámetros Proyección'!$G$12),0,'Parámetros Proyección'!$G$12)+IF((T266/AI266&gt;'Parámetros Proyección'!$G$13),0,'Parámetros Proyección'!$G$13)+IF((Z266/AI266&gt;'Parámetros Proyección'!$G$14),0,'Parámetros Proyección'!$G$14)+IF((AF266/AI266&gt;'Parámetros Proyección'!$G$15),0,'Parámetros Proyección'!$G$15)))</f>
        <v/>
      </c>
      <c r="V266" s="35">
        <f>T266+U266</f>
        <v/>
      </c>
      <c r="W266" s="35">
        <f>AB265</f>
        <v/>
      </c>
      <c r="X266" s="35">
        <f>W266*(1+'Parámetros Proyección'!$E$14)</f>
        <v/>
      </c>
      <c r="Y266" s="35">
        <f>X266*'Parámetros Proyección'!$F$14</f>
        <v/>
      </c>
      <c r="Z266" s="35">
        <f>X266+Y266</f>
        <v/>
      </c>
      <c r="AA266" s="35">
        <f>IF((Z266/AI266&gt;'Parámetros Proyección'!$G$14),0,D266*'Parámetros Proyección'!$G$14/(IF((H266/AI266&gt;'Parámetros Proyección'!$G$11),0,'Parámetros Proyección'!$G$11)+IF((N266/AI266&gt;'Parámetros Proyección'!$G$12),0,'Parámetros Proyección'!$G$12)+IF((T266/AI266&gt;'Parámetros Proyección'!$G$13),0,'Parámetros Proyección'!$G$13)+IF((Z266/AI266&gt;'Parámetros Proyección'!$G$14),0,'Parámetros Proyección'!$G$14)+IF((AF266/AI266&gt;'Parámetros Proyección'!$G$15),0,'Parámetros Proyección'!$G$15)))</f>
        <v/>
      </c>
      <c r="AB266" s="35">
        <f>Z266+AA266</f>
        <v/>
      </c>
      <c r="AC266" s="35">
        <f>AH265</f>
        <v/>
      </c>
      <c r="AD266" s="35">
        <f>AC266*(1+'Parámetros Proyección'!$E$15)</f>
        <v/>
      </c>
      <c r="AE266" s="35">
        <f>AD266*'Parámetros Proyección'!$F$15</f>
        <v/>
      </c>
      <c r="AF266" s="35">
        <f>AD266+AE266</f>
        <v/>
      </c>
      <c r="AG266" s="35">
        <f>IF((AF266/AI266&gt;'Parámetros Proyección'!$G$15),0,D266*'Parámetros Proyección'!$G$15/(IF((H266/AI266&gt;'Parámetros Proyección'!$G$11),0,'Parámetros Proyección'!$G$11)+IF((N266/AI266&gt;'Parámetros Proyección'!$G$12),0,'Parámetros Proyección'!$G$12)+IF((T266/AI266&gt;'Parámetros Proyección'!$G$13),0,'Parámetros Proyección'!$G$13)+IF((Z266/AI266&gt;'Parámetros Proyección'!$G$14),0,'Parámetros Proyección'!$G$14)+IF((AF266/AI266&gt;'Parámetros Proyección'!$G$15),0,'Parámetros Proyección'!$G$15)))</f>
        <v/>
      </c>
      <c r="AH266" s="35">
        <f>AF266+AG266</f>
        <v/>
      </c>
      <c r="AI266" s="35">
        <f>H266+N266+T266+Z266+AF266</f>
        <v/>
      </c>
      <c r="AJ266" s="33">
        <f>AF266/AI266</f>
        <v/>
      </c>
      <c r="AK266">
        <f>IF(AJ266&gt;'Parámetros Proyección'!$B$5,1,0)</f>
        <v/>
      </c>
      <c r="AL266" s="35">
        <f>G266+M266+S266+Y266+AE266</f>
        <v/>
      </c>
      <c r="AM266" s="35">
        <f>AM265+D266</f>
        <v/>
      </c>
      <c r="AN266" s="35">
        <f>AN265+AL266</f>
        <v/>
      </c>
      <c r="AO266" s="35">
        <f>J266+P266+V266+AB266+AH266</f>
        <v/>
      </c>
    </row>
    <row r="267">
      <c r="A267" t="n">
        <v>264</v>
      </c>
      <c r="B267" s="34">
        <f>EDATE(B266,1)</f>
        <v/>
      </c>
      <c r="C267">
        <f>YEAR(B267)</f>
        <v/>
      </c>
      <c r="D267" s="35">
        <f>'Parámetros Proyección'!$B$3*(1+'Parámetros Proyección'!$B$4)^(C267-YEAR('Parámetros Proyección'!$B$6))</f>
        <v/>
      </c>
      <c r="E267" s="35">
        <f>J266</f>
        <v/>
      </c>
      <c r="F267" s="35">
        <f>E267*(1+'Parámetros Proyección'!$E$11)</f>
        <v/>
      </c>
      <c r="G267" s="35">
        <f>F267*'Parámetros Proyección'!$F$11</f>
        <v/>
      </c>
      <c r="H267" s="35">
        <f>F267+G267</f>
        <v/>
      </c>
      <c r="I267" s="35">
        <f>IF((H267/AI267&gt;'Parámetros Proyección'!$G$11),0,D267*'Parámetros Proyección'!$G$11/(IF((H267/AI267&gt;'Parámetros Proyección'!$G$11),0,'Parámetros Proyección'!$G$11)+IF((N267/AI267&gt;'Parámetros Proyección'!$G$12),0,'Parámetros Proyección'!$G$12)+IF((T267/AI267&gt;'Parámetros Proyección'!$G$13),0,'Parámetros Proyección'!$G$13)+IF((Z267/AI267&gt;'Parámetros Proyección'!$G$14),0,'Parámetros Proyección'!$G$14)+IF((AF267/AI267&gt;'Parámetros Proyección'!$G$15),0,'Parámetros Proyección'!$G$15)))</f>
        <v/>
      </c>
      <c r="J267" s="35">
        <f>H267+I267</f>
        <v/>
      </c>
      <c r="K267" s="35">
        <f>P266</f>
        <v/>
      </c>
      <c r="L267" s="35">
        <f>K267*(1+'Parámetros Proyección'!$E$12)</f>
        <v/>
      </c>
      <c r="M267" s="35">
        <f>L267*'Parámetros Proyección'!$F$12</f>
        <v/>
      </c>
      <c r="N267" s="35">
        <f>L267+M267</f>
        <v/>
      </c>
      <c r="O267" s="35">
        <f>IF((N267/AI267&gt;'Parámetros Proyección'!$G$12),0,D267*'Parámetros Proyección'!$G$12/(IF((H267/AI267&gt;'Parámetros Proyección'!$G$11),0,'Parámetros Proyección'!$G$11)+IF((N267/AI267&gt;'Parámetros Proyección'!$G$12),0,'Parámetros Proyección'!$G$12)+IF((T267/AI267&gt;'Parámetros Proyección'!$G$13),0,'Parámetros Proyección'!$G$13)+IF((Z267/AI267&gt;'Parámetros Proyección'!$G$14),0,'Parámetros Proyección'!$G$14)+IF((AF267/AI267&gt;'Parámetros Proyección'!$G$15),0,'Parámetros Proyección'!$G$15)))</f>
        <v/>
      </c>
      <c r="P267" s="35">
        <f>N267+O267</f>
        <v/>
      </c>
      <c r="Q267" s="35">
        <f>V266</f>
        <v/>
      </c>
      <c r="R267" s="35">
        <f>Q267*(1+'Parámetros Proyección'!$E$13)</f>
        <v/>
      </c>
      <c r="S267" s="35">
        <f>R267*'Parámetros Proyección'!$F$13</f>
        <v/>
      </c>
      <c r="T267" s="35">
        <f>R267+S267</f>
        <v/>
      </c>
      <c r="U267" s="35">
        <f>IF((T267/AI267&gt;'Parámetros Proyección'!$G$13),0,D267*'Parámetros Proyección'!$G$13/(IF((H267/AI267&gt;'Parámetros Proyección'!$G$11),0,'Parámetros Proyección'!$G$11)+IF((N267/AI267&gt;'Parámetros Proyección'!$G$12),0,'Parámetros Proyección'!$G$12)+IF((T267/AI267&gt;'Parámetros Proyección'!$G$13),0,'Parámetros Proyección'!$G$13)+IF((Z267/AI267&gt;'Parámetros Proyección'!$G$14),0,'Parámetros Proyección'!$G$14)+IF((AF267/AI267&gt;'Parámetros Proyección'!$G$15),0,'Parámetros Proyección'!$G$15)))</f>
        <v/>
      </c>
      <c r="V267" s="35">
        <f>T267+U267</f>
        <v/>
      </c>
      <c r="W267" s="35">
        <f>AB266</f>
        <v/>
      </c>
      <c r="X267" s="35">
        <f>W267*(1+'Parámetros Proyección'!$E$14)</f>
        <v/>
      </c>
      <c r="Y267" s="35">
        <f>X267*'Parámetros Proyección'!$F$14</f>
        <v/>
      </c>
      <c r="Z267" s="35">
        <f>X267+Y267</f>
        <v/>
      </c>
      <c r="AA267" s="35">
        <f>IF((Z267/AI267&gt;'Parámetros Proyección'!$G$14),0,D267*'Parámetros Proyección'!$G$14/(IF((H267/AI267&gt;'Parámetros Proyección'!$G$11),0,'Parámetros Proyección'!$G$11)+IF((N267/AI267&gt;'Parámetros Proyección'!$G$12),0,'Parámetros Proyección'!$G$12)+IF((T267/AI267&gt;'Parámetros Proyección'!$G$13),0,'Parámetros Proyección'!$G$13)+IF((Z267/AI267&gt;'Parámetros Proyección'!$G$14),0,'Parámetros Proyección'!$G$14)+IF((AF267/AI267&gt;'Parámetros Proyección'!$G$15),0,'Parámetros Proyección'!$G$15)))</f>
        <v/>
      </c>
      <c r="AB267" s="35">
        <f>Z267+AA267</f>
        <v/>
      </c>
      <c r="AC267" s="35">
        <f>AH266</f>
        <v/>
      </c>
      <c r="AD267" s="35">
        <f>AC267*(1+'Parámetros Proyección'!$E$15)</f>
        <v/>
      </c>
      <c r="AE267" s="35">
        <f>AD267*'Parámetros Proyección'!$F$15</f>
        <v/>
      </c>
      <c r="AF267" s="35">
        <f>AD267+AE267</f>
        <v/>
      </c>
      <c r="AG267" s="35">
        <f>IF((AF267/AI267&gt;'Parámetros Proyección'!$G$15),0,D267*'Parámetros Proyección'!$G$15/(IF((H267/AI267&gt;'Parámetros Proyección'!$G$11),0,'Parámetros Proyección'!$G$11)+IF((N267/AI267&gt;'Parámetros Proyección'!$G$12),0,'Parámetros Proyección'!$G$12)+IF((T267/AI267&gt;'Parámetros Proyección'!$G$13),0,'Parámetros Proyección'!$G$13)+IF((Z267/AI267&gt;'Parámetros Proyección'!$G$14),0,'Parámetros Proyección'!$G$14)+IF((AF267/AI267&gt;'Parámetros Proyección'!$G$15),0,'Parámetros Proyección'!$G$15)))</f>
        <v/>
      </c>
      <c r="AH267" s="35">
        <f>AF267+AG267</f>
        <v/>
      </c>
      <c r="AI267" s="35">
        <f>H267+N267+T267+Z267+AF267</f>
        <v/>
      </c>
      <c r="AJ267" s="33">
        <f>AF267/AI267</f>
        <v/>
      </c>
      <c r="AK267">
        <f>IF(AJ267&gt;'Parámetros Proyección'!$B$5,1,0)</f>
        <v/>
      </c>
      <c r="AL267" s="35">
        <f>G267+M267+S267+Y267+AE267</f>
        <v/>
      </c>
      <c r="AM267" s="35">
        <f>AM266+D267</f>
        <v/>
      </c>
      <c r="AN267" s="35">
        <f>AN266+AL267</f>
        <v/>
      </c>
      <c r="AO267" s="35">
        <f>J267+P267+V267+AB267+AH267</f>
        <v/>
      </c>
    </row>
    <row r="268">
      <c r="A268" t="n">
        <v>265</v>
      </c>
      <c r="B268" s="34">
        <f>EDATE(B267,1)</f>
        <v/>
      </c>
      <c r="C268">
        <f>YEAR(B268)</f>
        <v/>
      </c>
      <c r="D268" s="35">
        <f>'Parámetros Proyección'!$B$3*(1+'Parámetros Proyección'!$B$4)^(C268-YEAR('Parámetros Proyección'!$B$6))</f>
        <v/>
      </c>
      <c r="E268" s="35">
        <f>J267</f>
        <v/>
      </c>
      <c r="F268" s="35">
        <f>E268*(1+'Parámetros Proyección'!$E$11)</f>
        <v/>
      </c>
      <c r="G268" s="35">
        <f>F268*'Parámetros Proyección'!$F$11</f>
        <v/>
      </c>
      <c r="H268" s="35">
        <f>F268+G268</f>
        <v/>
      </c>
      <c r="I268" s="35">
        <f>IF((H268/AI268&gt;'Parámetros Proyección'!$G$11),0,D268*'Parámetros Proyección'!$G$11/(IF((H268/AI268&gt;'Parámetros Proyección'!$G$11),0,'Parámetros Proyección'!$G$11)+IF((N268/AI268&gt;'Parámetros Proyección'!$G$12),0,'Parámetros Proyección'!$G$12)+IF((T268/AI268&gt;'Parámetros Proyección'!$G$13),0,'Parámetros Proyección'!$G$13)+IF((Z268/AI268&gt;'Parámetros Proyección'!$G$14),0,'Parámetros Proyección'!$G$14)+IF((AF268/AI268&gt;'Parámetros Proyección'!$G$15),0,'Parámetros Proyección'!$G$15)))</f>
        <v/>
      </c>
      <c r="J268" s="35">
        <f>H268+I268</f>
        <v/>
      </c>
      <c r="K268" s="35">
        <f>P267</f>
        <v/>
      </c>
      <c r="L268" s="35">
        <f>K268*(1+'Parámetros Proyección'!$E$12)</f>
        <v/>
      </c>
      <c r="M268" s="35">
        <f>L268*'Parámetros Proyección'!$F$12</f>
        <v/>
      </c>
      <c r="N268" s="35">
        <f>L268+M268</f>
        <v/>
      </c>
      <c r="O268" s="35">
        <f>IF((N268/AI268&gt;'Parámetros Proyección'!$G$12),0,D268*'Parámetros Proyección'!$G$12/(IF((H268/AI268&gt;'Parámetros Proyección'!$G$11),0,'Parámetros Proyección'!$G$11)+IF((N268/AI268&gt;'Parámetros Proyección'!$G$12),0,'Parámetros Proyección'!$G$12)+IF((T268/AI268&gt;'Parámetros Proyección'!$G$13),0,'Parámetros Proyección'!$G$13)+IF((Z268/AI268&gt;'Parámetros Proyección'!$G$14),0,'Parámetros Proyección'!$G$14)+IF((AF268/AI268&gt;'Parámetros Proyección'!$G$15),0,'Parámetros Proyección'!$G$15)))</f>
        <v/>
      </c>
      <c r="P268" s="35">
        <f>N268+O268</f>
        <v/>
      </c>
      <c r="Q268" s="35">
        <f>V267</f>
        <v/>
      </c>
      <c r="R268" s="35">
        <f>Q268*(1+'Parámetros Proyección'!$E$13)</f>
        <v/>
      </c>
      <c r="S268" s="35">
        <f>R268*'Parámetros Proyección'!$F$13</f>
        <v/>
      </c>
      <c r="T268" s="35">
        <f>R268+S268</f>
        <v/>
      </c>
      <c r="U268" s="35">
        <f>IF((T268/AI268&gt;'Parámetros Proyección'!$G$13),0,D268*'Parámetros Proyección'!$G$13/(IF((H268/AI268&gt;'Parámetros Proyección'!$G$11),0,'Parámetros Proyección'!$G$11)+IF((N268/AI268&gt;'Parámetros Proyección'!$G$12),0,'Parámetros Proyección'!$G$12)+IF((T268/AI268&gt;'Parámetros Proyección'!$G$13),0,'Parámetros Proyección'!$G$13)+IF((Z268/AI268&gt;'Parámetros Proyección'!$G$14),0,'Parámetros Proyección'!$G$14)+IF((AF268/AI268&gt;'Parámetros Proyección'!$G$15),0,'Parámetros Proyección'!$G$15)))</f>
        <v/>
      </c>
      <c r="V268" s="35">
        <f>T268+U268</f>
        <v/>
      </c>
      <c r="W268" s="35">
        <f>AB267</f>
        <v/>
      </c>
      <c r="X268" s="35">
        <f>W268*(1+'Parámetros Proyección'!$E$14)</f>
        <v/>
      </c>
      <c r="Y268" s="35">
        <f>X268*'Parámetros Proyección'!$F$14</f>
        <v/>
      </c>
      <c r="Z268" s="35">
        <f>X268+Y268</f>
        <v/>
      </c>
      <c r="AA268" s="35">
        <f>IF((Z268/AI268&gt;'Parámetros Proyección'!$G$14),0,D268*'Parámetros Proyección'!$G$14/(IF((H268/AI268&gt;'Parámetros Proyección'!$G$11),0,'Parámetros Proyección'!$G$11)+IF((N268/AI268&gt;'Parámetros Proyección'!$G$12),0,'Parámetros Proyección'!$G$12)+IF((T268/AI268&gt;'Parámetros Proyección'!$G$13),0,'Parámetros Proyección'!$G$13)+IF((Z268/AI268&gt;'Parámetros Proyección'!$G$14),0,'Parámetros Proyección'!$G$14)+IF((AF268/AI268&gt;'Parámetros Proyección'!$G$15),0,'Parámetros Proyección'!$G$15)))</f>
        <v/>
      </c>
      <c r="AB268" s="35">
        <f>Z268+AA268</f>
        <v/>
      </c>
      <c r="AC268" s="35">
        <f>AH267</f>
        <v/>
      </c>
      <c r="AD268" s="35">
        <f>AC268*(1+'Parámetros Proyección'!$E$15)</f>
        <v/>
      </c>
      <c r="AE268" s="35">
        <f>AD268*'Parámetros Proyección'!$F$15</f>
        <v/>
      </c>
      <c r="AF268" s="35">
        <f>AD268+AE268</f>
        <v/>
      </c>
      <c r="AG268" s="35">
        <f>IF((AF268/AI268&gt;'Parámetros Proyección'!$G$15),0,D268*'Parámetros Proyección'!$G$15/(IF((H268/AI268&gt;'Parámetros Proyección'!$G$11),0,'Parámetros Proyección'!$G$11)+IF((N268/AI268&gt;'Parámetros Proyección'!$G$12),0,'Parámetros Proyección'!$G$12)+IF((T268/AI268&gt;'Parámetros Proyección'!$G$13),0,'Parámetros Proyección'!$G$13)+IF((Z268/AI268&gt;'Parámetros Proyección'!$G$14),0,'Parámetros Proyección'!$G$14)+IF((AF268/AI268&gt;'Parámetros Proyección'!$G$15),0,'Parámetros Proyección'!$G$15)))</f>
        <v/>
      </c>
      <c r="AH268" s="35">
        <f>AF268+AG268</f>
        <v/>
      </c>
      <c r="AI268" s="35">
        <f>H268+N268+T268+Z268+AF268</f>
        <v/>
      </c>
      <c r="AJ268" s="33">
        <f>AF268/AI268</f>
        <v/>
      </c>
      <c r="AK268">
        <f>IF(AJ268&gt;'Parámetros Proyección'!$B$5,1,0)</f>
        <v/>
      </c>
      <c r="AL268" s="35">
        <f>G268+M268+S268+Y268+AE268</f>
        <v/>
      </c>
      <c r="AM268" s="35">
        <f>AM267+D268</f>
        <v/>
      </c>
      <c r="AN268" s="35">
        <f>AN267+AL268</f>
        <v/>
      </c>
      <c r="AO268" s="35">
        <f>J268+P268+V268+AB268+AH268</f>
        <v/>
      </c>
    </row>
    <row r="269">
      <c r="A269" t="n">
        <v>266</v>
      </c>
      <c r="B269" s="34">
        <f>EDATE(B268,1)</f>
        <v/>
      </c>
      <c r="C269">
        <f>YEAR(B269)</f>
        <v/>
      </c>
      <c r="D269" s="35">
        <f>'Parámetros Proyección'!$B$3*(1+'Parámetros Proyección'!$B$4)^(C269-YEAR('Parámetros Proyección'!$B$6))</f>
        <v/>
      </c>
      <c r="E269" s="35">
        <f>J268</f>
        <v/>
      </c>
      <c r="F269" s="35">
        <f>E269*(1+'Parámetros Proyección'!$E$11)</f>
        <v/>
      </c>
      <c r="G269" s="35">
        <f>F269*'Parámetros Proyección'!$F$11</f>
        <v/>
      </c>
      <c r="H269" s="35">
        <f>F269+G269</f>
        <v/>
      </c>
      <c r="I269" s="35">
        <f>IF((H269/AI269&gt;'Parámetros Proyección'!$G$11),0,D269*'Parámetros Proyección'!$G$11/(IF((H269/AI269&gt;'Parámetros Proyección'!$G$11),0,'Parámetros Proyección'!$G$11)+IF((N269/AI269&gt;'Parámetros Proyección'!$G$12),0,'Parámetros Proyección'!$G$12)+IF((T269/AI269&gt;'Parámetros Proyección'!$G$13),0,'Parámetros Proyección'!$G$13)+IF((Z269/AI269&gt;'Parámetros Proyección'!$G$14),0,'Parámetros Proyección'!$G$14)+IF((AF269/AI269&gt;'Parámetros Proyección'!$G$15),0,'Parámetros Proyección'!$G$15)))</f>
        <v/>
      </c>
      <c r="J269" s="35">
        <f>H269+I269</f>
        <v/>
      </c>
      <c r="K269" s="35">
        <f>P268</f>
        <v/>
      </c>
      <c r="L269" s="35">
        <f>K269*(1+'Parámetros Proyección'!$E$12)</f>
        <v/>
      </c>
      <c r="M269" s="35">
        <f>L269*'Parámetros Proyección'!$F$12</f>
        <v/>
      </c>
      <c r="N269" s="35">
        <f>L269+M269</f>
        <v/>
      </c>
      <c r="O269" s="35">
        <f>IF((N269/AI269&gt;'Parámetros Proyección'!$G$12),0,D269*'Parámetros Proyección'!$G$12/(IF((H269/AI269&gt;'Parámetros Proyección'!$G$11),0,'Parámetros Proyección'!$G$11)+IF((N269/AI269&gt;'Parámetros Proyección'!$G$12),0,'Parámetros Proyección'!$G$12)+IF((T269/AI269&gt;'Parámetros Proyección'!$G$13),0,'Parámetros Proyección'!$G$13)+IF((Z269/AI269&gt;'Parámetros Proyección'!$G$14),0,'Parámetros Proyección'!$G$14)+IF((AF269/AI269&gt;'Parámetros Proyección'!$G$15),0,'Parámetros Proyección'!$G$15)))</f>
        <v/>
      </c>
      <c r="P269" s="35">
        <f>N269+O269</f>
        <v/>
      </c>
      <c r="Q269" s="35">
        <f>V268</f>
        <v/>
      </c>
      <c r="R269" s="35">
        <f>Q269*(1+'Parámetros Proyección'!$E$13)</f>
        <v/>
      </c>
      <c r="S269" s="35">
        <f>R269*'Parámetros Proyección'!$F$13</f>
        <v/>
      </c>
      <c r="T269" s="35">
        <f>R269+S269</f>
        <v/>
      </c>
      <c r="U269" s="35">
        <f>IF((T269/AI269&gt;'Parámetros Proyección'!$G$13),0,D269*'Parámetros Proyección'!$G$13/(IF((H269/AI269&gt;'Parámetros Proyección'!$G$11),0,'Parámetros Proyección'!$G$11)+IF((N269/AI269&gt;'Parámetros Proyección'!$G$12),0,'Parámetros Proyección'!$G$12)+IF((T269/AI269&gt;'Parámetros Proyección'!$G$13),0,'Parámetros Proyección'!$G$13)+IF((Z269/AI269&gt;'Parámetros Proyección'!$G$14),0,'Parámetros Proyección'!$G$14)+IF((AF269/AI269&gt;'Parámetros Proyección'!$G$15),0,'Parámetros Proyección'!$G$15)))</f>
        <v/>
      </c>
      <c r="V269" s="35">
        <f>T269+U269</f>
        <v/>
      </c>
      <c r="W269" s="35">
        <f>AB268</f>
        <v/>
      </c>
      <c r="X269" s="35">
        <f>W269*(1+'Parámetros Proyección'!$E$14)</f>
        <v/>
      </c>
      <c r="Y269" s="35">
        <f>X269*'Parámetros Proyección'!$F$14</f>
        <v/>
      </c>
      <c r="Z269" s="35">
        <f>X269+Y269</f>
        <v/>
      </c>
      <c r="AA269" s="35">
        <f>IF((Z269/AI269&gt;'Parámetros Proyección'!$G$14),0,D269*'Parámetros Proyección'!$G$14/(IF((H269/AI269&gt;'Parámetros Proyección'!$G$11),0,'Parámetros Proyección'!$G$11)+IF((N269/AI269&gt;'Parámetros Proyección'!$G$12),0,'Parámetros Proyección'!$G$12)+IF((T269/AI269&gt;'Parámetros Proyección'!$G$13),0,'Parámetros Proyección'!$G$13)+IF((Z269/AI269&gt;'Parámetros Proyección'!$G$14),0,'Parámetros Proyección'!$G$14)+IF((AF269/AI269&gt;'Parámetros Proyección'!$G$15),0,'Parámetros Proyección'!$G$15)))</f>
        <v/>
      </c>
      <c r="AB269" s="35">
        <f>Z269+AA269</f>
        <v/>
      </c>
      <c r="AC269" s="35">
        <f>AH268</f>
        <v/>
      </c>
      <c r="AD269" s="35">
        <f>AC269*(1+'Parámetros Proyección'!$E$15)</f>
        <v/>
      </c>
      <c r="AE269" s="35">
        <f>AD269*'Parámetros Proyección'!$F$15</f>
        <v/>
      </c>
      <c r="AF269" s="35">
        <f>AD269+AE269</f>
        <v/>
      </c>
      <c r="AG269" s="35">
        <f>IF((AF269/AI269&gt;'Parámetros Proyección'!$G$15),0,D269*'Parámetros Proyección'!$G$15/(IF((H269/AI269&gt;'Parámetros Proyección'!$G$11),0,'Parámetros Proyección'!$G$11)+IF((N269/AI269&gt;'Parámetros Proyección'!$G$12),0,'Parámetros Proyección'!$G$12)+IF((T269/AI269&gt;'Parámetros Proyección'!$G$13),0,'Parámetros Proyección'!$G$13)+IF((Z269/AI269&gt;'Parámetros Proyección'!$G$14),0,'Parámetros Proyección'!$G$14)+IF((AF269/AI269&gt;'Parámetros Proyección'!$G$15),0,'Parámetros Proyección'!$G$15)))</f>
        <v/>
      </c>
      <c r="AH269" s="35">
        <f>AF269+AG269</f>
        <v/>
      </c>
      <c r="AI269" s="35">
        <f>H269+N269+T269+Z269+AF269</f>
        <v/>
      </c>
      <c r="AJ269" s="33">
        <f>AF269/AI269</f>
        <v/>
      </c>
      <c r="AK269">
        <f>IF(AJ269&gt;'Parámetros Proyección'!$B$5,1,0)</f>
        <v/>
      </c>
      <c r="AL269" s="35">
        <f>G269+M269+S269+Y269+AE269</f>
        <v/>
      </c>
      <c r="AM269" s="35">
        <f>AM268+D269</f>
        <v/>
      </c>
      <c r="AN269" s="35">
        <f>AN268+AL269</f>
        <v/>
      </c>
      <c r="AO269" s="35">
        <f>J269+P269+V269+AB269+AH269</f>
        <v/>
      </c>
    </row>
    <row r="270">
      <c r="A270" t="n">
        <v>267</v>
      </c>
      <c r="B270" s="34">
        <f>EDATE(B269,1)</f>
        <v/>
      </c>
      <c r="C270">
        <f>YEAR(B270)</f>
        <v/>
      </c>
      <c r="D270" s="35">
        <f>'Parámetros Proyección'!$B$3*(1+'Parámetros Proyección'!$B$4)^(C270-YEAR('Parámetros Proyección'!$B$6))</f>
        <v/>
      </c>
      <c r="E270" s="35">
        <f>J269</f>
        <v/>
      </c>
      <c r="F270" s="35">
        <f>E270*(1+'Parámetros Proyección'!$E$11)</f>
        <v/>
      </c>
      <c r="G270" s="35">
        <f>F270*'Parámetros Proyección'!$F$11</f>
        <v/>
      </c>
      <c r="H270" s="35">
        <f>F270+G270</f>
        <v/>
      </c>
      <c r="I270" s="35">
        <f>IF((H270/AI270&gt;'Parámetros Proyección'!$G$11),0,D270*'Parámetros Proyección'!$G$11/(IF((H270/AI270&gt;'Parámetros Proyección'!$G$11),0,'Parámetros Proyección'!$G$11)+IF((N270/AI270&gt;'Parámetros Proyección'!$G$12),0,'Parámetros Proyección'!$G$12)+IF((T270/AI270&gt;'Parámetros Proyección'!$G$13),0,'Parámetros Proyección'!$G$13)+IF((Z270/AI270&gt;'Parámetros Proyección'!$G$14),0,'Parámetros Proyección'!$G$14)+IF((AF270/AI270&gt;'Parámetros Proyección'!$G$15),0,'Parámetros Proyección'!$G$15)))</f>
        <v/>
      </c>
      <c r="J270" s="35">
        <f>H270+I270</f>
        <v/>
      </c>
      <c r="K270" s="35">
        <f>P269</f>
        <v/>
      </c>
      <c r="L270" s="35">
        <f>K270*(1+'Parámetros Proyección'!$E$12)</f>
        <v/>
      </c>
      <c r="M270" s="35">
        <f>L270*'Parámetros Proyección'!$F$12</f>
        <v/>
      </c>
      <c r="N270" s="35">
        <f>L270+M270</f>
        <v/>
      </c>
      <c r="O270" s="35">
        <f>IF((N270/AI270&gt;'Parámetros Proyección'!$G$12),0,D270*'Parámetros Proyección'!$G$12/(IF((H270/AI270&gt;'Parámetros Proyección'!$G$11),0,'Parámetros Proyección'!$G$11)+IF((N270/AI270&gt;'Parámetros Proyección'!$G$12),0,'Parámetros Proyección'!$G$12)+IF((T270/AI270&gt;'Parámetros Proyección'!$G$13),0,'Parámetros Proyección'!$G$13)+IF((Z270/AI270&gt;'Parámetros Proyección'!$G$14),0,'Parámetros Proyección'!$G$14)+IF((AF270/AI270&gt;'Parámetros Proyección'!$G$15),0,'Parámetros Proyección'!$G$15)))</f>
        <v/>
      </c>
      <c r="P270" s="35">
        <f>N270+O270</f>
        <v/>
      </c>
      <c r="Q270" s="35">
        <f>V269</f>
        <v/>
      </c>
      <c r="R270" s="35">
        <f>Q270*(1+'Parámetros Proyección'!$E$13)</f>
        <v/>
      </c>
      <c r="S270" s="35">
        <f>R270*'Parámetros Proyección'!$F$13</f>
        <v/>
      </c>
      <c r="T270" s="35">
        <f>R270+S270</f>
        <v/>
      </c>
      <c r="U270" s="35">
        <f>IF((T270/AI270&gt;'Parámetros Proyección'!$G$13),0,D270*'Parámetros Proyección'!$G$13/(IF((H270/AI270&gt;'Parámetros Proyección'!$G$11),0,'Parámetros Proyección'!$G$11)+IF((N270/AI270&gt;'Parámetros Proyección'!$G$12),0,'Parámetros Proyección'!$G$12)+IF((T270/AI270&gt;'Parámetros Proyección'!$G$13),0,'Parámetros Proyección'!$G$13)+IF((Z270/AI270&gt;'Parámetros Proyección'!$G$14),0,'Parámetros Proyección'!$G$14)+IF((AF270/AI270&gt;'Parámetros Proyección'!$G$15),0,'Parámetros Proyección'!$G$15)))</f>
        <v/>
      </c>
      <c r="V270" s="35">
        <f>T270+U270</f>
        <v/>
      </c>
      <c r="W270" s="35">
        <f>AB269</f>
        <v/>
      </c>
      <c r="X270" s="35">
        <f>W270*(1+'Parámetros Proyección'!$E$14)</f>
        <v/>
      </c>
      <c r="Y270" s="35">
        <f>X270*'Parámetros Proyección'!$F$14</f>
        <v/>
      </c>
      <c r="Z270" s="35">
        <f>X270+Y270</f>
        <v/>
      </c>
      <c r="AA270" s="35">
        <f>IF((Z270/AI270&gt;'Parámetros Proyección'!$G$14),0,D270*'Parámetros Proyección'!$G$14/(IF((H270/AI270&gt;'Parámetros Proyección'!$G$11),0,'Parámetros Proyección'!$G$11)+IF((N270/AI270&gt;'Parámetros Proyección'!$G$12),0,'Parámetros Proyección'!$G$12)+IF((T270/AI270&gt;'Parámetros Proyección'!$G$13),0,'Parámetros Proyección'!$G$13)+IF((Z270/AI270&gt;'Parámetros Proyección'!$G$14),0,'Parámetros Proyección'!$G$14)+IF((AF270/AI270&gt;'Parámetros Proyección'!$G$15),0,'Parámetros Proyección'!$G$15)))</f>
        <v/>
      </c>
      <c r="AB270" s="35">
        <f>Z270+AA270</f>
        <v/>
      </c>
      <c r="AC270" s="35">
        <f>AH269</f>
        <v/>
      </c>
      <c r="AD270" s="35">
        <f>AC270*(1+'Parámetros Proyección'!$E$15)</f>
        <v/>
      </c>
      <c r="AE270" s="35">
        <f>AD270*'Parámetros Proyección'!$F$15</f>
        <v/>
      </c>
      <c r="AF270" s="35">
        <f>AD270+AE270</f>
        <v/>
      </c>
      <c r="AG270" s="35">
        <f>IF((AF270/AI270&gt;'Parámetros Proyección'!$G$15),0,D270*'Parámetros Proyección'!$G$15/(IF((H270/AI270&gt;'Parámetros Proyección'!$G$11),0,'Parámetros Proyección'!$G$11)+IF((N270/AI270&gt;'Parámetros Proyección'!$G$12),0,'Parámetros Proyección'!$G$12)+IF((T270/AI270&gt;'Parámetros Proyección'!$G$13),0,'Parámetros Proyección'!$G$13)+IF((Z270/AI270&gt;'Parámetros Proyección'!$G$14),0,'Parámetros Proyección'!$G$14)+IF((AF270/AI270&gt;'Parámetros Proyección'!$G$15),0,'Parámetros Proyección'!$G$15)))</f>
        <v/>
      </c>
      <c r="AH270" s="35">
        <f>AF270+AG270</f>
        <v/>
      </c>
      <c r="AI270" s="35">
        <f>H270+N270+T270+Z270+AF270</f>
        <v/>
      </c>
      <c r="AJ270" s="33">
        <f>AF270/AI270</f>
        <v/>
      </c>
      <c r="AK270">
        <f>IF(AJ270&gt;'Parámetros Proyección'!$B$5,1,0)</f>
        <v/>
      </c>
      <c r="AL270" s="35">
        <f>G270+M270+S270+Y270+AE270</f>
        <v/>
      </c>
      <c r="AM270" s="35">
        <f>AM269+D270</f>
        <v/>
      </c>
      <c r="AN270" s="35">
        <f>AN269+AL270</f>
        <v/>
      </c>
      <c r="AO270" s="35">
        <f>J270+P270+V270+AB270+AH270</f>
        <v/>
      </c>
    </row>
    <row r="271">
      <c r="A271" t="n">
        <v>268</v>
      </c>
      <c r="B271" s="34">
        <f>EDATE(B270,1)</f>
        <v/>
      </c>
      <c r="C271">
        <f>YEAR(B271)</f>
        <v/>
      </c>
      <c r="D271" s="35">
        <f>'Parámetros Proyección'!$B$3*(1+'Parámetros Proyección'!$B$4)^(C271-YEAR('Parámetros Proyección'!$B$6))</f>
        <v/>
      </c>
      <c r="E271" s="35">
        <f>J270</f>
        <v/>
      </c>
      <c r="F271" s="35">
        <f>E271*(1+'Parámetros Proyección'!$E$11)</f>
        <v/>
      </c>
      <c r="G271" s="35">
        <f>F271*'Parámetros Proyección'!$F$11</f>
        <v/>
      </c>
      <c r="H271" s="35">
        <f>F271+G271</f>
        <v/>
      </c>
      <c r="I271" s="35">
        <f>IF((H271/AI271&gt;'Parámetros Proyección'!$G$11),0,D271*'Parámetros Proyección'!$G$11/(IF((H271/AI271&gt;'Parámetros Proyección'!$G$11),0,'Parámetros Proyección'!$G$11)+IF((N271/AI271&gt;'Parámetros Proyección'!$G$12),0,'Parámetros Proyección'!$G$12)+IF((T271/AI271&gt;'Parámetros Proyección'!$G$13),0,'Parámetros Proyección'!$G$13)+IF((Z271/AI271&gt;'Parámetros Proyección'!$G$14),0,'Parámetros Proyección'!$G$14)+IF((AF271/AI271&gt;'Parámetros Proyección'!$G$15),0,'Parámetros Proyección'!$G$15)))</f>
        <v/>
      </c>
      <c r="J271" s="35">
        <f>H271+I271</f>
        <v/>
      </c>
      <c r="K271" s="35">
        <f>P270</f>
        <v/>
      </c>
      <c r="L271" s="35">
        <f>K271*(1+'Parámetros Proyección'!$E$12)</f>
        <v/>
      </c>
      <c r="M271" s="35">
        <f>L271*'Parámetros Proyección'!$F$12</f>
        <v/>
      </c>
      <c r="N271" s="35">
        <f>L271+M271</f>
        <v/>
      </c>
      <c r="O271" s="35">
        <f>IF((N271/AI271&gt;'Parámetros Proyección'!$G$12),0,D271*'Parámetros Proyección'!$G$12/(IF((H271/AI271&gt;'Parámetros Proyección'!$G$11),0,'Parámetros Proyección'!$G$11)+IF((N271/AI271&gt;'Parámetros Proyección'!$G$12),0,'Parámetros Proyección'!$G$12)+IF((T271/AI271&gt;'Parámetros Proyección'!$G$13),0,'Parámetros Proyección'!$G$13)+IF((Z271/AI271&gt;'Parámetros Proyección'!$G$14),0,'Parámetros Proyección'!$G$14)+IF((AF271/AI271&gt;'Parámetros Proyección'!$G$15),0,'Parámetros Proyección'!$G$15)))</f>
        <v/>
      </c>
      <c r="P271" s="35">
        <f>N271+O271</f>
        <v/>
      </c>
      <c r="Q271" s="35">
        <f>V270</f>
        <v/>
      </c>
      <c r="R271" s="35">
        <f>Q271*(1+'Parámetros Proyección'!$E$13)</f>
        <v/>
      </c>
      <c r="S271" s="35">
        <f>R271*'Parámetros Proyección'!$F$13</f>
        <v/>
      </c>
      <c r="T271" s="35">
        <f>R271+S271</f>
        <v/>
      </c>
      <c r="U271" s="35">
        <f>IF((T271/AI271&gt;'Parámetros Proyección'!$G$13),0,D271*'Parámetros Proyección'!$G$13/(IF((H271/AI271&gt;'Parámetros Proyección'!$G$11),0,'Parámetros Proyección'!$G$11)+IF((N271/AI271&gt;'Parámetros Proyección'!$G$12),0,'Parámetros Proyección'!$G$12)+IF((T271/AI271&gt;'Parámetros Proyección'!$G$13),0,'Parámetros Proyección'!$G$13)+IF((Z271/AI271&gt;'Parámetros Proyección'!$G$14),0,'Parámetros Proyección'!$G$14)+IF((AF271/AI271&gt;'Parámetros Proyección'!$G$15),0,'Parámetros Proyección'!$G$15)))</f>
        <v/>
      </c>
      <c r="V271" s="35">
        <f>T271+U271</f>
        <v/>
      </c>
      <c r="W271" s="35">
        <f>AB270</f>
        <v/>
      </c>
      <c r="X271" s="35">
        <f>W271*(1+'Parámetros Proyección'!$E$14)</f>
        <v/>
      </c>
      <c r="Y271" s="35">
        <f>X271*'Parámetros Proyección'!$F$14</f>
        <v/>
      </c>
      <c r="Z271" s="35">
        <f>X271+Y271</f>
        <v/>
      </c>
      <c r="AA271" s="35">
        <f>IF((Z271/AI271&gt;'Parámetros Proyección'!$G$14),0,D271*'Parámetros Proyección'!$G$14/(IF((H271/AI271&gt;'Parámetros Proyección'!$G$11),0,'Parámetros Proyección'!$G$11)+IF((N271/AI271&gt;'Parámetros Proyección'!$G$12),0,'Parámetros Proyección'!$G$12)+IF((T271/AI271&gt;'Parámetros Proyección'!$G$13),0,'Parámetros Proyección'!$G$13)+IF((Z271/AI271&gt;'Parámetros Proyección'!$G$14),0,'Parámetros Proyección'!$G$14)+IF((AF271/AI271&gt;'Parámetros Proyección'!$G$15),0,'Parámetros Proyección'!$G$15)))</f>
        <v/>
      </c>
      <c r="AB271" s="35">
        <f>Z271+AA271</f>
        <v/>
      </c>
      <c r="AC271" s="35">
        <f>AH270</f>
        <v/>
      </c>
      <c r="AD271" s="35">
        <f>AC271*(1+'Parámetros Proyección'!$E$15)</f>
        <v/>
      </c>
      <c r="AE271" s="35">
        <f>AD271*'Parámetros Proyección'!$F$15</f>
        <v/>
      </c>
      <c r="AF271" s="35">
        <f>AD271+AE271</f>
        <v/>
      </c>
      <c r="AG271" s="35">
        <f>IF((AF271/AI271&gt;'Parámetros Proyección'!$G$15),0,D271*'Parámetros Proyección'!$G$15/(IF((H271/AI271&gt;'Parámetros Proyección'!$G$11),0,'Parámetros Proyección'!$G$11)+IF((N271/AI271&gt;'Parámetros Proyección'!$G$12),0,'Parámetros Proyección'!$G$12)+IF((T271/AI271&gt;'Parámetros Proyección'!$G$13),0,'Parámetros Proyección'!$G$13)+IF((Z271/AI271&gt;'Parámetros Proyección'!$G$14),0,'Parámetros Proyección'!$G$14)+IF((AF271/AI271&gt;'Parámetros Proyección'!$G$15),0,'Parámetros Proyección'!$G$15)))</f>
        <v/>
      </c>
      <c r="AH271" s="35">
        <f>AF271+AG271</f>
        <v/>
      </c>
      <c r="AI271" s="35">
        <f>H271+N271+T271+Z271+AF271</f>
        <v/>
      </c>
      <c r="AJ271" s="33">
        <f>AF271/AI271</f>
        <v/>
      </c>
      <c r="AK271">
        <f>IF(AJ271&gt;'Parámetros Proyección'!$B$5,1,0)</f>
        <v/>
      </c>
      <c r="AL271" s="35">
        <f>G271+M271+S271+Y271+AE271</f>
        <v/>
      </c>
      <c r="AM271" s="35">
        <f>AM270+D271</f>
        <v/>
      </c>
      <c r="AN271" s="35">
        <f>AN270+AL271</f>
        <v/>
      </c>
      <c r="AO271" s="35">
        <f>J271+P271+V271+AB271+AH271</f>
        <v/>
      </c>
    </row>
    <row r="272">
      <c r="A272" t="n">
        <v>269</v>
      </c>
      <c r="B272" s="34">
        <f>EDATE(B271,1)</f>
        <v/>
      </c>
      <c r="C272">
        <f>YEAR(B272)</f>
        <v/>
      </c>
      <c r="D272" s="35">
        <f>'Parámetros Proyección'!$B$3*(1+'Parámetros Proyección'!$B$4)^(C272-YEAR('Parámetros Proyección'!$B$6))</f>
        <v/>
      </c>
      <c r="E272" s="35">
        <f>J271</f>
        <v/>
      </c>
      <c r="F272" s="35">
        <f>E272*(1+'Parámetros Proyección'!$E$11)</f>
        <v/>
      </c>
      <c r="G272" s="35">
        <f>F272*'Parámetros Proyección'!$F$11</f>
        <v/>
      </c>
      <c r="H272" s="35">
        <f>F272+G272</f>
        <v/>
      </c>
      <c r="I272" s="35">
        <f>IF((H272/AI272&gt;'Parámetros Proyección'!$G$11),0,D272*'Parámetros Proyección'!$G$11/(IF((H272/AI272&gt;'Parámetros Proyección'!$G$11),0,'Parámetros Proyección'!$G$11)+IF((N272/AI272&gt;'Parámetros Proyección'!$G$12),0,'Parámetros Proyección'!$G$12)+IF((T272/AI272&gt;'Parámetros Proyección'!$G$13),0,'Parámetros Proyección'!$G$13)+IF((Z272/AI272&gt;'Parámetros Proyección'!$G$14),0,'Parámetros Proyección'!$G$14)+IF((AF272/AI272&gt;'Parámetros Proyección'!$G$15),0,'Parámetros Proyección'!$G$15)))</f>
        <v/>
      </c>
      <c r="J272" s="35">
        <f>H272+I272</f>
        <v/>
      </c>
      <c r="K272" s="35">
        <f>P271</f>
        <v/>
      </c>
      <c r="L272" s="35">
        <f>K272*(1+'Parámetros Proyección'!$E$12)</f>
        <v/>
      </c>
      <c r="M272" s="35">
        <f>L272*'Parámetros Proyección'!$F$12</f>
        <v/>
      </c>
      <c r="N272" s="35">
        <f>L272+M272</f>
        <v/>
      </c>
      <c r="O272" s="35">
        <f>IF((N272/AI272&gt;'Parámetros Proyección'!$G$12),0,D272*'Parámetros Proyección'!$G$12/(IF((H272/AI272&gt;'Parámetros Proyección'!$G$11),0,'Parámetros Proyección'!$G$11)+IF((N272/AI272&gt;'Parámetros Proyección'!$G$12),0,'Parámetros Proyección'!$G$12)+IF((T272/AI272&gt;'Parámetros Proyección'!$G$13),0,'Parámetros Proyección'!$G$13)+IF((Z272/AI272&gt;'Parámetros Proyección'!$G$14),0,'Parámetros Proyección'!$G$14)+IF((AF272/AI272&gt;'Parámetros Proyección'!$G$15),0,'Parámetros Proyección'!$G$15)))</f>
        <v/>
      </c>
      <c r="P272" s="35">
        <f>N272+O272</f>
        <v/>
      </c>
      <c r="Q272" s="35">
        <f>V271</f>
        <v/>
      </c>
      <c r="R272" s="35">
        <f>Q272*(1+'Parámetros Proyección'!$E$13)</f>
        <v/>
      </c>
      <c r="S272" s="35">
        <f>R272*'Parámetros Proyección'!$F$13</f>
        <v/>
      </c>
      <c r="T272" s="35">
        <f>R272+S272</f>
        <v/>
      </c>
      <c r="U272" s="35">
        <f>IF((T272/AI272&gt;'Parámetros Proyección'!$G$13),0,D272*'Parámetros Proyección'!$G$13/(IF((H272/AI272&gt;'Parámetros Proyección'!$G$11),0,'Parámetros Proyección'!$G$11)+IF((N272/AI272&gt;'Parámetros Proyección'!$G$12),0,'Parámetros Proyección'!$G$12)+IF((T272/AI272&gt;'Parámetros Proyección'!$G$13),0,'Parámetros Proyección'!$G$13)+IF((Z272/AI272&gt;'Parámetros Proyección'!$G$14),0,'Parámetros Proyección'!$G$14)+IF((AF272/AI272&gt;'Parámetros Proyección'!$G$15),0,'Parámetros Proyección'!$G$15)))</f>
        <v/>
      </c>
      <c r="V272" s="35">
        <f>T272+U272</f>
        <v/>
      </c>
      <c r="W272" s="35">
        <f>AB271</f>
        <v/>
      </c>
      <c r="X272" s="35">
        <f>W272*(1+'Parámetros Proyección'!$E$14)</f>
        <v/>
      </c>
      <c r="Y272" s="35">
        <f>X272*'Parámetros Proyección'!$F$14</f>
        <v/>
      </c>
      <c r="Z272" s="35">
        <f>X272+Y272</f>
        <v/>
      </c>
      <c r="AA272" s="35">
        <f>IF((Z272/AI272&gt;'Parámetros Proyección'!$G$14),0,D272*'Parámetros Proyección'!$G$14/(IF((H272/AI272&gt;'Parámetros Proyección'!$G$11),0,'Parámetros Proyección'!$G$11)+IF((N272/AI272&gt;'Parámetros Proyección'!$G$12),0,'Parámetros Proyección'!$G$12)+IF((T272/AI272&gt;'Parámetros Proyección'!$G$13),0,'Parámetros Proyección'!$G$13)+IF((Z272/AI272&gt;'Parámetros Proyección'!$G$14),0,'Parámetros Proyección'!$G$14)+IF((AF272/AI272&gt;'Parámetros Proyección'!$G$15),0,'Parámetros Proyección'!$G$15)))</f>
        <v/>
      </c>
      <c r="AB272" s="35">
        <f>Z272+AA272</f>
        <v/>
      </c>
      <c r="AC272" s="35">
        <f>AH271</f>
        <v/>
      </c>
      <c r="AD272" s="35">
        <f>AC272*(1+'Parámetros Proyección'!$E$15)</f>
        <v/>
      </c>
      <c r="AE272" s="35">
        <f>AD272*'Parámetros Proyección'!$F$15</f>
        <v/>
      </c>
      <c r="AF272" s="35">
        <f>AD272+AE272</f>
        <v/>
      </c>
      <c r="AG272" s="35">
        <f>IF((AF272/AI272&gt;'Parámetros Proyección'!$G$15),0,D272*'Parámetros Proyección'!$G$15/(IF((H272/AI272&gt;'Parámetros Proyección'!$G$11),0,'Parámetros Proyección'!$G$11)+IF((N272/AI272&gt;'Parámetros Proyección'!$G$12),0,'Parámetros Proyección'!$G$12)+IF((T272/AI272&gt;'Parámetros Proyección'!$G$13),0,'Parámetros Proyección'!$G$13)+IF((Z272/AI272&gt;'Parámetros Proyección'!$G$14),0,'Parámetros Proyección'!$G$14)+IF((AF272/AI272&gt;'Parámetros Proyección'!$G$15),0,'Parámetros Proyección'!$G$15)))</f>
        <v/>
      </c>
      <c r="AH272" s="35">
        <f>AF272+AG272</f>
        <v/>
      </c>
      <c r="AI272" s="35">
        <f>H272+N272+T272+Z272+AF272</f>
        <v/>
      </c>
      <c r="AJ272" s="33">
        <f>AF272/AI272</f>
        <v/>
      </c>
      <c r="AK272">
        <f>IF(AJ272&gt;'Parámetros Proyección'!$B$5,1,0)</f>
        <v/>
      </c>
      <c r="AL272" s="35">
        <f>G272+M272+S272+Y272+AE272</f>
        <v/>
      </c>
      <c r="AM272" s="35">
        <f>AM271+D272</f>
        <v/>
      </c>
      <c r="AN272" s="35">
        <f>AN271+AL272</f>
        <v/>
      </c>
      <c r="AO272" s="35">
        <f>J272+P272+V272+AB272+AH272</f>
        <v/>
      </c>
    </row>
    <row r="273">
      <c r="A273" t="n">
        <v>270</v>
      </c>
      <c r="B273" s="34">
        <f>EDATE(B272,1)</f>
        <v/>
      </c>
      <c r="C273">
        <f>YEAR(B273)</f>
        <v/>
      </c>
      <c r="D273" s="35">
        <f>'Parámetros Proyección'!$B$3*(1+'Parámetros Proyección'!$B$4)^(C273-YEAR('Parámetros Proyección'!$B$6))</f>
        <v/>
      </c>
      <c r="E273" s="35">
        <f>J272</f>
        <v/>
      </c>
      <c r="F273" s="35">
        <f>E273*(1+'Parámetros Proyección'!$E$11)</f>
        <v/>
      </c>
      <c r="G273" s="35">
        <f>F273*'Parámetros Proyección'!$F$11</f>
        <v/>
      </c>
      <c r="H273" s="35">
        <f>F273+G273</f>
        <v/>
      </c>
      <c r="I273" s="35">
        <f>IF((H273/AI273&gt;'Parámetros Proyección'!$G$11),0,D273*'Parámetros Proyección'!$G$11/(IF((H273/AI273&gt;'Parámetros Proyección'!$G$11),0,'Parámetros Proyección'!$G$11)+IF((N273/AI273&gt;'Parámetros Proyección'!$G$12),0,'Parámetros Proyección'!$G$12)+IF((T273/AI273&gt;'Parámetros Proyección'!$G$13),0,'Parámetros Proyección'!$G$13)+IF((Z273/AI273&gt;'Parámetros Proyección'!$G$14),0,'Parámetros Proyección'!$G$14)+IF((AF273/AI273&gt;'Parámetros Proyección'!$G$15),0,'Parámetros Proyección'!$G$15)))</f>
        <v/>
      </c>
      <c r="J273" s="35">
        <f>H273+I273</f>
        <v/>
      </c>
      <c r="K273" s="35">
        <f>P272</f>
        <v/>
      </c>
      <c r="L273" s="35">
        <f>K273*(1+'Parámetros Proyección'!$E$12)</f>
        <v/>
      </c>
      <c r="M273" s="35">
        <f>L273*'Parámetros Proyección'!$F$12</f>
        <v/>
      </c>
      <c r="N273" s="35">
        <f>L273+M273</f>
        <v/>
      </c>
      <c r="O273" s="35">
        <f>IF((N273/AI273&gt;'Parámetros Proyección'!$G$12),0,D273*'Parámetros Proyección'!$G$12/(IF((H273/AI273&gt;'Parámetros Proyección'!$G$11),0,'Parámetros Proyección'!$G$11)+IF((N273/AI273&gt;'Parámetros Proyección'!$G$12),0,'Parámetros Proyección'!$G$12)+IF((T273/AI273&gt;'Parámetros Proyección'!$G$13),0,'Parámetros Proyección'!$G$13)+IF((Z273/AI273&gt;'Parámetros Proyección'!$G$14),0,'Parámetros Proyección'!$G$14)+IF((AF273/AI273&gt;'Parámetros Proyección'!$G$15),0,'Parámetros Proyección'!$G$15)))</f>
        <v/>
      </c>
      <c r="P273" s="35">
        <f>N273+O273</f>
        <v/>
      </c>
      <c r="Q273" s="35">
        <f>V272</f>
        <v/>
      </c>
      <c r="R273" s="35">
        <f>Q273*(1+'Parámetros Proyección'!$E$13)</f>
        <v/>
      </c>
      <c r="S273" s="35">
        <f>R273*'Parámetros Proyección'!$F$13</f>
        <v/>
      </c>
      <c r="T273" s="35">
        <f>R273+S273</f>
        <v/>
      </c>
      <c r="U273" s="35">
        <f>IF((T273/AI273&gt;'Parámetros Proyección'!$G$13),0,D273*'Parámetros Proyección'!$G$13/(IF((H273/AI273&gt;'Parámetros Proyección'!$G$11),0,'Parámetros Proyección'!$G$11)+IF((N273/AI273&gt;'Parámetros Proyección'!$G$12),0,'Parámetros Proyección'!$G$12)+IF((T273/AI273&gt;'Parámetros Proyección'!$G$13),0,'Parámetros Proyección'!$G$13)+IF((Z273/AI273&gt;'Parámetros Proyección'!$G$14),0,'Parámetros Proyección'!$G$14)+IF((AF273/AI273&gt;'Parámetros Proyección'!$G$15),0,'Parámetros Proyección'!$G$15)))</f>
        <v/>
      </c>
      <c r="V273" s="35">
        <f>T273+U273</f>
        <v/>
      </c>
      <c r="W273" s="35">
        <f>AB272</f>
        <v/>
      </c>
      <c r="X273" s="35">
        <f>W273*(1+'Parámetros Proyección'!$E$14)</f>
        <v/>
      </c>
      <c r="Y273" s="35">
        <f>X273*'Parámetros Proyección'!$F$14</f>
        <v/>
      </c>
      <c r="Z273" s="35">
        <f>X273+Y273</f>
        <v/>
      </c>
      <c r="AA273" s="35">
        <f>IF((Z273/AI273&gt;'Parámetros Proyección'!$G$14),0,D273*'Parámetros Proyección'!$G$14/(IF((H273/AI273&gt;'Parámetros Proyección'!$G$11),0,'Parámetros Proyección'!$G$11)+IF((N273/AI273&gt;'Parámetros Proyección'!$G$12),0,'Parámetros Proyección'!$G$12)+IF((T273/AI273&gt;'Parámetros Proyección'!$G$13),0,'Parámetros Proyección'!$G$13)+IF((Z273/AI273&gt;'Parámetros Proyección'!$G$14),0,'Parámetros Proyección'!$G$14)+IF((AF273/AI273&gt;'Parámetros Proyección'!$G$15),0,'Parámetros Proyección'!$G$15)))</f>
        <v/>
      </c>
      <c r="AB273" s="35">
        <f>Z273+AA273</f>
        <v/>
      </c>
      <c r="AC273" s="35">
        <f>AH272</f>
        <v/>
      </c>
      <c r="AD273" s="35">
        <f>AC273*(1+'Parámetros Proyección'!$E$15)</f>
        <v/>
      </c>
      <c r="AE273" s="35">
        <f>AD273*'Parámetros Proyección'!$F$15</f>
        <v/>
      </c>
      <c r="AF273" s="35">
        <f>AD273+AE273</f>
        <v/>
      </c>
      <c r="AG273" s="35">
        <f>IF((AF273/AI273&gt;'Parámetros Proyección'!$G$15),0,D273*'Parámetros Proyección'!$G$15/(IF((H273/AI273&gt;'Parámetros Proyección'!$G$11),0,'Parámetros Proyección'!$G$11)+IF((N273/AI273&gt;'Parámetros Proyección'!$G$12),0,'Parámetros Proyección'!$G$12)+IF((T273/AI273&gt;'Parámetros Proyección'!$G$13),0,'Parámetros Proyección'!$G$13)+IF((Z273/AI273&gt;'Parámetros Proyección'!$G$14),0,'Parámetros Proyección'!$G$14)+IF((AF273/AI273&gt;'Parámetros Proyección'!$G$15),0,'Parámetros Proyección'!$G$15)))</f>
        <v/>
      </c>
      <c r="AH273" s="35">
        <f>AF273+AG273</f>
        <v/>
      </c>
      <c r="AI273" s="35">
        <f>H273+N273+T273+Z273+AF273</f>
        <v/>
      </c>
      <c r="AJ273" s="33">
        <f>AF273/AI273</f>
        <v/>
      </c>
      <c r="AK273">
        <f>IF(AJ273&gt;'Parámetros Proyección'!$B$5,1,0)</f>
        <v/>
      </c>
      <c r="AL273" s="35">
        <f>G273+M273+S273+Y273+AE273</f>
        <v/>
      </c>
      <c r="AM273" s="35">
        <f>AM272+D273</f>
        <v/>
      </c>
      <c r="AN273" s="35">
        <f>AN272+AL273</f>
        <v/>
      </c>
      <c r="AO273" s="35">
        <f>J273+P273+V273+AB273+AH273</f>
        <v/>
      </c>
    </row>
    <row r="274">
      <c r="A274" t="n">
        <v>271</v>
      </c>
      <c r="B274" s="34">
        <f>EDATE(B273,1)</f>
        <v/>
      </c>
      <c r="C274">
        <f>YEAR(B274)</f>
        <v/>
      </c>
      <c r="D274" s="35">
        <f>'Parámetros Proyección'!$B$3*(1+'Parámetros Proyección'!$B$4)^(C274-YEAR('Parámetros Proyección'!$B$6))</f>
        <v/>
      </c>
      <c r="E274" s="35">
        <f>J273</f>
        <v/>
      </c>
      <c r="F274" s="35">
        <f>E274*(1+'Parámetros Proyección'!$E$11)</f>
        <v/>
      </c>
      <c r="G274" s="35">
        <f>F274*'Parámetros Proyección'!$F$11</f>
        <v/>
      </c>
      <c r="H274" s="35">
        <f>F274+G274</f>
        <v/>
      </c>
      <c r="I274" s="35">
        <f>IF((H274/AI274&gt;'Parámetros Proyección'!$G$11),0,D274*'Parámetros Proyección'!$G$11/(IF((H274/AI274&gt;'Parámetros Proyección'!$G$11),0,'Parámetros Proyección'!$G$11)+IF((N274/AI274&gt;'Parámetros Proyección'!$G$12),0,'Parámetros Proyección'!$G$12)+IF((T274/AI274&gt;'Parámetros Proyección'!$G$13),0,'Parámetros Proyección'!$G$13)+IF((Z274/AI274&gt;'Parámetros Proyección'!$G$14),0,'Parámetros Proyección'!$G$14)+IF((AF274/AI274&gt;'Parámetros Proyección'!$G$15),0,'Parámetros Proyección'!$G$15)))</f>
        <v/>
      </c>
      <c r="J274" s="35">
        <f>H274+I274</f>
        <v/>
      </c>
      <c r="K274" s="35">
        <f>P273</f>
        <v/>
      </c>
      <c r="L274" s="35">
        <f>K274*(1+'Parámetros Proyección'!$E$12)</f>
        <v/>
      </c>
      <c r="M274" s="35">
        <f>L274*'Parámetros Proyección'!$F$12</f>
        <v/>
      </c>
      <c r="N274" s="35">
        <f>L274+M274</f>
        <v/>
      </c>
      <c r="O274" s="35">
        <f>IF((N274/AI274&gt;'Parámetros Proyección'!$G$12),0,D274*'Parámetros Proyección'!$G$12/(IF((H274/AI274&gt;'Parámetros Proyección'!$G$11),0,'Parámetros Proyección'!$G$11)+IF((N274/AI274&gt;'Parámetros Proyección'!$G$12),0,'Parámetros Proyección'!$G$12)+IF((T274/AI274&gt;'Parámetros Proyección'!$G$13),0,'Parámetros Proyección'!$G$13)+IF((Z274/AI274&gt;'Parámetros Proyección'!$G$14),0,'Parámetros Proyección'!$G$14)+IF((AF274/AI274&gt;'Parámetros Proyección'!$G$15),0,'Parámetros Proyección'!$G$15)))</f>
        <v/>
      </c>
      <c r="P274" s="35">
        <f>N274+O274</f>
        <v/>
      </c>
      <c r="Q274" s="35">
        <f>V273</f>
        <v/>
      </c>
      <c r="R274" s="35">
        <f>Q274*(1+'Parámetros Proyección'!$E$13)</f>
        <v/>
      </c>
      <c r="S274" s="35">
        <f>R274*'Parámetros Proyección'!$F$13</f>
        <v/>
      </c>
      <c r="T274" s="35">
        <f>R274+S274</f>
        <v/>
      </c>
      <c r="U274" s="35">
        <f>IF((T274/AI274&gt;'Parámetros Proyección'!$G$13),0,D274*'Parámetros Proyección'!$G$13/(IF((H274/AI274&gt;'Parámetros Proyección'!$G$11),0,'Parámetros Proyección'!$G$11)+IF((N274/AI274&gt;'Parámetros Proyección'!$G$12),0,'Parámetros Proyección'!$G$12)+IF((T274/AI274&gt;'Parámetros Proyección'!$G$13),0,'Parámetros Proyección'!$G$13)+IF((Z274/AI274&gt;'Parámetros Proyección'!$G$14),0,'Parámetros Proyección'!$G$14)+IF((AF274/AI274&gt;'Parámetros Proyección'!$G$15),0,'Parámetros Proyección'!$G$15)))</f>
        <v/>
      </c>
      <c r="V274" s="35">
        <f>T274+U274</f>
        <v/>
      </c>
      <c r="W274" s="35">
        <f>AB273</f>
        <v/>
      </c>
      <c r="X274" s="35">
        <f>W274*(1+'Parámetros Proyección'!$E$14)</f>
        <v/>
      </c>
      <c r="Y274" s="35">
        <f>X274*'Parámetros Proyección'!$F$14</f>
        <v/>
      </c>
      <c r="Z274" s="35">
        <f>X274+Y274</f>
        <v/>
      </c>
      <c r="AA274" s="35">
        <f>IF((Z274/AI274&gt;'Parámetros Proyección'!$G$14),0,D274*'Parámetros Proyección'!$G$14/(IF((H274/AI274&gt;'Parámetros Proyección'!$G$11),0,'Parámetros Proyección'!$G$11)+IF((N274/AI274&gt;'Parámetros Proyección'!$G$12),0,'Parámetros Proyección'!$G$12)+IF((T274/AI274&gt;'Parámetros Proyección'!$G$13),0,'Parámetros Proyección'!$G$13)+IF((Z274/AI274&gt;'Parámetros Proyección'!$G$14),0,'Parámetros Proyección'!$G$14)+IF((AF274/AI274&gt;'Parámetros Proyección'!$G$15),0,'Parámetros Proyección'!$G$15)))</f>
        <v/>
      </c>
      <c r="AB274" s="35">
        <f>Z274+AA274</f>
        <v/>
      </c>
      <c r="AC274" s="35">
        <f>AH273</f>
        <v/>
      </c>
      <c r="AD274" s="35">
        <f>AC274*(1+'Parámetros Proyección'!$E$15)</f>
        <v/>
      </c>
      <c r="AE274" s="35">
        <f>AD274*'Parámetros Proyección'!$F$15</f>
        <v/>
      </c>
      <c r="AF274" s="35">
        <f>AD274+AE274</f>
        <v/>
      </c>
      <c r="AG274" s="35">
        <f>IF((AF274/AI274&gt;'Parámetros Proyección'!$G$15),0,D274*'Parámetros Proyección'!$G$15/(IF((H274/AI274&gt;'Parámetros Proyección'!$G$11),0,'Parámetros Proyección'!$G$11)+IF((N274/AI274&gt;'Parámetros Proyección'!$G$12),0,'Parámetros Proyección'!$G$12)+IF((T274/AI274&gt;'Parámetros Proyección'!$G$13),0,'Parámetros Proyección'!$G$13)+IF((Z274/AI274&gt;'Parámetros Proyección'!$G$14),0,'Parámetros Proyección'!$G$14)+IF((AF274/AI274&gt;'Parámetros Proyección'!$G$15),0,'Parámetros Proyección'!$G$15)))</f>
        <v/>
      </c>
      <c r="AH274" s="35">
        <f>AF274+AG274</f>
        <v/>
      </c>
      <c r="AI274" s="35">
        <f>H274+N274+T274+Z274+AF274</f>
        <v/>
      </c>
      <c r="AJ274" s="33">
        <f>AF274/AI274</f>
        <v/>
      </c>
      <c r="AK274">
        <f>IF(AJ274&gt;'Parámetros Proyección'!$B$5,1,0)</f>
        <v/>
      </c>
      <c r="AL274" s="35">
        <f>G274+M274+S274+Y274+AE274</f>
        <v/>
      </c>
      <c r="AM274" s="35">
        <f>AM273+D274</f>
        <v/>
      </c>
      <c r="AN274" s="35">
        <f>AN273+AL274</f>
        <v/>
      </c>
      <c r="AO274" s="35">
        <f>J274+P274+V274+AB274+AH274</f>
        <v/>
      </c>
    </row>
    <row r="275">
      <c r="A275" t="n">
        <v>272</v>
      </c>
      <c r="B275" s="34">
        <f>EDATE(B274,1)</f>
        <v/>
      </c>
      <c r="C275">
        <f>YEAR(B275)</f>
        <v/>
      </c>
      <c r="D275" s="35">
        <f>'Parámetros Proyección'!$B$3*(1+'Parámetros Proyección'!$B$4)^(C275-YEAR('Parámetros Proyección'!$B$6))</f>
        <v/>
      </c>
      <c r="E275" s="35">
        <f>J274</f>
        <v/>
      </c>
      <c r="F275" s="35">
        <f>E275*(1+'Parámetros Proyección'!$E$11)</f>
        <v/>
      </c>
      <c r="G275" s="35">
        <f>F275*'Parámetros Proyección'!$F$11</f>
        <v/>
      </c>
      <c r="H275" s="35">
        <f>F275+G275</f>
        <v/>
      </c>
      <c r="I275" s="35">
        <f>IF((H275/AI275&gt;'Parámetros Proyección'!$G$11),0,D275*'Parámetros Proyección'!$G$11/(IF((H275/AI275&gt;'Parámetros Proyección'!$G$11),0,'Parámetros Proyección'!$G$11)+IF((N275/AI275&gt;'Parámetros Proyección'!$G$12),0,'Parámetros Proyección'!$G$12)+IF((T275/AI275&gt;'Parámetros Proyección'!$G$13),0,'Parámetros Proyección'!$G$13)+IF((Z275/AI275&gt;'Parámetros Proyección'!$G$14),0,'Parámetros Proyección'!$G$14)+IF((AF275/AI275&gt;'Parámetros Proyección'!$G$15),0,'Parámetros Proyección'!$G$15)))</f>
        <v/>
      </c>
      <c r="J275" s="35">
        <f>H275+I275</f>
        <v/>
      </c>
      <c r="K275" s="35">
        <f>P274</f>
        <v/>
      </c>
      <c r="L275" s="35">
        <f>K275*(1+'Parámetros Proyección'!$E$12)</f>
        <v/>
      </c>
      <c r="M275" s="35">
        <f>L275*'Parámetros Proyección'!$F$12</f>
        <v/>
      </c>
      <c r="N275" s="35">
        <f>L275+M275</f>
        <v/>
      </c>
      <c r="O275" s="35">
        <f>IF((N275/AI275&gt;'Parámetros Proyección'!$G$12),0,D275*'Parámetros Proyección'!$G$12/(IF((H275/AI275&gt;'Parámetros Proyección'!$G$11),0,'Parámetros Proyección'!$G$11)+IF((N275/AI275&gt;'Parámetros Proyección'!$G$12),0,'Parámetros Proyección'!$G$12)+IF((T275/AI275&gt;'Parámetros Proyección'!$G$13),0,'Parámetros Proyección'!$G$13)+IF((Z275/AI275&gt;'Parámetros Proyección'!$G$14),0,'Parámetros Proyección'!$G$14)+IF((AF275/AI275&gt;'Parámetros Proyección'!$G$15),0,'Parámetros Proyección'!$G$15)))</f>
        <v/>
      </c>
      <c r="P275" s="35">
        <f>N275+O275</f>
        <v/>
      </c>
      <c r="Q275" s="35">
        <f>V274</f>
        <v/>
      </c>
      <c r="R275" s="35">
        <f>Q275*(1+'Parámetros Proyección'!$E$13)</f>
        <v/>
      </c>
      <c r="S275" s="35">
        <f>R275*'Parámetros Proyección'!$F$13</f>
        <v/>
      </c>
      <c r="T275" s="35">
        <f>R275+S275</f>
        <v/>
      </c>
      <c r="U275" s="35">
        <f>IF((T275/AI275&gt;'Parámetros Proyección'!$G$13),0,D275*'Parámetros Proyección'!$G$13/(IF((H275/AI275&gt;'Parámetros Proyección'!$G$11),0,'Parámetros Proyección'!$G$11)+IF((N275/AI275&gt;'Parámetros Proyección'!$G$12),0,'Parámetros Proyección'!$G$12)+IF((T275/AI275&gt;'Parámetros Proyección'!$G$13),0,'Parámetros Proyección'!$G$13)+IF((Z275/AI275&gt;'Parámetros Proyección'!$G$14),0,'Parámetros Proyección'!$G$14)+IF((AF275/AI275&gt;'Parámetros Proyección'!$G$15),0,'Parámetros Proyección'!$G$15)))</f>
        <v/>
      </c>
      <c r="V275" s="35">
        <f>T275+U275</f>
        <v/>
      </c>
      <c r="W275" s="35">
        <f>AB274</f>
        <v/>
      </c>
      <c r="X275" s="35">
        <f>W275*(1+'Parámetros Proyección'!$E$14)</f>
        <v/>
      </c>
      <c r="Y275" s="35">
        <f>X275*'Parámetros Proyección'!$F$14</f>
        <v/>
      </c>
      <c r="Z275" s="35">
        <f>X275+Y275</f>
        <v/>
      </c>
      <c r="AA275" s="35">
        <f>IF((Z275/AI275&gt;'Parámetros Proyección'!$G$14),0,D275*'Parámetros Proyección'!$G$14/(IF((H275/AI275&gt;'Parámetros Proyección'!$G$11),0,'Parámetros Proyección'!$G$11)+IF((N275/AI275&gt;'Parámetros Proyección'!$G$12),0,'Parámetros Proyección'!$G$12)+IF((T275/AI275&gt;'Parámetros Proyección'!$G$13),0,'Parámetros Proyección'!$G$13)+IF((Z275/AI275&gt;'Parámetros Proyección'!$G$14),0,'Parámetros Proyección'!$G$14)+IF((AF275/AI275&gt;'Parámetros Proyección'!$G$15),0,'Parámetros Proyección'!$G$15)))</f>
        <v/>
      </c>
      <c r="AB275" s="35">
        <f>Z275+AA275</f>
        <v/>
      </c>
      <c r="AC275" s="35">
        <f>AH274</f>
        <v/>
      </c>
      <c r="AD275" s="35">
        <f>AC275*(1+'Parámetros Proyección'!$E$15)</f>
        <v/>
      </c>
      <c r="AE275" s="35">
        <f>AD275*'Parámetros Proyección'!$F$15</f>
        <v/>
      </c>
      <c r="AF275" s="35">
        <f>AD275+AE275</f>
        <v/>
      </c>
      <c r="AG275" s="35">
        <f>IF((AF275/AI275&gt;'Parámetros Proyección'!$G$15),0,D275*'Parámetros Proyección'!$G$15/(IF((H275/AI275&gt;'Parámetros Proyección'!$G$11),0,'Parámetros Proyección'!$G$11)+IF((N275/AI275&gt;'Parámetros Proyección'!$G$12),0,'Parámetros Proyección'!$G$12)+IF((T275/AI275&gt;'Parámetros Proyección'!$G$13),0,'Parámetros Proyección'!$G$13)+IF((Z275/AI275&gt;'Parámetros Proyección'!$G$14),0,'Parámetros Proyección'!$G$14)+IF((AF275/AI275&gt;'Parámetros Proyección'!$G$15),0,'Parámetros Proyección'!$G$15)))</f>
        <v/>
      </c>
      <c r="AH275" s="35">
        <f>AF275+AG275</f>
        <v/>
      </c>
      <c r="AI275" s="35">
        <f>H275+N275+T275+Z275+AF275</f>
        <v/>
      </c>
      <c r="AJ275" s="33">
        <f>AF275/AI275</f>
        <v/>
      </c>
      <c r="AK275">
        <f>IF(AJ275&gt;'Parámetros Proyección'!$B$5,1,0)</f>
        <v/>
      </c>
      <c r="AL275" s="35">
        <f>G275+M275+S275+Y275+AE275</f>
        <v/>
      </c>
      <c r="AM275" s="35">
        <f>AM274+D275</f>
        <v/>
      </c>
      <c r="AN275" s="35">
        <f>AN274+AL275</f>
        <v/>
      </c>
      <c r="AO275" s="35">
        <f>J275+P275+V275+AB275+AH275</f>
        <v/>
      </c>
    </row>
    <row r="276">
      <c r="A276" t="n">
        <v>273</v>
      </c>
      <c r="B276" s="34">
        <f>EDATE(B275,1)</f>
        <v/>
      </c>
      <c r="C276">
        <f>YEAR(B276)</f>
        <v/>
      </c>
      <c r="D276" s="35">
        <f>'Parámetros Proyección'!$B$3*(1+'Parámetros Proyección'!$B$4)^(C276-YEAR('Parámetros Proyección'!$B$6))</f>
        <v/>
      </c>
      <c r="E276" s="35">
        <f>J275</f>
        <v/>
      </c>
      <c r="F276" s="35">
        <f>E276*(1+'Parámetros Proyección'!$E$11)</f>
        <v/>
      </c>
      <c r="G276" s="35">
        <f>F276*'Parámetros Proyección'!$F$11</f>
        <v/>
      </c>
      <c r="H276" s="35">
        <f>F276+G276</f>
        <v/>
      </c>
      <c r="I276" s="35">
        <f>IF((H276/AI276&gt;'Parámetros Proyección'!$G$11),0,D276*'Parámetros Proyección'!$G$11/(IF((H276/AI276&gt;'Parámetros Proyección'!$G$11),0,'Parámetros Proyección'!$G$11)+IF((N276/AI276&gt;'Parámetros Proyección'!$G$12),0,'Parámetros Proyección'!$G$12)+IF((T276/AI276&gt;'Parámetros Proyección'!$G$13),0,'Parámetros Proyección'!$G$13)+IF((Z276/AI276&gt;'Parámetros Proyección'!$G$14),0,'Parámetros Proyección'!$G$14)+IF((AF276/AI276&gt;'Parámetros Proyección'!$G$15),0,'Parámetros Proyección'!$G$15)))</f>
        <v/>
      </c>
      <c r="J276" s="35">
        <f>H276+I276</f>
        <v/>
      </c>
      <c r="K276" s="35">
        <f>P275</f>
        <v/>
      </c>
      <c r="L276" s="35">
        <f>K276*(1+'Parámetros Proyección'!$E$12)</f>
        <v/>
      </c>
      <c r="M276" s="35">
        <f>L276*'Parámetros Proyección'!$F$12</f>
        <v/>
      </c>
      <c r="N276" s="35">
        <f>L276+M276</f>
        <v/>
      </c>
      <c r="O276" s="35">
        <f>IF((N276/AI276&gt;'Parámetros Proyección'!$G$12),0,D276*'Parámetros Proyección'!$G$12/(IF((H276/AI276&gt;'Parámetros Proyección'!$G$11),0,'Parámetros Proyección'!$G$11)+IF((N276/AI276&gt;'Parámetros Proyección'!$G$12),0,'Parámetros Proyección'!$G$12)+IF((T276/AI276&gt;'Parámetros Proyección'!$G$13),0,'Parámetros Proyección'!$G$13)+IF((Z276/AI276&gt;'Parámetros Proyección'!$G$14),0,'Parámetros Proyección'!$G$14)+IF((AF276/AI276&gt;'Parámetros Proyección'!$G$15),0,'Parámetros Proyección'!$G$15)))</f>
        <v/>
      </c>
      <c r="P276" s="35">
        <f>N276+O276</f>
        <v/>
      </c>
      <c r="Q276" s="35">
        <f>V275</f>
        <v/>
      </c>
      <c r="R276" s="35">
        <f>Q276*(1+'Parámetros Proyección'!$E$13)</f>
        <v/>
      </c>
      <c r="S276" s="35">
        <f>R276*'Parámetros Proyección'!$F$13</f>
        <v/>
      </c>
      <c r="T276" s="35">
        <f>R276+S276</f>
        <v/>
      </c>
      <c r="U276" s="35">
        <f>IF((T276/AI276&gt;'Parámetros Proyección'!$G$13),0,D276*'Parámetros Proyección'!$G$13/(IF((H276/AI276&gt;'Parámetros Proyección'!$G$11),0,'Parámetros Proyección'!$G$11)+IF((N276/AI276&gt;'Parámetros Proyección'!$G$12),0,'Parámetros Proyección'!$G$12)+IF((T276/AI276&gt;'Parámetros Proyección'!$G$13),0,'Parámetros Proyección'!$G$13)+IF((Z276/AI276&gt;'Parámetros Proyección'!$G$14),0,'Parámetros Proyección'!$G$14)+IF((AF276/AI276&gt;'Parámetros Proyección'!$G$15),0,'Parámetros Proyección'!$G$15)))</f>
        <v/>
      </c>
      <c r="V276" s="35">
        <f>T276+U276</f>
        <v/>
      </c>
      <c r="W276" s="35">
        <f>AB275</f>
        <v/>
      </c>
      <c r="X276" s="35">
        <f>W276*(1+'Parámetros Proyección'!$E$14)</f>
        <v/>
      </c>
      <c r="Y276" s="35">
        <f>X276*'Parámetros Proyección'!$F$14</f>
        <v/>
      </c>
      <c r="Z276" s="35">
        <f>X276+Y276</f>
        <v/>
      </c>
      <c r="AA276" s="35">
        <f>IF((Z276/AI276&gt;'Parámetros Proyección'!$G$14),0,D276*'Parámetros Proyección'!$G$14/(IF((H276/AI276&gt;'Parámetros Proyección'!$G$11),0,'Parámetros Proyección'!$G$11)+IF((N276/AI276&gt;'Parámetros Proyección'!$G$12),0,'Parámetros Proyección'!$G$12)+IF((T276/AI276&gt;'Parámetros Proyección'!$G$13),0,'Parámetros Proyección'!$G$13)+IF((Z276/AI276&gt;'Parámetros Proyección'!$G$14),0,'Parámetros Proyección'!$G$14)+IF((AF276/AI276&gt;'Parámetros Proyección'!$G$15),0,'Parámetros Proyección'!$G$15)))</f>
        <v/>
      </c>
      <c r="AB276" s="35">
        <f>Z276+AA276</f>
        <v/>
      </c>
      <c r="AC276" s="35">
        <f>AH275</f>
        <v/>
      </c>
      <c r="AD276" s="35">
        <f>AC276*(1+'Parámetros Proyección'!$E$15)</f>
        <v/>
      </c>
      <c r="AE276" s="35">
        <f>AD276*'Parámetros Proyección'!$F$15</f>
        <v/>
      </c>
      <c r="AF276" s="35">
        <f>AD276+AE276</f>
        <v/>
      </c>
      <c r="AG276" s="35">
        <f>IF((AF276/AI276&gt;'Parámetros Proyección'!$G$15),0,D276*'Parámetros Proyección'!$G$15/(IF((H276/AI276&gt;'Parámetros Proyección'!$G$11),0,'Parámetros Proyección'!$G$11)+IF((N276/AI276&gt;'Parámetros Proyección'!$G$12),0,'Parámetros Proyección'!$G$12)+IF((T276/AI276&gt;'Parámetros Proyección'!$G$13),0,'Parámetros Proyección'!$G$13)+IF((Z276/AI276&gt;'Parámetros Proyección'!$G$14),0,'Parámetros Proyección'!$G$14)+IF((AF276/AI276&gt;'Parámetros Proyección'!$G$15),0,'Parámetros Proyección'!$G$15)))</f>
        <v/>
      </c>
      <c r="AH276" s="35">
        <f>AF276+AG276</f>
        <v/>
      </c>
      <c r="AI276" s="35">
        <f>H276+N276+T276+Z276+AF276</f>
        <v/>
      </c>
      <c r="AJ276" s="33">
        <f>AF276/AI276</f>
        <v/>
      </c>
      <c r="AK276">
        <f>IF(AJ276&gt;'Parámetros Proyección'!$B$5,1,0)</f>
        <v/>
      </c>
      <c r="AL276" s="35">
        <f>G276+M276+S276+Y276+AE276</f>
        <v/>
      </c>
      <c r="AM276" s="35">
        <f>AM275+D276</f>
        <v/>
      </c>
      <c r="AN276" s="35">
        <f>AN275+AL276</f>
        <v/>
      </c>
      <c r="AO276" s="35">
        <f>J276+P276+V276+AB276+AH276</f>
        <v/>
      </c>
    </row>
    <row r="277">
      <c r="A277" t="n">
        <v>274</v>
      </c>
      <c r="B277" s="34">
        <f>EDATE(B276,1)</f>
        <v/>
      </c>
      <c r="C277">
        <f>YEAR(B277)</f>
        <v/>
      </c>
      <c r="D277" s="35">
        <f>'Parámetros Proyección'!$B$3*(1+'Parámetros Proyección'!$B$4)^(C277-YEAR('Parámetros Proyección'!$B$6))</f>
        <v/>
      </c>
      <c r="E277" s="35">
        <f>J276</f>
        <v/>
      </c>
      <c r="F277" s="35">
        <f>E277*(1+'Parámetros Proyección'!$E$11)</f>
        <v/>
      </c>
      <c r="G277" s="35">
        <f>F277*'Parámetros Proyección'!$F$11</f>
        <v/>
      </c>
      <c r="H277" s="35">
        <f>F277+G277</f>
        <v/>
      </c>
      <c r="I277" s="35">
        <f>IF((H277/AI277&gt;'Parámetros Proyección'!$G$11),0,D277*'Parámetros Proyección'!$G$11/(IF((H277/AI277&gt;'Parámetros Proyección'!$G$11),0,'Parámetros Proyección'!$G$11)+IF((N277/AI277&gt;'Parámetros Proyección'!$G$12),0,'Parámetros Proyección'!$G$12)+IF((T277/AI277&gt;'Parámetros Proyección'!$G$13),0,'Parámetros Proyección'!$G$13)+IF((Z277/AI277&gt;'Parámetros Proyección'!$G$14),0,'Parámetros Proyección'!$G$14)+IF((AF277/AI277&gt;'Parámetros Proyección'!$G$15),0,'Parámetros Proyección'!$G$15)))</f>
        <v/>
      </c>
      <c r="J277" s="35">
        <f>H277+I277</f>
        <v/>
      </c>
      <c r="K277" s="35">
        <f>P276</f>
        <v/>
      </c>
      <c r="L277" s="35">
        <f>K277*(1+'Parámetros Proyección'!$E$12)</f>
        <v/>
      </c>
      <c r="M277" s="35">
        <f>L277*'Parámetros Proyección'!$F$12</f>
        <v/>
      </c>
      <c r="N277" s="35">
        <f>L277+M277</f>
        <v/>
      </c>
      <c r="O277" s="35">
        <f>IF((N277/AI277&gt;'Parámetros Proyección'!$G$12),0,D277*'Parámetros Proyección'!$G$12/(IF((H277/AI277&gt;'Parámetros Proyección'!$G$11),0,'Parámetros Proyección'!$G$11)+IF((N277/AI277&gt;'Parámetros Proyección'!$G$12),0,'Parámetros Proyección'!$G$12)+IF((T277/AI277&gt;'Parámetros Proyección'!$G$13),0,'Parámetros Proyección'!$G$13)+IF((Z277/AI277&gt;'Parámetros Proyección'!$G$14),0,'Parámetros Proyección'!$G$14)+IF((AF277/AI277&gt;'Parámetros Proyección'!$G$15),0,'Parámetros Proyección'!$G$15)))</f>
        <v/>
      </c>
      <c r="P277" s="35">
        <f>N277+O277</f>
        <v/>
      </c>
      <c r="Q277" s="35">
        <f>V276</f>
        <v/>
      </c>
      <c r="R277" s="35">
        <f>Q277*(1+'Parámetros Proyección'!$E$13)</f>
        <v/>
      </c>
      <c r="S277" s="35">
        <f>R277*'Parámetros Proyección'!$F$13</f>
        <v/>
      </c>
      <c r="T277" s="35">
        <f>R277+S277</f>
        <v/>
      </c>
      <c r="U277" s="35">
        <f>IF((T277/AI277&gt;'Parámetros Proyección'!$G$13),0,D277*'Parámetros Proyección'!$G$13/(IF((H277/AI277&gt;'Parámetros Proyección'!$G$11),0,'Parámetros Proyección'!$G$11)+IF((N277/AI277&gt;'Parámetros Proyección'!$G$12),0,'Parámetros Proyección'!$G$12)+IF((T277/AI277&gt;'Parámetros Proyección'!$G$13),0,'Parámetros Proyección'!$G$13)+IF((Z277/AI277&gt;'Parámetros Proyección'!$G$14),0,'Parámetros Proyección'!$G$14)+IF((AF277/AI277&gt;'Parámetros Proyección'!$G$15),0,'Parámetros Proyección'!$G$15)))</f>
        <v/>
      </c>
      <c r="V277" s="35">
        <f>T277+U277</f>
        <v/>
      </c>
      <c r="W277" s="35">
        <f>AB276</f>
        <v/>
      </c>
      <c r="X277" s="35">
        <f>W277*(1+'Parámetros Proyección'!$E$14)</f>
        <v/>
      </c>
      <c r="Y277" s="35">
        <f>X277*'Parámetros Proyección'!$F$14</f>
        <v/>
      </c>
      <c r="Z277" s="35">
        <f>X277+Y277</f>
        <v/>
      </c>
      <c r="AA277" s="35">
        <f>IF((Z277/AI277&gt;'Parámetros Proyección'!$G$14),0,D277*'Parámetros Proyección'!$G$14/(IF((H277/AI277&gt;'Parámetros Proyección'!$G$11),0,'Parámetros Proyección'!$G$11)+IF((N277/AI277&gt;'Parámetros Proyección'!$G$12),0,'Parámetros Proyección'!$G$12)+IF((T277/AI277&gt;'Parámetros Proyección'!$G$13),0,'Parámetros Proyección'!$G$13)+IF((Z277/AI277&gt;'Parámetros Proyección'!$G$14),0,'Parámetros Proyección'!$G$14)+IF((AF277/AI277&gt;'Parámetros Proyección'!$G$15),0,'Parámetros Proyección'!$G$15)))</f>
        <v/>
      </c>
      <c r="AB277" s="35">
        <f>Z277+AA277</f>
        <v/>
      </c>
      <c r="AC277" s="35">
        <f>AH276</f>
        <v/>
      </c>
      <c r="AD277" s="35">
        <f>AC277*(1+'Parámetros Proyección'!$E$15)</f>
        <v/>
      </c>
      <c r="AE277" s="35">
        <f>AD277*'Parámetros Proyección'!$F$15</f>
        <v/>
      </c>
      <c r="AF277" s="35">
        <f>AD277+AE277</f>
        <v/>
      </c>
      <c r="AG277" s="35">
        <f>IF((AF277/AI277&gt;'Parámetros Proyección'!$G$15),0,D277*'Parámetros Proyección'!$G$15/(IF((H277/AI277&gt;'Parámetros Proyección'!$G$11),0,'Parámetros Proyección'!$G$11)+IF((N277/AI277&gt;'Parámetros Proyección'!$G$12),0,'Parámetros Proyección'!$G$12)+IF((T277/AI277&gt;'Parámetros Proyección'!$G$13),0,'Parámetros Proyección'!$G$13)+IF((Z277/AI277&gt;'Parámetros Proyección'!$G$14),0,'Parámetros Proyección'!$G$14)+IF((AF277/AI277&gt;'Parámetros Proyección'!$G$15),0,'Parámetros Proyección'!$G$15)))</f>
        <v/>
      </c>
      <c r="AH277" s="35">
        <f>AF277+AG277</f>
        <v/>
      </c>
      <c r="AI277" s="35">
        <f>H277+N277+T277+Z277+AF277</f>
        <v/>
      </c>
      <c r="AJ277" s="33">
        <f>AF277/AI277</f>
        <v/>
      </c>
      <c r="AK277">
        <f>IF(AJ277&gt;'Parámetros Proyección'!$B$5,1,0)</f>
        <v/>
      </c>
      <c r="AL277" s="35">
        <f>G277+M277+S277+Y277+AE277</f>
        <v/>
      </c>
      <c r="AM277" s="35">
        <f>AM276+D277</f>
        <v/>
      </c>
      <c r="AN277" s="35">
        <f>AN276+AL277</f>
        <v/>
      </c>
      <c r="AO277" s="35">
        <f>J277+P277+V277+AB277+AH277</f>
        <v/>
      </c>
    </row>
    <row r="278">
      <c r="A278" t="n">
        <v>275</v>
      </c>
      <c r="B278" s="34">
        <f>EDATE(B277,1)</f>
        <v/>
      </c>
      <c r="C278">
        <f>YEAR(B278)</f>
        <v/>
      </c>
      <c r="D278" s="35">
        <f>'Parámetros Proyección'!$B$3*(1+'Parámetros Proyección'!$B$4)^(C278-YEAR('Parámetros Proyección'!$B$6))</f>
        <v/>
      </c>
      <c r="E278" s="35">
        <f>J277</f>
        <v/>
      </c>
      <c r="F278" s="35">
        <f>E278*(1+'Parámetros Proyección'!$E$11)</f>
        <v/>
      </c>
      <c r="G278" s="35">
        <f>F278*'Parámetros Proyección'!$F$11</f>
        <v/>
      </c>
      <c r="H278" s="35">
        <f>F278+G278</f>
        <v/>
      </c>
      <c r="I278" s="35">
        <f>IF((H278/AI278&gt;'Parámetros Proyección'!$G$11),0,D278*'Parámetros Proyección'!$G$11/(IF((H278/AI278&gt;'Parámetros Proyección'!$G$11),0,'Parámetros Proyección'!$G$11)+IF((N278/AI278&gt;'Parámetros Proyección'!$G$12),0,'Parámetros Proyección'!$G$12)+IF((T278/AI278&gt;'Parámetros Proyección'!$G$13),0,'Parámetros Proyección'!$G$13)+IF((Z278/AI278&gt;'Parámetros Proyección'!$G$14),0,'Parámetros Proyección'!$G$14)+IF((AF278/AI278&gt;'Parámetros Proyección'!$G$15),0,'Parámetros Proyección'!$G$15)))</f>
        <v/>
      </c>
      <c r="J278" s="35">
        <f>H278+I278</f>
        <v/>
      </c>
      <c r="K278" s="35">
        <f>P277</f>
        <v/>
      </c>
      <c r="L278" s="35">
        <f>K278*(1+'Parámetros Proyección'!$E$12)</f>
        <v/>
      </c>
      <c r="M278" s="35">
        <f>L278*'Parámetros Proyección'!$F$12</f>
        <v/>
      </c>
      <c r="N278" s="35">
        <f>L278+M278</f>
        <v/>
      </c>
      <c r="O278" s="35">
        <f>IF((N278/AI278&gt;'Parámetros Proyección'!$G$12),0,D278*'Parámetros Proyección'!$G$12/(IF((H278/AI278&gt;'Parámetros Proyección'!$G$11),0,'Parámetros Proyección'!$G$11)+IF((N278/AI278&gt;'Parámetros Proyección'!$G$12),0,'Parámetros Proyección'!$G$12)+IF((T278/AI278&gt;'Parámetros Proyección'!$G$13),0,'Parámetros Proyección'!$G$13)+IF((Z278/AI278&gt;'Parámetros Proyección'!$G$14),0,'Parámetros Proyección'!$G$14)+IF((AF278/AI278&gt;'Parámetros Proyección'!$G$15),0,'Parámetros Proyección'!$G$15)))</f>
        <v/>
      </c>
      <c r="P278" s="35">
        <f>N278+O278</f>
        <v/>
      </c>
      <c r="Q278" s="35">
        <f>V277</f>
        <v/>
      </c>
      <c r="R278" s="35">
        <f>Q278*(1+'Parámetros Proyección'!$E$13)</f>
        <v/>
      </c>
      <c r="S278" s="35">
        <f>R278*'Parámetros Proyección'!$F$13</f>
        <v/>
      </c>
      <c r="T278" s="35">
        <f>R278+S278</f>
        <v/>
      </c>
      <c r="U278" s="35">
        <f>IF((T278/AI278&gt;'Parámetros Proyección'!$G$13),0,D278*'Parámetros Proyección'!$G$13/(IF((H278/AI278&gt;'Parámetros Proyección'!$G$11),0,'Parámetros Proyección'!$G$11)+IF((N278/AI278&gt;'Parámetros Proyección'!$G$12),0,'Parámetros Proyección'!$G$12)+IF((T278/AI278&gt;'Parámetros Proyección'!$G$13),0,'Parámetros Proyección'!$G$13)+IF((Z278/AI278&gt;'Parámetros Proyección'!$G$14),0,'Parámetros Proyección'!$G$14)+IF((AF278/AI278&gt;'Parámetros Proyección'!$G$15),0,'Parámetros Proyección'!$G$15)))</f>
        <v/>
      </c>
      <c r="V278" s="35">
        <f>T278+U278</f>
        <v/>
      </c>
      <c r="W278" s="35">
        <f>AB277</f>
        <v/>
      </c>
      <c r="X278" s="35">
        <f>W278*(1+'Parámetros Proyección'!$E$14)</f>
        <v/>
      </c>
      <c r="Y278" s="35">
        <f>X278*'Parámetros Proyección'!$F$14</f>
        <v/>
      </c>
      <c r="Z278" s="35">
        <f>X278+Y278</f>
        <v/>
      </c>
      <c r="AA278" s="35">
        <f>IF((Z278/AI278&gt;'Parámetros Proyección'!$G$14),0,D278*'Parámetros Proyección'!$G$14/(IF((H278/AI278&gt;'Parámetros Proyección'!$G$11),0,'Parámetros Proyección'!$G$11)+IF((N278/AI278&gt;'Parámetros Proyección'!$G$12),0,'Parámetros Proyección'!$G$12)+IF((T278/AI278&gt;'Parámetros Proyección'!$G$13),0,'Parámetros Proyección'!$G$13)+IF((Z278/AI278&gt;'Parámetros Proyección'!$G$14),0,'Parámetros Proyección'!$G$14)+IF((AF278/AI278&gt;'Parámetros Proyección'!$G$15),0,'Parámetros Proyección'!$G$15)))</f>
        <v/>
      </c>
      <c r="AB278" s="35">
        <f>Z278+AA278</f>
        <v/>
      </c>
      <c r="AC278" s="35">
        <f>AH277</f>
        <v/>
      </c>
      <c r="AD278" s="35">
        <f>AC278*(1+'Parámetros Proyección'!$E$15)</f>
        <v/>
      </c>
      <c r="AE278" s="35">
        <f>AD278*'Parámetros Proyección'!$F$15</f>
        <v/>
      </c>
      <c r="AF278" s="35">
        <f>AD278+AE278</f>
        <v/>
      </c>
      <c r="AG278" s="35">
        <f>IF((AF278/AI278&gt;'Parámetros Proyección'!$G$15),0,D278*'Parámetros Proyección'!$G$15/(IF((H278/AI278&gt;'Parámetros Proyección'!$G$11),0,'Parámetros Proyección'!$G$11)+IF((N278/AI278&gt;'Parámetros Proyección'!$G$12),0,'Parámetros Proyección'!$G$12)+IF((T278/AI278&gt;'Parámetros Proyección'!$G$13),0,'Parámetros Proyección'!$G$13)+IF((Z278/AI278&gt;'Parámetros Proyección'!$G$14),0,'Parámetros Proyección'!$G$14)+IF((AF278/AI278&gt;'Parámetros Proyección'!$G$15),0,'Parámetros Proyección'!$G$15)))</f>
        <v/>
      </c>
      <c r="AH278" s="35">
        <f>AF278+AG278</f>
        <v/>
      </c>
      <c r="AI278" s="35">
        <f>H278+N278+T278+Z278+AF278</f>
        <v/>
      </c>
      <c r="AJ278" s="33">
        <f>AF278/AI278</f>
        <v/>
      </c>
      <c r="AK278">
        <f>IF(AJ278&gt;'Parámetros Proyección'!$B$5,1,0)</f>
        <v/>
      </c>
      <c r="AL278" s="35">
        <f>G278+M278+S278+Y278+AE278</f>
        <v/>
      </c>
      <c r="AM278" s="35">
        <f>AM277+D278</f>
        <v/>
      </c>
      <c r="AN278" s="35">
        <f>AN277+AL278</f>
        <v/>
      </c>
      <c r="AO278" s="35">
        <f>J278+P278+V278+AB278+AH278</f>
        <v/>
      </c>
    </row>
    <row r="279">
      <c r="A279" t="n">
        <v>276</v>
      </c>
      <c r="B279" s="34">
        <f>EDATE(B278,1)</f>
        <v/>
      </c>
      <c r="C279">
        <f>YEAR(B279)</f>
        <v/>
      </c>
      <c r="D279" s="35">
        <f>'Parámetros Proyección'!$B$3*(1+'Parámetros Proyección'!$B$4)^(C279-YEAR('Parámetros Proyección'!$B$6))</f>
        <v/>
      </c>
      <c r="E279" s="35">
        <f>J278</f>
        <v/>
      </c>
      <c r="F279" s="35">
        <f>E279*(1+'Parámetros Proyección'!$E$11)</f>
        <v/>
      </c>
      <c r="G279" s="35">
        <f>F279*'Parámetros Proyección'!$F$11</f>
        <v/>
      </c>
      <c r="H279" s="35">
        <f>F279+G279</f>
        <v/>
      </c>
      <c r="I279" s="35">
        <f>IF((H279/AI279&gt;'Parámetros Proyección'!$G$11),0,D279*'Parámetros Proyección'!$G$11/(IF((H279/AI279&gt;'Parámetros Proyección'!$G$11),0,'Parámetros Proyección'!$G$11)+IF((N279/AI279&gt;'Parámetros Proyección'!$G$12),0,'Parámetros Proyección'!$G$12)+IF((T279/AI279&gt;'Parámetros Proyección'!$G$13),0,'Parámetros Proyección'!$G$13)+IF((Z279/AI279&gt;'Parámetros Proyección'!$G$14),0,'Parámetros Proyección'!$G$14)+IF((AF279/AI279&gt;'Parámetros Proyección'!$G$15),0,'Parámetros Proyección'!$G$15)))</f>
        <v/>
      </c>
      <c r="J279" s="35">
        <f>H279+I279</f>
        <v/>
      </c>
      <c r="K279" s="35">
        <f>P278</f>
        <v/>
      </c>
      <c r="L279" s="35">
        <f>K279*(1+'Parámetros Proyección'!$E$12)</f>
        <v/>
      </c>
      <c r="M279" s="35">
        <f>L279*'Parámetros Proyección'!$F$12</f>
        <v/>
      </c>
      <c r="N279" s="35">
        <f>L279+M279</f>
        <v/>
      </c>
      <c r="O279" s="35">
        <f>IF((N279/AI279&gt;'Parámetros Proyección'!$G$12),0,D279*'Parámetros Proyección'!$G$12/(IF((H279/AI279&gt;'Parámetros Proyección'!$G$11),0,'Parámetros Proyección'!$G$11)+IF((N279/AI279&gt;'Parámetros Proyección'!$G$12),0,'Parámetros Proyección'!$G$12)+IF((T279/AI279&gt;'Parámetros Proyección'!$G$13),0,'Parámetros Proyección'!$G$13)+IF((Z279/AI279&gt;'Parámetros Proyección'!$G$14),0,'Parámetros Proyección'!$G$14)+IF((AF279/AI279&gt;'Parámetros Proyección'!$G$15),0,'Parámetros Proyección'!$G$15)))</f>
        <v/>
      </c>
      <c r="P279" s="35">
        <f>N279+O279</f>
        <v/>
      </c>
      <c r="Q279" s="35">
        <f>V278</f>
        <v/>
      </c>
      <c r="R279" s="35">
        <f>Q279*(1+'Parámetros Proyección'!$E$13)</f>
        <v/>
      </c>
      <c r="S279" s="35">
        <f>R279*'Parámetros Proyección'!$F$13</f>
        <v/>
      </c>
      <c r="T279" s="35">
        <f>R279+S279</f>
        <v/>
      </c>
      <c r="U279" s="35">
        <f>IF((T279/AI279&gt;'Parámetros Proyección'!$G$13),0,D279*'Parámetros Proyección'!$G$13/(IF((H279/AI279&gt;'Parámetros Proyección'!$G$11),0,'Parámetros Proyección'!$G$11)+IF((N279/AI279&gt;'Parámetros Proyección'!$G$12),0,'Parámetros Proyección'!$G$12)+IF((T279/AI279&gt;'Parámetros Proyección'!$G$13),0,'Parámetros Proyección'!$G$13)+IF((Z279/AI279&gt;'Parámetros Proyección'!$G$14),0,'Parámetros Proyección'!$G$14)+IF((AF279/AI279&gt;'Parámetros Proyección'!$G$15),0,'Parámetros Proyección'!$G$15)))</f>
        <v/>
      </c>
      <c r="V279" s="35">
        <f>T279+U279</f>
        <v/>
      </c>
      <c r="W279" s="35">
        <f>AB278</f>
        <v/>
      </c>
      <c r="X279" s="35">
        <f>W279*(1+'Parámetros Proyección'!$E$14)</f>
        <v/>
      </c>
      <c r="Y279" s="35">
        <f>X279*'Parámetros Proyección'!$F$14</f>
        <v/>
      </c>
      <c r="Z279" s="35">
        <f>X279+Y279</f>
        <v/>
      </c>
      <c r="AA279" s="35">
        <f>IF((Z279/AI279&gt;'Parámetros Proyección'!$G$14),0,D279*'Parámetros Proyección'!$G$14/(IF((H279/AI279&gt;'Parámetros Proyección'!$G$11),0,'Parámetros Proyección'!$G$11)+IF((N279/AI279&gt;'Parámetros Proyección'!$G$12),0,'Parámetros Proyección'!$G$12)+IF((T279/AI279&gt;'Parámetros Proyección'!$G$13),0,'Parámetros Proyección'!$G$13)+IF((Z279/AI279&gt;'Parámetros Proyección'!$G$14),0,'Parámetros Proyección'!$G$14)+IF((AF279/AI279&gt;'Parámetros Proyección'!$G$15),0,'Parámetros Proyección'!$G$15)))</f>
        <v/>
      </c>
      <c r="AB279" s="35">
        <f>Z279+AA279</f>
        <v/>
      </c>
      <c r="AC279" s="35">
        <f>AH278</f>
        <v/>
      </c>
      <c r="AD279" s="35">
        <f>AC279*(1+'Parámetros Proyección'!$E$15)</f>
        <v/>
      </c>
      <c r="AE279" s="35">
        <f>AD279*'Parámetros Proyección'!$F$15</f>
        <v/>
      </c>
      <c r="AF279" s="35">
        <f>AD279+AE279</f>
        <v/>
      </c>
      <c r="AG279" s="35">
        <f>IF((AF279/AI279&gt;'Parámetros Proyección'!$G$15),0,D279*'Parámetros Proyección'!$G$15/(IF((H279/AI279&gt;'Parámetros Proyección'!$G$11),0,'Parámetros Proyección'!$G$11)+IF((N279/AI279&gt;'Parámetros Proyección'!$G$12),0,'Parámetros Proyección'!$G$12)+IF((T279/AI279&gt;'Parámetros Proyección'!$G$13),0,'Parámetros Proyección'!$G$13)+IF((Z279/AI279&gt;'Parámetros Proyección'!$G$14),0,'Parámetros Proyección'!$G$14)+IF((AF279/AI279&gt;'Parámetros Proyección'!$G$15),0,'Parámetros Proyección'!$G$15)))</f>
        <v/>
      </c>
      <c r="AH279" s="35">
        <f>AF279+AG279</f>
        <v/>
      </c>
      <c r="AI279" s="35">
        <f>H279+N279+T279+Z279+AF279</f>
        <v/>
      </c>
      <c r="AJ279" s="33">
        <f>AF279/AI279</f>
        <v/>
      </c>
      <c r="AK279">
        <f>IF(AJ279&gt;'Parámetros Proyección'!$B$5,1,0)</f>
        <v/>
      </c>
      <c r="AL279" s="35">
        <f>G279+M279+S279+Y279+AE279</f>
        <v/>
      </c>
      <c r="AM279" s="35">
        <f>AM278+D279</f>
        <v/>
      </c>
      <c r="AN279" s="35">
        <f>AN278+AL279</f>
        <v/>
      </c>
      <c r="AO279" s="35">
        <f>J279+P279+V279+AB279+AH279</f>
        <v/>
      </c>
    </row>
    <row r="280">
      <c r="A280" t="n">
        <v>277</v>
      </c>
      <c r="B280" s="34">
        <f>EDATE(B279,1)</f>
        <v/>
      </c>
      <c r="C280">
        <f>YEAR(B280)</f>
        <v/>
      </c>
      <c r="D280" s="35">
        <f>'Parámetros Proyección'!$B$3*(1+'Parámetros Proyección'!$B$4)^(C280-YEAR('Parámetros Proyección'!$B$6))</f>
        <v/>
      </c>
      <c r="E280" s="35">
        <f>J279</f>
        <v/>
      </c>
      <c r="F280" s="35">
        <f>E280*(1+'Parámetros Proyección'!$E$11)</f>
        <v/>
      </c>
      <c r="G280" s="35">
        <f>F280*'Parámetros Proyección'!$F$11</f>
        <v/>
      </c>
      <c r="H280" s="35">
        <f>F280+G280</f>
        <v/>
      </c>
      <c r="I280" s="35">
        <f>IF((H280/AI280&gt;'Parámetros Proyección'!$G$11),0,D280*'Parámetros Proyección'!$G$11/(IF((H280/AI280&gt;'Parámetros Proyección'!$G$11),0,'Parámetros Proyección'!$G$11)+IF((N280/AI280&gt;'Parámetros Proyección'!$G$12),0,'Parámetros Proyección'!$G$12)+IF((T280/AI280&gt;'Parámetros Proyección'!$G$13),0,'Parámetros Proyección'!$G$13)+IF((Z280/AI280&gt;'Parámetros Proyección'!$G$14),0,'Parámetros Proyección'!$G$14)+IF((AF280/AI280&gt;'Parámetros Proyección'!$G$15),0,'Parámetros Proyección'!$G$15)))</f>
        <v/>
      </c>
      <c r="J280" s="35">
        <f>H280+I280</f>
        <v/>
      </c>
      <c r="K280" s="35">
        <f>P279</f>
        <v/>
      </c>
      <c r="L280" s="35">
        <f>K280*(1+'Parámetros Proyección'!$E$12)</f>
        <v/>
      </c>
      <c r="M280" s="35">
        <f>L280*'Parámetros Proyección'!$F$12</f>
        <v/>
      </c>
      <c r="N280" s="35">
        <f>L280+M280</f>
        <v/>
      </c>
      <c r="O280" s="35">
        <f>IF((N280/AI280&gt;'Parámetros Proyección'!$G$12),0,D280*'Parámetros Proyección'!$G$12/(IF((H280/AI280&gt;'Parámetros Proyección'!$G$11),0,'Parámetros Proyección'!$G$11)+IF((N280/AI280&gt;'Parámetros Proyección'!$G$12),0,'Parámetros Proyección'!$G$12)+IF((T280/AI280&gt;'Parámetros Proyección'!$G$13),0,'Parámetros Proyección'!$G$13)+IF((Z280/AI280&gt;'Parámetros Proyección'!$G$14),0,'Parámetros Proyección'!$G$14)+IF((AF280/AI280&gt;'Parámetros Proyección'!$G$15),0,'Parámetros Proyección'!$G$15)))</f>
        <v/>
      </c>
      <c r="P280" s="35">
        <f>N280+O280</f>
        <v/>
      </c>
      <c r="Q280" s="35">
        <f>V279</f>
        <v/>
      </c>
      <c r="R280" s="35">
        <f>Q280*(1+'Parámetros Proyección'!$E$13)</f>
        <v/>
      </c>
      <c r="S280" s="35">
        <f>R280*'Parámetros Proyección'!$F$13</f>
        <v/>
      </c>
      <c r="T280" s="35">
        <f>R280+S280</f>
        <v/>
      </c>
      <c r="U280" s="35">
        <f>IF((T280/AI280&gt;'Parámetros Proyección'!$G$13),0,D280*'Parámetros Proyección'!$G$13/(IF((H280/AI280&gt;'Parámetros Proyección'!$G$11),0,'Parámetros Proyección'!$G$11)+IF((N280/AI280&gt;'Parámetros Proyección'!$G$12),0,'Parámetros Proyección'!$G$12)+IF((T280/AI280&gt;'Parámetros Proyección'!$G$13),0,'Parámetros Proyección'!$G$13)+IF((Z280/AI280&gt;'Parámetros Proyección'!$G$14),0,'Parámetros Proyección'!$G$14)+IF((AF280/AI280&gt;'Parámetros Proyección'!$G$15),0,'Parámetros Proyección'!$G$15)))</f>
        <v/>
      </c>
      <c r="V280" s="35">
        <f>T280+U280</f>
        <v/>
      </c>
      <c r="W280" s="35">
        <f>AB279</f>
        <v/>
      </c>
      <c r="X280" s="35">
        <f>W280*(1+'Parámetros Proyección'!$E$14)</f>
        <v/>
      </c>
      <c r="Y280" s="35">
        <f>X280*'Parámetros Proyección'!$F$14</f>
        <v/>
      </c>
      <c r="Z280" s="35">
        <f>X280+Y280</f>
        <v/>
      </c>
      <c r="AA280" s="35">
        <f>IF((Z280/AI280&gt;'Parámetros Proyección'!$G$14),0,D280*'Parámetros Proyección'!$G$14/(IF((H280/AI280&gt;'Parámetros Proyección'!$G$11),0,'Parámetros Proyección'!$G$11)+IF((N280/AI280&gt;'Parámetros Proyección'!$G$12),0,'Parámetros Proyección'!$G$12)+IF((T280/AI280&gt;'Parámetros Proyección'!$G$13),0,'Parámetros Proyección'!$G$13)+IF((Z280/AI280&gt;'Parámetros Proyección'!$G$14),0,'Parámetros Proyección'!$G$14)+IF((AF280/AI280&gt;'Parámetros Proyección'!$G$15),0,'Parámetros Proyección'!$G$15)))</f>
        <v/>
      </c>
      <c r="AB280" s="35">
        <f>Z280+AA280</f>
        <v/>
      </c>
      <c r="AC280" s="35">
        <f>AH279</f>
        <v/>
      </c>
      <c r="AD280" s="35">
        <f>AC280*(1+'Parámetros Proyección'!$E$15)</f>
        <v/>
      </c>
      <c r="AE280" s="35">
        <f>AD280*'Parámetros Proyección'!$F$15</f>
        <v/>
      </c>
      <c r="AF280" s="35">
        <f>AD280+AE280</f>
        <v/>
      </c>
      <c r="AG280" s="35">
        <f>IF((AF280/AI280&gt;'Parámetros Proyección'!$G$15),0,D280*'Parámetros Proyección'!$G$15/(IF((H280/AI280&gt;'Parámetros Proyección'!$G$11),0,'Parámetros Proyección'!$G$11)+IF((N280/AI280&gt;'Parámetros Proyección'!$G$12),0,'Parámetros Proyección'!$G$12)+IF((T280/AI280&gt;'Parámetros Proyección'!$G$13),0,'Parámetros Proyección'!$G$13)+IF((Z280/AI280&gt;'Parámetros Proyección'!$G$14),0,'Parámetros Proyección'!$G$14)+IF((AF280/AI280&gt;'Parámetros Proyección'!$G$15),0,'Parámetros Proyección'!$G$15)))</f>
        <v/>
      </c>
      <c r="AH280" s="35">
        <f>AF280+AG280</f>
        <v/>
      </c>
      <c r="AI280" s="35">
        <f>H280+N280+T280+Z280+AF280</f>
        <v/>
      </c>
      <c r="AJ280" s="33">
        <f>AF280/AI280</f>
        <v/>
      </c>
      <c r="AK280">
        <f>IF(AJ280&gt;'Parámetros Proyección'!$B$5,1,0)</f>
        <v/>
      </c>
      <c r="AL280" s="35">
        <f>G280+M280+S280+Y280+AE280</f>
        <v/>
      </c>
      <c r="AM280" s="35">
        <f>AM279+D280</f>
        <v/>
      </c>
      <c r="AN280" s="35">
        <f>AN279+AL280</f>
        <v/>
      </c>
      <c r="AO280" s="35">
        <f>J280+P280+V280+AB280+AH280</f>
        <v/>
      </c>
    </row>
    <row r="281">
      <c r="A281" t="n">
        <v>278</v>
      </c>
      <c r="B281" s="34">
        <f>EDATE(B280,1)</f>
        <v/>
      </c>
      <c r="C281">
        <f>YEAR(B281)</f>
        <v/>
      </c>
      <c r="D281" s="35">
        <f>'Parámetros Proyección'!$B$3*(1+'Parámetros Proyección'!$B$4)^(C281-YEAR('Parámetros Proyección'!$B$6))</f>
        <v/>
      </c>
      <c r="E281" s="35">
        <f>J280</f>
        <v/>
      </c>
      <c r="F281" s="35">
        <f>E281*(1+'Parámetros Proyección'!$E$11)</f>
        <v/>
      </c>
      <c r="G281" s="35">
        <f>F281*'Parámetros Proyección'!$F$11</f>
        <v/>
      </c>
      <c r="H281" s="35">
        <f>F281+G281</f>
        <v/>
      </c>
      <c r="I281" s="35">
        <f>IF((H281/AI281&gt;'Parámetros Proyección'!$G$11),0,D281*'Parámetros Proyección'!$G$11/(IF((H281/AI281&gt;'Parámetros Proyección'!$G$11),0,'Parámetros Proyección'!$G$11)+IF((N281/AI281&gt;'Parámetros Proyección'!$G$12),0,'Parámetros Proyección'!$G$12)+IF((T281/AI281&gt;'Parámetros Proyección'!$G$13),0,'Parámetros Proyección'!$G$13)+IF((Z281/AI281&gt;'Parámetros Proyección'!$G$14),0,'Parámetros Proyección'!$G$14)+IF((AF281/AI281&gt;'Parámetros Proyección'!$G$15),0,'Parámetros Proyección'!$G$15)))</f>
        <v/>
      </c>
      <c r="J281" s="35">
        <f>H281+I281</f>
        <v/>
      </c>
      <c r="K281" s="35">
        <f>P280</f>
        <v/>
      </c>
      <c r="L281" s="35">
        <f>K281*(1+'Parámetros Proyección'!$E$12)</f>
        <v/>
      </c>
      <c r="M281" s="35">
        <f>L281*'Parámetros Proyección'!$F$12</f>
        <v/>
      </c>
      <c r="N281" s="35">
        <f>L281+M281</f>
        <v/>
      </c>
      <c r="O281" s="35">
        <f>IF((N281/AI281&gt;'Parámetros Proyección'!$G$12),0,D281*'Parámetros Proyección'!$G$12/(IF((H281/AI281&gt;'Parámetros Proyección'!$G$11),0,'Parámetros Proyección'!$G$11)+IF((N281/AI281&gt;'Parámetros Proyección'!$G$12),0,'Parámetros Proyección'!$G$12)+IF((T281/AI281&gt;'Parámetros Proyección'!$G$13),0,'Parámetros Proyección'!$G$13)+IF((Z281/AI281&gt;'Parámetros Proyección'!$G$14),0,'Parámetros Proyección'!$G$14)+IF((AF281/AI281&gt;'Parámetros Proyección'!$G$15),0,'Parámetros Proyección'!$G$15)))</f>
        <v/>
      </c>
      <c r="P281" s="35">
        <f>N281+O281</f>
        <v/>
      </c>
      <c r="Q281" s="35">
        <f>V280</f>
        <v/>
      </c>
      <c r="R281" s="35">
        <f>Q281*(1+'Parámetros Proyección'!$E$13)</f>
        <v/>
      </c>
      <c r="S281" s="35">
        <f>R281*'Parámetros Proyección'!$F$13</f>
        <v/>
      </c>
      <c r="T281" s="35">
        <f>R281+S281</f>
        <v/>
      </c>
      <c r="U281" s="35">
        <f>IF((T281/AI281&gt;'Parámetros Proyección'!$G$13),0,D281*'Parámetros Proyección'!$G$13/(IF((H281/AI281&gt;'Parámetros Proyección'!$G$11),0,'Parámetros Proyección'!$G$11)+IF((N281/AI281&gt;'Parámetros Proyección'!$G$12),0,'Parámetros Proyección'!$G$12)+IF((T281/AI281&gt;'Parámetros Proyección'!$G$13),0,'Parámetros Proyección'!$G$13)+IF((Z281/AI281&gt;'Parámetros Proyección'!$G$14),0,'Parámetros Proyección'!$G$14)+IF((AF281/AI281&gt;'Parámetros Proyección'!$G$15),0,'Parámetros Proyección'!$G$15)))</f>
        <v/>
      </c>
      <c r="V281" s="35">
        <f>T281+U281</f>
        <v/>
      </c>
      <c r="W281" s="35">
        <f>AB280</f>
        <v/>
      </c>
      <c r="X281" s="35">
        <f>W281*(1+'Parámetros Proyección'!$E$14)</f>
        <v/>
      </c>
      <c r="Y281" s="35">
        <f>X281*'Parámetros Proyección'!$F$14</f>
        <v/>
      </c>
      <c r="Z281" s="35">
        <f>X281+Y281</f>
        <v/>
      </c>
      <c r="AA281" s="35">
        <f>IF((Z281/AI281&gt;'Parámetros Proyección'!$G$14),0,D281*'Parámetros Proyección'!$G$14/(IF((H281/AI281&gt;'Parámetros Proyección'!$G$11),0,'Parámetros Proyección'!$G$11)+IF((N281/AI281&gt;'Parámetros Proyección'!$G$12),0,'Parámetros Proyección'!$G$12)+IF((T281/AI281&gt;'Parámetros Proyección'!$G$13),0,'Parámetros Proyección'!$G$13)+IF((Z281/AI281&gt;'Parámetros Proyección'!$G$14),0,'Parámetros Proyección'!$G$14)+IF((AF281/AI281&gt;'Parámetros Proyección'!$G$15),0,'Parámetros Proyección'!$G$15)))</f>
        <v/>
      </c>
      <c r="AB281" s="35">
        <f>Z281+AA281</f>
        <v/>
      </c>
      <c r="AC281" s="35">
        <f>AH280</f>
        <v/>
      </c>
      <c r="AD281" s="35">
        <f>AC281*(1+'Parámetros Proyección'!$E$15)</f>
        <v/>
      </c>
      <c r="AE281" s="35">
        <f>AD281*'Parámetros Proyección'!$F$15</f>
        <v/>
      </c>
      <c r="AF281" s="35">
        <f>AD281+AE281</f>
        <v/>
      </c>
      <c r="AG281" s="35">
        <f>IF((AF281/AI281&gt;'Parámetros Proyección'!$G$15),0,D281*'Parámetros Proyección'!$G$15/(IF((H281/AI281&gt;'Parámetros Proyección'!$G$11),0,'Parámetros Proyección'!$G$11)+IF((N281/AI281&gt;'Parámetros Proyección'!$G$12),0,'Parámetros Proyección'!$G$12)+IF((T281/AI281&gt;'Parámetros Proyección'!$G$13),0,'Parámetros Proyección'!$G$13)+IF((Z281/AI281&gt;'Parámetros Proyección'!$G$14),0,'Parámetros Proyección'!$G$14)+IF((AF281/AI281&gt;'Parámetros Proyección'!$G$15),0,'Parámetros Proyección'!$G$15)))</f>
        <v/>
      </c>
      <c r="AH281" s="35">
        <f>AF281+AG281</f>
        <v/>
      </c>
      <c r="AI281" s="35">
        <f>H281+N281+T281+Z281+AF281</f>
        <v/>
      </c>
      <c r="AJ281" s="33">
        <f>AF281/AI281</f>
        <v/>
      </c>
      <c r="AK281">
        <f>IF(AJ281&gt;'Parámetros Proyección'!$B$5,1,0)</f>
        <v/>
      </c>
      <c r="AL281" s="35">
        <f>G281+M281+S281+Y281+AE281</f>
        <v/>
      </c>
      <c r="AM281" s="35">
        <f>AM280+D281</f>
        <v/>
      </c>
      <c r="AN281" s="35">
        <f>AN280+AL281</f>
        <v/>
      </c>
      <c r="AO281" s="35">
        <f>J281+P281+V281+AB281+AH281</f>
        <v/>
      </c>
    </row>
    <row r="282">
      <c r="A282" t="n">
        <v>279</v>
      </c>
      <c r="B282" s="34">
        <f>EDATE(B281,1)</f>
        <v/>
      </c>
      <c r="C282">
        <f>YEAR(B282)</f>
        <v/>
      </c>
      <c r="D282" s="35">
        <f>'Parámetros Proyección'!$B$3*(1+'Parámetros Proyección'!$B$4)^(C282-YEAR('Parámetros Proyección'!$B$6))</f>
        <v/>
      </c>
      <c r="E282" s="35">
        <f>J281</f>
        <v/>
      </c>
      <c r="F282" s="35">
        <f>E282*(1+'Parámetros Proyección'!$E$11)</f>
        <v/>
      </c>
      <c r="G282" s="35">
        <f>F282*'Parámetros Proyección'!$F$11</f>
        <v/>
      </c>
      <c r="H282" s="35">
        <f>F282+G282</f>
        <v/>
      </c>
      <c r="I282" s="35">
        <f>IF((H282/AI282&gt;'Parámetros Proyección'!$G$11),0,D282*'Parámetros Proyección'!$G$11/(IF((H282/AI282&gt;'Parámetros Proyección'!$G$11),0,'Parámetros Proyección'!$G$11)+IF((N282/AI282&gt;'Parámetros Proyección'!$G$12),0,'Parámetros Proyección'!$G$12)+IF((T282/AI282&gt;'Parámetros Proyección'!$G$13),0,'Parámetros Proyección'!$G$13)+IF((Z282/AI282&gt;'Parámetros Proyección'!$G$14),0,'Parámetros Proyección'!$G$14)+IF((AF282/AI282&gt;'Parámetros Proyección'!$G$15),0,'Parámetros Proyección'!$G$15)))</f>
        <v/>
      </c>
      <c r="J282" s="35">
        <f>H282+I282</f>
        <v/>
      </c>
      <c r="K282" s="35">
        <f>P281</f>
        <v/>
      </c>
      <c r="L282" s="35">
        <f>K282*(1+'Parámetros Proyección'!$E$12)</f>
        <v/>
      </c>
      <c r="M282" s="35">
        <f>L282*'Parámetros Proyección'!$F$12</f>
        <v/>
      </c>
      <c r="N282" s="35">
        <f>L282+M282</f>
        <v/>
      </c>
      <c r="O282" s="35">
        <f>IF((N282/AI282&gt;'Parámetros Proyección'!$G$12),0,D282*'Parámetros Proyección'!$G$12/(IF((H282/AI282&gt;'Parámetros Proyección'!$G$11),0,'Parámetros Proyección'!$G$11)+IF((N282/AI282&gt;'Parámetros Proyección'!$G$12),0,'Parámetros Proyección'!$G$12)+IF((T282/AI282&gt;'Parámetros Proyección'!$G$13),0,'Parámetros Proyección'!$G$13)+IF((Z282/AI282&gt;'Parámetros Proyección'!$G$14),0,'Parámetros Proyección'!$G$14)+IF((AF282/AI282&gt;'Parámetros Proyección'!$G$15),0,'Parámetros Proyección'!$G$15)))</f>
        <v/>
      </c>
      <c r="P282" s="35">
        <f>N282+O282</f>
        <v/>
      </c>
      <c r="Q282" s="35">
        <f>V281</f>
        <v/>
      </c>
      <c r="R282" s="35">
        <f>Q282*(1+'Parámetros Proyección'!$E$13)</f>
        <v/>
      </c>
      <c r="S282" s="35">
        <f>R282*'Parámetros Proyección'!$F$13</f>
        <v/>
      </c>
      <c r="T282" s="35">
        <f>R282+S282</f>
        <v/>
      </c>
      <c r="U282" s="35">
        <f>IF((T282/AI282&gt;'Parámetros Proyección'!$G$13),0,D282*'Parámetros Proyección'!$G$13/(IF((H282/AI282&gt;'Parámetros Proyección'!$G$11),0,'Parámetros Proyección'!$G$11)+IF((N282/AI282&gt;'Parámetros Proyección'!$G$12),0,'Parámetros Proyección'!$G$12)+IF((T282/AI282&gt;'Parámetros Proyección'!$G$13),0,'Parámetros Proyección'!$G$13)+IF((Z282/AI282&gt;'Parámetros Proyección'!$G$14),0,'Parámetros Proyección'!$G$14)+IF((AF282/AI282&gt;'Parámetros Proyección'!$G$15),0,'Parámetros Proyección'!$G$15)))</f>
        <v/>
      </c>
      <c r="V282" s="35">
        <f>T282+U282</f>
        <v/>
      </c>
      <c r="W282" s="35">
        <f>AB281</f>
        <v/>
      </c>
      <c r="X282" s="35">
        <f>W282*(1+'Parámetros Proyección'!$E$14)</f>
        <v/>
      </c>
      <c r="Y282" s="35">
        <f>X282*'Parámetros Proyección'!$F$14</f>
        <v/>
      </c>
      <c r="Z282" s="35">
        <f>X282+Y282</f>
        <v/>
      </c>
      <c r="AA282" s="35">
        <f>IF((Z282/AI282&gt;'Parámetros Proyección'!$G$14),0,D282*'Parámetros Proyección'!$G$14/(IF((H282/AI282&gt;'Parámetros Proyección'!$G$11),0,'Parámetros Proyección'!$G$11)+IF((N282/AI282&gt;'Parámetros Proyección'!$G$12),0,'Parámetros Proyección'!$G$12)+IF((T282/AI282&gt;'Parámetros Proyección'!$G$13),0,'Parámetros Proyección'!$G$13)+IF((Z282/AI282&gt;'Parámetros Proyección'!$G$14),0,'Parámetros Proyección'!$G$14)+IF((AF282/AI282&gt;'Parámetros Proyección'!$G$15),0,'Parámetros Proyección'!$G$15)))</f>
        <v/>
      </c>
      <c r="AB282" s="35">
        <f>Z282+AA282</f>
        <v/>
      </c>
      <c r="AC282" s="35">
        <f>AH281</f>
        <v/>
      </c>
      <c r="AD282" s="35">
        <f>AC282*(1+'Parámetros Proyección'!$E$15)</f>
        <v/>
      </c>
      <c r="AE282" s="35">
        <f>AD282*'Parámetros Proyección'!$F$15</f>
        <v/>
      </c>
      <c r="AF282" s="35">
        <f>AD282+AE282</f>
        <v/>
      </c>
      <c r="AG282" s="35">
        <f>IF((AF282/AI282&gt;'Parámetros Proyección'!$G$15),0,D282*'Parámetros Proyección'!$G$15/(IF((H282/AI282&gt;'Parámetros Proyección'!$G$11),0,'Parámetros Proyección'!$G$11)+IF((N282/AI282&gt;'Parámetros Proyección'!$G$12),0,'Parámetros Proyección'!$G$12)+IF((T282/AI282&gt;'Parámetros Proyección'!$G$13),0,'Parámetros Proyección'!$G$13)+IF((Z282/AI282&gt;'Parámetros Proyección'!$G$14),0,'Parámetros Proyección'!$G$14)+IF((AF282/AI282&gt;'Parámetros Proyección'!$G$15),0,'Parámetros Proyección'!$G$15)))</f>
        <v/>
      </c>
      <c r="AH282" s="35">
        <f>AF282+AG282</f>
        <v/>
      </c>
      <c r="AI282" s="35">
        <f>H282+N282+T282+Z282+AF282</f>
        <v/>
      </c>
      <c r="AJ282" s="33">
        <f>AF282/AI282</f>
        <v/>
      </c>
      <c r="AK282">
        <f>IF(AJ282&gt;'Parámetros Proyección'!$B$5,1,0)</f>
        <v/>
      </c>
      <c r="AL282" s="35">
        <f>G282+M282+S282+Y282+AE282</f>
        <v/>
      </c>
      <c r="AM282" s="35">
        <f>AM281+D282</f>
        <v/>
      </c>
      <c r="AN282" s="35">
        <f>AN281+AL282</f>
        <v/>
      </c>
      <c r="AO282" s="35">
        <f>J282+P282+V282+AB282+AH282</f>
        <v/>
      </c>
    </row>
    <row r="283">
      <c r="A283" t="n">
        <v>280</v>
      </c>
      <c r="B283" s="34">
        <f>EDATE(B282,1)</f>
        <v/>
      </c>
      <c r="C283">
        <f>YEAR(B283)</f>
        <v/>
      </c>
      <c r="D283" s="35">
        <f>'Parámetros Proyección'!$B$3*(1+'Parámetros Proyección'!$B$4)^(C283-YEAR('Parámetros Proyección'!$B$6))</f>
        <v/>
      </c>
      <c r="E283" s="35">
        <f>J282</f>
        <v/>
      </c>
      <c r="F283" s="35">
        <f>E283*(1+'Parámetros Proyección'!$E$11)</f>
        <v/>
      </c>
      <c r="G283" s="35">
        <f>F283*'Parámetros Proyección'!$F$11</f>
        <v/>
      </c>
      <c r="H283" s="35">
        <f>F283+G283</f>
        <v/>
      </c>
      <c r="I283" s="35">
        <f>IF((H283/AI283&gt;'Parámetros Proyección'!$G$11),0,D283*'Parámetros Proyección'!$G$11/(IF((H283/AI283&gt;'Parámetros Proyección'!$G$11),0,'Parámetros Proyección'!$G$11)+IF((N283/AI283&gt;'Parámetros Proyección'!$G$12),0,'Parámetros Proyección'!$G$12)+IF((T283/AI283&gt;'Parámetros Proyección'!$G$13),0,'Parámetros Proyección'!$G$13)+IF((Z283/AI283&gt;'Parámetros Proyección'!$G$14),0,'Parámetros Proyección'!$G$14)+IF((AF283/AI283&gt;'Parámetros Proyección'!$G$15),0,'Parámetros Proyección'!$G$15)))</f>
        <v/>
      </c>
      <c r="J283" s="35">
        <f>H283+I283</f>
        <v/>
      </c>
      <c r="K283" s="35">
        <f>P282</f>
        <v/>
      </c>
      <c r="L283" s="35">
        <f>K283*(1+'Parámetros Proyección'!$E$12)</f>
        <v/>
      </c>
      <c r="M283" s="35">
        <f>L283*'Parámetros Proyección'!$F$12</f>
        <v/>
      </c>
      <c r="N283" s="35">
        <f>L283+M283</f>
        <v/>
      </c>
      <c r="O283" s="35">
        <f>IF((N283/AI283&gt;'Parámetros Proyección'!$G$12),0,D283*'Parámetros Proyección'!$G$12/(IF((H283/AI283&gt;'Parámetros Proyección'!$G$11),0,'Parámetros Proyección'!$G$11)+IF((N283/AI283&gt;'Parámetros Proyección'!$G$12),0,'Parámetros Proyección'!$G$12)+IF((T283/AI283&gt;'Parámetros Proyección'!$G$13),0,'Parámetros Proyección'!$G$13)+IF((Z283/AI283&gt;'Parámetros Proyección'!$G$14),0,'Parámetros Proyección'!$G$14)+IF((AF283/AI283&gt;'Parámetros Proyección'!$G$15),0,'Parámetros Proyección'!$G$15)))</f>
        <v/>
      </c>
      <c r="P283" s="35">
        <f>N283+O283</f>
        <v/>
      </c>
      <c r="Q283" s="35">
        <f>V282</f>
        <v/>
      </c>
      <c r="R283" s="35">
        <f>Q283*(1+'Parámetros Proyección'!$E$13)</f>
        <v/>
      </c>
      <c r="S283" s="35">
        <f>R283*'Parámetros Proyección'!$F$13</f>
        <v/>
      </c>
      <c r="T283" s="35">
        <f>R283+S283</f>
        <v/>
      </c>
      <c r="U283" s="35">
        <f>IF((T283/AI283&gt;'Parámetros Proyección'!$G$13),0,D283*'Parámetros Proyección'!$G$13/(IF((H283/AI283&gt;'Parámetros Proyección'!$G$11),0,'Parámetros Proyección'!$G$11)+IF((N283/AI283&gt;'Parámetros Proyección'!$G$12),0,'Parámetros Proyección'!$G$12)+IF((T283/AI283&gt;'Parámetros Proyección'!$G$13),0,'Parámetros Proyección'!$G$13)+IF((Z283/AI283&gt;'Parámetros Proyección'!$G$14),0,'Parámetros Proyección'!$G$14)+IF((AF283/AI283&gt;'Parámetros Proyección'!$G$15),0,'Parámetros Proyección'!$G$15)))</f>
        <v/>
      </c>
      <c r="V283" s="35">
        <f>T283+U283</f>
        <v/>
      </c>
      <c r="W283" s="35">
        <f>AB282</f>
        <v/>
      </c>
      <c r="X283" s="35">
        <f>W283*(1+'Parámetros Proyección'!$E$14)</f>
        <v/>
      </c>
      <c r="Y283" s="35">
        <f>X283*'Parámetros Proyección'!$F$14</f>
        <v/>
      </c>
      <c r="Z283" s="35">
        <f>X283+Y283</f>
        <v/>
      </c>
      <c r="AA283" s="35">
        <f>IF((Z283/AI283&gt;'Parámetros Proyección'!$G$14),0,D283*'Parámetros Proyección'!$G$14/(IF((H283/AI283&gt;'Parámetros Proyección'!$G$11),0,'Parámetros Proyección'!$G$11)+IF((N283/AI283&gt;'Parámetros Proyección'!$G$12),0,'Parámetros Proyección'!$G$12)+IF((T283/AI283&gt;'Parámetros Proyección'!$G$13),0,'Parámetros Proyección'!$G$13)+IF((Z283/AI283&gt;'Parámetros Proyección'!$G$14),0,'Parámetros Proyección'!$G$14)+IF((AF283/AI283&gt;'Parámetros Proyección'!$G$15),0,'Parámetros Proyección'!$G$15)))</f>
        <v/>
      </c>
      <c r="AB283" s="35">
        <f>Z283+AA283</f>
        <v/>
      </c>
      <c r="AC283" s="35">
        <f>AH282</f>
        <v/>
      </c>
      <c r="AD283" s="35">
        <f>AC283*(1+'Parámetros Proyección'!$E$15)</f>
        <v/>
      </c>
      <c r="AE283" s="35">
        <f>AD283*'Parámetros Proyección'!$F$15</f>
        <v/>
      </c>
      <c r="AF283" s="35">
        <f>AD283+AE283</f>
        <v/>
      </c>
      <c r="AG283" s="35">
        <f>IF((AF283/AI283&gt;'Parámetros Proyección'!$G$15),0,D283*'Parámetros Proyección'!$G$15/(IF((H283/AI283&gt;'Parámetros Proyección'!$G$11),0,'Parámetros Proyección'!$G$11)+IF((N283/AI283&gt;'Parámetros Proyección'!$G$12),0,'Parámetros Proyección'!$G$12)+IF((T283/AI283&gt;'Parámetros Proyección'!$G$13),0,'Parámetros Proyección'!$G$13)+IF((Z283/AI283&gt;'Parámetros Proyección'!$G$14),0,'Parámetros Proyección'!$G$14)+IF((AF283/AI283&gt;'Parámetros Proyección'!$G$15),0,'Parámetros Proyección'!$G$15)))</f>
        <v/>
      </c>
      <c r="AH283" s="35">
        <f>AF283+AG283</f>
        <v/>
      </c>
      <c r="AI283" s="35">
        <f>H283+N283+T283+Z283+AF283</f>
        <v/>
      </c>
      <c r="AJ283" s="33">
        <f>AF283/AI283</f>
        <v/>
      </c>
      <c r="AK283">
        <f>IF(AJ283&gt;'Parámetros Proyección'!$B$5,1,0)</f>
        <v/>
      </c>
      <c r="AL283" s="35">
        <f>G283+M283+S283+Y283+AE283</f>
        <v/>
      </c>
      <c r="AM283" s="35">
        <f>AM282+D283</f>
        <v/>
      </c>
      <c r="AN283" s="35">
        <f>AN282+AL283</f>
        <v/>
      </c>
      <c r="AO283" s="35">
        <f>J283+P283+V283+AB283+AH283</f>
        <v/>
      </c>
    </row>
    <row r="284">
      <c r="A284" t="n">
        <v>281</v>
      </c>
      <c r="B284" s="34">
        <f>EDATE(B283,1)</f>
        <v/>
      </c>
      <c r="C284">
        <f>YEAR(B284)</f>
        <v/>
      </c>
      <c r="D284" s="35">
        <f>'Parámetros Proyección'!$B$3*(1+'Parámetros Proyección'!$B$4)^(C284-YEAR('Parámetros Proyección'!$B$6))</f>
        <v/>
      </c>
      <c r="E284" s="35">
        <f>J283</f>
        <v/>
      </c>
      <c r="F284" s="35">
        <f>E284*(1+'Parámetros Proyección'!$E$11)</f>
        <v/>
      </c>
      <c r="G284" s="35">
        <f>F284*'Parámetros Proyección'!$F$11</f>
        <v/>
      </c>
      <c r="H284" s="35">
        <f>F284+G284</f>
        <v/>
      </c>
      <c r="I284" s="35">
        <f>IF((H284/AI284&gt;'Parámetros Proyección'!$G$11),0,D284*'Parámetros Proyección'!$G$11/(IF((H284/AI284&gt;'Parámetros Proyección'!$G$11),0,'Parámetros Proyección'!$G$11)+IF((N284/AI284&gt;'Parámetros Proyección'!$G$12),0,'Parámetros Proyección'!$G$12)+IF((T284/AI284&gt;'Parámetros Proyección'!$G$13),0,'Parámetros Proyección'!$G$13)+IF((Z284/AI284&gt;'Parámetros Proyección'!$G$14),0,'Parámetros Proyección'!$G$14)+IF((AF284/AI284&gt;'Parámetros Proyección'!$G$15),0,'Parámetros Proyección'!$G$15)))</f>
        <v/>
      </c>
      <c r="J284" s="35">
        <f>H284+I284</f>
        <v/>
      </c>
      <c r="K284" s="35">
        <f>P283</f>
        <v/>
      </c>
      <c r="L284" s="35">
        <f>K284*(1+'Parámetros Proyección'!$E$12)</f>
        <v/>
      </c>
      <c r="M284" s="35">
        <f>L284*'Parámetros Proyección'!$F$12</f>
        <v/>
      </c>
      <c r="N284" s="35">
        <f>L284+M284</f>
        <v/>
      </c>
      <c r="O284" s="35">
        <f>IF((N284/AI284&gt;'Parámetros Proyección'!$G$12),0,D284*'Parámetros Proyección'!$G$12/(IF((H284/AI284&gt;'Parámetros Proyección'!$G$11),0,'Parámetros Proyección'!$G$11)+IF((N284/AI284&gt;'Parámetros Proyección'!$G$12),0,'Parámetros Proyección'!$G$12)+IF((T284/AI284&gt;'Parámetros Proyección'!$G$13),0,'Parámetros Proyección'!$G$13)+IF((Z284/AI284&gt;'Parámetros Proyección'!$G$14),0,'Parámetros Proyección'!$G$14)+IF((AF284/AI284&gt;'Parámetros Proyección'!$G$15),0,'Parámetros Proyección'!$G$15)))</f>
        <v/>
      </c>
      <c r="P284" s="35">
        <f>N284+O284</f>
        <v/>
      </c>
      <c r="Q284" s="35">
        <f>V283</f>
        <v/>
      </c>
      <c r="R284" s="35">
        <f>Q284*(1+'Parámetros Proyección'!$E$13)</f>
        <v/>
      </c>
      <c r="S284" s="35">
        <f>R284*'Parámetros Proyección'!$F$13</f>
        <v/>
      </c>
      <c r="T284" s="35">
        <f>R284+S284</f>
        <v/>
      </c>
      <c r="U284" s="35">
        <f>IF((T284/AI284&gt;'Parámetros Proyección'!$G$13),0,D284*'Parámetros Proyección'!$G$13/(IF((H284/AI284&gt;'Parámetros Proyección'!$G$11),0,'Parámetros Proyección'!$G$11)+IF((N284/AI284&gt;'Parámetros Proyección'!$G$12),0,'Parámetros Proyección'!$G$12)+IF((T284/AI284&gt;'Parámetros Proyección'!$G$13),0,'Parámetros Proyección'!$G$13)+IF((Z284/AI284&gt;'Parámetros Proyección'!$G$14),0,'Parámetros Proyección'!$G$14)+IF((AF284/AI284&gt;'Parámetros Proyección'!$G$15),0,'Parámetros Proyección'!$G$15)))</f>
        <v/>
      </c>
      <c r="V284" s="35">
        <f>T284+U284</f>
        <v/>
      </c>
      <c r="W284" s="35">
        <f>AB283</f>
        <v/>
      </c>
      <c r="X284" s="35">
        <f>W284*(1+'Parámetros Proyección'!$E$14)</f>
        <v/>
      </c>
      <c r="Y284" s="35">
        <f>X284*'Parámetros Proyección'!$F$14</f>
        <v/>
      </c>
      <c r="Z284" s="35">
        <f>X284+Y284</f>
        <v/>
      </c>
      <c r="AA284" s="35">
        <f>IF((Z284/AI284&gt;'Parámetros Proyección'!$G$14),0,D284*'Parámetros Proyección'!$G$14/(IF((H284/AI284&gt;'Parámetros Proyección'!$G$11),0,'Parámetros Proyección'!$G$11)+IF((N284/AI284&gt;'Parámetros Proyección'!$G$12),0,'Parámetros Proyección'!$G$12)+IF((T284/AI284&gt;'Parámetros Proyección'!$G$13),0,'Parámetros Proyección'!$G$13)+IF((Z284/AI284&gt;'Parámetros Proyección'!$G$14),0,'Parámetros Proyección'!$G$14)+IF((AF284/AI284&gt;'Parámetros Proyección'!$G$15),0,'Parámetros Proyección'!$G$15)))</f>
        <v/>
      </c>
      <c r="AB284" s="35">
        <f>Z284+AA284</f>
        <v/>
      </c>
      <c r="AC284" s="35">
        <f>AH283</f>
        <v/>
      </c>
      <c r="AD284" s="35">
        <f>AC284*(1+'Parámetros Proyección'!$E$15)</f>
        <v/>
      </c>
      <c r="AE284" s="35">
        <f>AD284*'Parámetros Proyección'!$F$15</f>
        <v/>
      </c>
      <c r="AF284" s="35">
        <f>AD284+AE284</f>
        <v/>
      </c>
      <c r="AG284" s="35">
        <f>IF((AF284/AI284&gt;'Parámetros Proyección'!$G$15),0,D284*'Parámetros Proyección'!$G$15/(IF((H284/AI284&gt;'Parámetros Proyección'!$G$11),0,'Parámetros Proyección'!$G$11)+IF((N284/AI284&gt;'Parámetros Proyección'!$G$12),0,'Parámetros Proyección'!$G$12)+IF((T284/AI284&gt;'Parámetros Proyección'!$G$13),0,'Parámetros Proyección'!$G$13)+IF((Z284/AI284&gt;'Parámetros Proyección'!$G$14),0,'Parámetros Proyección'!$G$14)+IF((AF284/AI284&gt;'Parámetros Proyección'!$G$15),0,'Parámetros Proyección'!$G$15)))</f>
        <v/>
      </c>
      <c r="AH284" s="35">
        <f>AF284+AG284</f>
        <v/>
      </c>
      <c r="AI284" s="35">
        <f>H284+N284+T284+Z284+AF284</f>
        <v/>
      </c>
      <c r="AJ284" s="33">
        <f>AF284/AI284</f>
        <v/>
      </c>
      <c r="AK284">
        <f>IF(AJ284&gt;'Parámetros Proyección'!$B$5,1,0)</f>
        <v/>
      </c>
      <c r="AL284" s="35">
        <f>G284+M284+S284+Y284+AE284</f>
        <v/>
      </c>
      <c r="AM284" s="35">
        <f>AM283+D284</f>
        <v/>
      </c>
      <c r="AN284" s="35">
        <f>AN283+AL284</f>
        <v/>
      </c>
      <c r="AO284" s="35">
        <f>J284+P284+V284+AB284+AH284</f>
        <v/>
      </c>
    </row>
    <row r="285">
      <c r="A285" t="n">
        <v>282</v>
      </c>
      <c r="B285" s="34">
        <f>EDATE(B284,1)</f>
        <v/>
      </c>
      <c r="C285">
        <f>YEAR(B285)</f>
        <v/>
      </c>
      <c r="D285" s="35">
        <f>'Parámetros Proyección'!$B$3*(1+'Parámetros Proyección'!$B$4)^(C285-YEAR('Parámetros Proyección'!$B$6))</f>
        <v/>
      </c>
      <c r="E285" s="35">
        <f>J284</f>
        <v/>
      </c>
      <c r="F285" s="35">
        <f>E285*(1+'Parámetros Proyección'!$E$11)</f>
        <v/>
      </c>
      <c r="G285" s="35">
        <f>F285*'Parámetros Proyección'!$F$11</f>
        <v/>
      </c>
      <c r="H285" s="35">
        <f>F285+G285</f>
        <v/>
      </c>
      <c r="I285" s="35">
        <f>IF((H285/AI285&gt;'Parámetros Proyección'!$G$11),0,D285*'Parámetros Proyección'!$G$11/(IF((H285/AI285&gt;'Parámetros Proyección'!$G$11),0,'Parámetros Proyección'!$G$11)+IF((N285/AI285&gt;'Parámetros Proyección'!$G$12),0,'Parámetros Proyección'!$G$12)+IF((T285/AI285&gt;'Parámetros Proyección'!$G$13),0,'Parámetros Proyección'!$G$13)+IF((Z285/AI285&gt;'Parámetros Proyección'!$G$14),0,'Parámetros Proyección'!$G$14)+IF((AF285/AI285&gt;'Parámetros Proyección'!$G$15),0,'Parámetros Proyección'!$G$15)))</f>
        <v/>
      </c>
      <c r="J285" s="35">
        <f>H285+I285</f>
        <v/>
      </c>
      <c r="K285" s="35">
        <f>P284</f>
        <v/>
      </c>
      <c r="L285" s="35">
        <f>K285*(1+'Parámetros Proyección'!$E$12)</f>
        <v/>
      </c>
      <c r="M285" s="35">
        <f>L285*'Parámetros Proyección'!$F$12</f>
        <v/>
      </c>
      <c r="N285" s="35">
        <f>L285+M285</f>
        <v/>
      </c>
      <c r="O285" s="35">
        <f>IF((N285/AI285&gt;'Parámetros Proyección'!$G$12),0,D285*'Parámetros Proyección'!$G$12/(IF((H285/AI285&gt;'Parámetros Proyección'!$G$11),0,'Parámetros Proyección'!$G$11)+IF((N285/AI285&gt;'Parámetros Proyección'!$G$12),0,'Parámetros Proyección'!$G$12)+IF((T285/AI285&gt;'Parámetros Proyección'!$G$13),0,'Parámetros Proyección'!$G$13)+IF((Z285/AI285&gt;'Parámetros Proyección'!$G$14),0,'Parámetros Proyección'!$G$14)+IF((AF285/AI285&gt;'Parámetros Proyección'!$G$15),0,'Parámetros Proyección'!$G$15)))</f>
        <v/>
      </c>
      <c r="P285" s="35">
        <f>N285+O285</f>
        <v/>
      </c>
      <c r="Q285" s="35">
        <f>V284</f>
        <v/>
      </c>
      <c r="R285" s="35">
        <f>Q285*(1+'Parámetros Proyección'!$E$13)</f>
        <v/>
      </c>
      <c r="S285" s="35">
        <f>R285*'Parámetros Proyección'!$F$13</f>
        <v/>
      </c>
      <c r="T285" s="35">
        <f>R285+S285</f>
        <v/>
      </c>
      <c r="U285" s="35">
        <f>IF((T285/AI285&gt;'Parámetros Proyección'!$G$13),0,D285*'Parámetros Proyección'!$G$13/(IF((H285/AI285&gt;'Parámetros Proyección'!$G$11),0,'Parámetros Proyección'!$G$11)+IF((N285/AI285&gt;'Parámetros Proyección'!$G$12),0,'Parámetros Proyección'!$G$12)+IF((T285/AI285&gt;'Parámetros Proyección'!$G$13),0,'Parámetros Proyección'!$G$13)+IF((Z285/AI285&gt;'Parámetros Proyección'!$G$14),0,'Parámetros Proyección'!$G$14)+IF((AF285/AI285&gt;'Parámetros Proyección'!$G$15),0,'Parámetros Proyección'!$G$15)))</f>
        <v/>
      </c>
      <c r="V285" s="35">
        <f>T285+U285</f>
        <v/>
      </c>
      <c r="W285" s="35">
        <f>AB284</f>
        <v/>
      </c>
      <c r="X285" s="35">
        <f>W285*(1+'Parámetros Proyección'!$E$14)</f>
        <v/>
      </c>
      <c r="Y285" s="35">
        <f>X285*'Parámetros Proyección'!$F$14</f>
        <v/>
      </c>
      <c r="Z285" s="35">
        <f>X285+Y285</f>
        <v/>
      </c>
      <c r="AA285" s="35">
        <f>IF((Z285/AI285&gt;'Parámetros Proyección'!$G$14),0,D285*'Parámetros Proyección'!$G$14/(IF((H285/AI285&gt;'Parámetros Proyección'!$G$11),0,'Parámetros Proyección'!$G$11)+IF((N285/AI285&gt;'Parámetros Proyección'!$G$12),0,'Parámetros Proyección'!$G$12)+IF((T285/AI285&gt;'Parámetros Proyección'!$G$13),0,'Parámetros Proyección'!$G$13)+IF((Z285/AI285&gt;'Parámetros Proyección'!$G$14),0,'Parámetros Proyección'!$G$14)+IF((AF285/AI285&gt;'Parámetros Proyección'!$G$15),0,'Parámetros Proyección'!$G$15)))</f>
        <v/>
      </c>
      <c r="AB285" s="35">
        <f>Z285+AA285</f>
        <v/>
      </c>
      <c r="AC285" s="35">
        <f>AH284</f>
        <v/>
      </c>
      <c r="AD285" s="35">
        <f>AC285*(1+'Parámetros Proyección'!$E$15)</f>
        <v/>
      </c>
      <c r="AE285" s="35">
        <f>AD285*'Parámetros Proyección'!$F$15</f>
        <v/>
      </c>
      <c r="AF285" s="35">
        <f>AD285+AE285</f>
        <v/>
      </c>
      <c r="AG285" s="35">
        <f>IF((AF285/AI285&gt;'Parámetros Proyección'!$G$15),0,D285*'Parámetros Proyección'!$G$15/(IF((H285/AI285&gt;'Parámetros Proyección'!$G$11),0,'Parámetros Proyección'!$G$11)+IF((N285/AI285&gt;'Parámetros Proyección'!$G$12),0,'Parámetros Proyección'!$G$12)+IF((T285/AI285&gt;'Parámetros Proyección'!$G$13),0,'Parámetros Proyección'!$G$13)+IF((Z285/AI285&gt;'Parámetros Proyección'!$G$14),0,'Parámetros Proyección'!$G$14)+IF((AF285/AI285&gt;'Parámetros Proyección'!$G$15),0,'Parámetros Proyección'!$G$15)))</f>
        <v/>
      </c>
      <c r="AH285" s="35">
        <f>AF285+AG285</f>
        <v/>
      </c>
      <c r="AI285" s="35">
        <f>H285+N285+T285+Z285+AF285</f>
        <v/>
      </c>
      <c r="AJ285" s="33">
        <f>AF285/AI285</f>
        <v/>
      </c>
      <c r="AK285">
        <f>IF(AJ285&gt;'Parámetros Proyección'!$B$5,1,0)</f>
        <v/>
      </c>
      <c r="AL285" s="35">
        <f>G285+M285+S285+Y285+AE285</f>
        <v/>
      </c>
      <c r="AM285" s="35">
        <f>AM284+D285</f>
        <v/>
      </c>
      <c r="AN285" s="35">
        <f>AN284+AL285</f>
        <v/>
      </c>
      <c r="AO285" s="35">
        <f>J285+P285+V285+AB285+AH285</f>
        <v/>
      </c>
    </row>
    <row r="286">
      <c r="A286" t="n">
        <v>283</v>
      </c>
      <c r="B286" s="34">
        <f>EDATE(B285,1)</f>
        <v/>
      </c>
      <c r="C286">
        <f>YEAR(B286)</f>
        <v/>
      </c>
      <c r="D286" s="35">
        <f>'Parámetros Proyección'!$B$3*(1+'Parámetros Proyección'!$B$4)^(C286-YEAR('Parámetros Proyección'!$B$6))</f>
        <v/>
      </c>
      <c r="E286" s="35">
        <f>J285</f>
        <v/>
      </c>
      <c r="F286" s="35">
        <f>E286*(1+'Parámetros Proyección'!$E$11)</f>
        <v/>
      </c>
      <c r="G286" s="35">
        <f>F286*'Parámetros Proyección'!$F$11</f>
        <v/>
      </c>
      <c r="H286" s="35">
        <f>F286+G286</f>
        <v/>
      </c>
      <c r="I286" s="35">
        <f>IF((H286/AI286&gt;'Parámetros Proyección'!$G$11),0,D286*'Parámetros Proyección'!$G$11/(IF((H286/AI286&gt;'Parámetros Proyección'!$G$11),0,'Parámetros Proyección'!$G$11)+IF((N286/AI286&gt;'Parámetros Proyección'!$G$12),0,'Parámetros Proyección'!$G$12)+IF((T286/AI286&gt;'Parámetros Proyección'!$G$13),0,'Parámetros Proyección'!$G$13)+IF((Z286/AI286&gt;'Parámetros Proyección'!$G$14),0,'Parámetros Proyección'!$G$14)+IF((AF286/AI286&gt;'Parámetros Proyección'!$G$15),0,'Parámetros Proyección'!$G$15)))</f>
        <v/>
      </c>
      <c r="J286" s="35">
        <f>H286+I286</f>
        <v/>
      </c>
      <c r="K286" s="35">
        <f>P285</f>
        <v/>
      </c>
      <c r="L286" s="35">
        <f>K286*(1+'Parámetros Proyección'!$E$12)</f>
        <v/>
      </c>
      <c r="M286" s="35">
        <f>L286*'Parámetros Proyección'!$F$12</f>
        <v/>
      </c>
      <c r="N286" s="35">
        <f>L286+M286</f>
        <v/>
      </c>
      <c r="O286" s="35">
        <f>IF((N286/AI286&gt;'Parámetros Proyección'!$G$12),0,D286*'Parámetros Proyección'!$G$12/(IF((H286/AI286&gt;'Parámetros Proyección'!$G$11),0,'Parámetros Proyección'!$G$11)+IF((N286/AI286&gt;'Parámetros Proyección'!$G$12),0,'Parámetros Proyección'!$G$12)+IF((T286/AI286&gt;'Parámetros Proyección'!$G$13),0,'Parámetros Proyección'!$G$13)+IF((Z286/AI286&gt;'Parámetros Proyección'!$G$14),0,'Parámetros Proyección'!$G$14)+IF((AF286/AI286&gt;'Parámetros Proyección'!$G$15),0,'Parámetros Proyección'!$G$15)))</f>
        <v/>
      </c>
      <c r="P286" s="35">
        <f>N286+O286</f>
        <v/>
      </c>
      <c r="Q286" s="35">
        <f>V285</f>
        <v/>
      </c>
      <c r="R286" s="35">
        <f>Q286*(1+'Parámetros Proyección'!$E$13)</f>
        <v/>
      </c>
      <c r="S286" s="35">
        <f>R286*'Parámetros Proyección'!$F$13</f>
        <v/>
      </c>
      <c r="T286" s="35">
        <f>R286+S286</f>
        <v/>
      </c>
      <c r="U286" s="35">
        <f>IF((T286/AI286&gt;'Parámetros Proyección'!$G$13),0,D286*'Parámetros Proyección'!$G$13/(IF((H286/AI286&gt;'Parámetros Proyección'!$G$11),0,'Parámetros Proyección'!$G$11)+IF((N286/AI286&gt;'Parámetros Proyección'!$G$12),0,'Parámetros Proyección'!$G$12)+IF((T286/AI286&gt;'Parámetros Proyección'!$G$13),0,'Parámetros Proyección'!$G$13)+IF((Z286/AI286&gt;'Parámetros Proyección'!$G$14),0,'Parámetros Proyección'!$G$14)+IF((AF286/AI286&gt;'Parámetros Proyección'!$G$15),0,'Parámetros Proyección'!$G$15)))</f>
        <v/>
      </c>
      <c r="V286" s="35">
        <f>T286+U286</f>
        <v/>
      </c>
      <c r="W286" s="35">
        <f>AB285</f>
        <v/>
      </c>
      <c r="X286" s="35">
        <f>W286*(1+'Parámetros Proyección'!$E$14)</f>
        <v/>
      </c>
      <c r="Y286" s="35">
        <f>X286*'Parámetros Proyección'!$F$14</f>
        <v/>
      </c>
      <c r="Z286" s="35">
        <f>X286+Y286</f>
        <v/>
      </c>
      <c r="AA286" s="35">
        <f>IF((Z286/AI286&gt;'Parámetros Proyección'!$G$14),0,D286*'Parámetros Proyección'!$G$14/(IF((H286/AI286&gt;'Parámetros Proyección'!$G$11),0,'Parámetros Proyección'!$G$11)+IF((N286/AI286&gt;'Parámetros Proyección'!$G$12),0,'Parámetros Proyección'!$G$12)+IF((T286/AI286&gt;'Parámetros Proyección'!$G$13),0,'Parámetros Proyección'!$G$13)+IF((Z286/AI286&gt;'Parámetros Proyección'!$G$14),0,'Parámetros Proyección'!$G$14)+IF((AF286/AI286&gt;'Parámetros Proyección'!$G$15),0,'Parámetros Proyección'!$G$15)))</f>
        <v/>
      </c>
      <c r="AB286" s="35">
        <f>Z286+AA286</f>
        <v/>
      </c>
      <c r="AC286" s="35">
        <f>AH285</f>
        <v/>
      </c>
      <c r="AD286" s="35">
        <f>AC286*(1+'Parámetros Proyección'!$E$15)</f>
        <v/>
      </c>
      <c r="AE286" s="35">
        <f>AD286*'Parámetros Proyección'!$F$15</f>
        <v/>
      </c>
      <c r="AF286" s="35">
        <f>AD286+AE286</f>
        <v/>
      </c>
      <c r="AG286" s="35">
        <f>IF((AF286/AI286&gt;'Parámetros Proyección'!$G$15),0,D286*'Parámetros Proyección'!$G$15/(IF((H286/AI286&gt;'Parámetros Proyección'!$G$11),0,'Parámetros Proyección'!$G$11)+IF((N286/AI286&gt;'Parámetros Proyección'!$G$12),0,'Parámetros Proyección'!$G$12)+IF((T286/AI286&gt;'Parámetros Proyección'!$G$13),0,'Parámetros Proyección'!$G$13)+IF((Z286/AI286&gt;'Parámetros Proyección'!$G$14),0,'Parámetros Proyección'!$G$14)+IF((AF286/AI286&gt;'Parámetros Proyección'!$G$15),0,'Parámetros Proyección'!$G$15)))</f>
        <v/>
      </c>
      <c r="AH286" s="35">
        <f>AF286+AG286</f>
        <v/>
      </c>
      <c r="AI286" s="35">
        <f>H286+N286+T286+Z286+AF286</f>
        <v/>
      </c>
      <c r="AJ286" s="33">
        <f>AF286/AI286</f>
        <v/>
      </c>
      <c r="AK286">
        <f>IF(AJ286&gt;'Parámetros Proyección'!$B$5,1,0)</f>
        <v/>
      </c>
      <c r="AL286" s="35">
        <f>G286+M286+S286+Y286+AE286</f>
        <v/>
      </c>
      <c r="AM286" s="35">
        <f>AM285+D286</f>
        <v/>
      </c>
      <c r="AN286" s="35">
        <f>AN285+AL286</f>
        <v/>
      </c>
      <c r="AO286" s="35">
        <f>J286+P286+V286+AB286+AH286</f>
        <v/>
      </c>
    </row>
    <row r="287">
      <c r="A287" t="n">
        <v>284</v>
      </c>
      <c r="B287" s="34">
        <f>EDATE(B286,1)</f>
        <v/>
      </c>
      <c r="C287">
        <f>YEAR(B287)</f>
        <v/>
      </c>
      <c r="D287" s="35">
        <f>'Parámetros Proyección'!$B$3*(1+'Parámetros Proyección'!$B$4)^(C287-YEAR('Parámetros Proyección'!$B$6))</f>
        <v/>
      </c>
      <c r="E287" s="35">
        <f>J286</f>
        <v/>
      </c>
      <c r="F287" s="35">
        <f>E287*(1+'Parámetros Proyección'!$E$11)</f>
        <v/>
      </c>
      <c r="G287" s="35">
        <f>F287*'Parámetros Proyección'!$F$11</f>
        <v/>
      </c>
      <c r="H287" s="35">
        <f>F287+G287</f>
        <v/>
      </c>
      <c r="I287" s="35">
        <f>IF((H287/AI287&gt;'Parámetros Proyección'!$G$11),0,D287*'Parámetros Proyección'!$G$11/(IF((H287/AI287&gt;'Parámetros Proyección'!$G$11),0,'Parámetros Proyección'!$G$11)+IF((N287/AI287&gt;'Parámetros Proyección'!$G$12),0,'Parámetros Proyección'!$G$12)+IF((T287/AI287&gt;'Parámetros Proyección'!$G$13),0,'Parámetros Proyección'!$G$13)+IF((Z287/AI287&gt;'Parámetros Proyección'!$G$14),0,'Parámetros Proyección'!$G$14)+IF((AF287/AI287&gt;'Parámetros Proyección'!$G$15),0,'Parámetros Proyección'!$G$15)))</f>
        <v/>
      </c>
      <c r="J287" s="35">
        <f>H287+I287</f>
        <v/>
      </c>
      <c r="K287" s="35">
        <f>P286</f>
        <v/>
      </c>
      <c r="L287" s="35">
        <f>K287*(1+'Parámetros Proyección'!$E$12)</f>
        <v/>
      </c>
      <c r="M287" s="35">
        <f>L287*'Parámetros Proyección'!$F$12</f>
        <v/>
      </c>
      <c r="N287" s="35">
        <f>L287+M287</f>
        <v/>
      </c>
      <c r="O287" s="35">
        <f>IF((N287/AI287&gt;'Parámetros Proyección'!$G$12),0,D287*'Parámetros Proyección'!$G$12/(IF((H287/AI287&gt;'Parámetros Proyección'!$G$11),0,'Parámetros Proyección'!$G$11)+IF((N287/AI287&gt;'Parámetros Proyección'!$G$12),0,'Parámetros Proyección'!$G$12)+IF((T287/AI287&gt;'Parámetros Proyección'!$G$13),0,'Parámetros Proyección'!$G$13)+IF((Z287/AI287&gt;'Parámetros Proyección'!$G$14),0,'Parámetros Proyección'!$G$14)+IF((AF287/AI287&gt;'Parámetros Proyección'!$G$15),0,'Parámetros Proyección'!$G$15)))</f>
        <v/>
      </c>
      <c r="P287" s="35">
        <f>N287+O287</f>
        <v/>
      </c>
      <c r="Q287" s="35">
        <f>V286</f>
        <v/>
      </c>
      <c r="R287" s="35">
        <f>Q287*(1+'Parámetros Proyección'!$E$13)</f>
        <v/>
      </c>
      <c r="S287" s="35">
        <f>R287*'Parámetros Proyección'!$F$13</f>
        <v/>
      </c>
      <c r="T287" s="35">
        <f>R287+S287</f>
        <v/>
      </c>
      <c r="U287" s="35">
        <f>IF((T287/AI287&gt;'Parámetros Proyección'!$G$13),0,D287*'Parámetros Proyección'!$G$13/(IF((H287/AI287&gt;'Parámetros Proyección'!$G$11),0,'Parámetros Proyección'!$G$11)+IF((N287/AI287&gt;'Parámetros Proyección'!$G$12),0,'Parámetros Proyección'!$G$12)+IF((T287/AI287&gt;'Parámetros Proyección'!$G$13),0,'Parámetros Proyección'!$G$13)+IF((Z287/AI287&gt;'Parámetros Proyección'!$G$14),0,'Parámetros Proyección'!$G$14)+IF((AF287/AI287&gt;'Parámetros Proyección'!$G$15),0,'Parámetros Proyección'!$G$15)))</f>
        <v/>
      </c>
      <c r="V287" s="35">
        <f>T287+U287</f>
        <v/>
      </c>
      <c r="W287" s="35">
        <f>AB286</f>
        <v/>
      </c>
      <c r="X287" s="35">
        <f>W287*(1+'Parámetros Proyección'!$E$14)</f>
        <v/>
      </c>
      <c r="Y287" s="35">
        <f>X287*'Parámetros Proyección'!$F$14</f>
        <v/>
      </c>
      <c r="Z287" s="35">
        <f>X287+Y287</f>
        <v/>
      </c>
      <c r="AA287" s="35">
        <f>IF((Z287/AI287&gt;'Parámetros Proyección'!$G$14),0,D287*'Parámetros Proyección'!$G$14/(IF((H287/AI287&gt;'Parámetros Proyección'!$G$11),0,'Parámetros Proyección'!$G$11)+IF((N287/AI287&gt;'Parámetros Proyección'!$G$12),0,'Parámetros Proyección'!$G$12)+IF((T287/AI287&gt;'Parámetros Proyección'!$G$13),0,'Parámetros Proyección'!$G$13)+IF((Z287/AI287&gt;'Parámetros Proyección'!$G$14),0,'Parámetros Proyección'!$G$14)+IF((AF287/AI287&gt;'Parámetros Proyección'!$G$15),0,'Parámetros Proyección'!$G$15)))</f>
        <v/>
      </c>
      <c r="AB287" s="35">
        <f>Z287+AA287</f>
        <v/>
      </c>
      <c r="AC287" s="35">
        <f>AH286</f>
        <v/>
      </c>
      <c r="AD287" s="35">
        <f>AC287*(1+'Parámetros Proyección'!$E$15)</f>
        <v/>
      </c>
      <c r="AE287" s="35">
        <f>AD287*'Parámetros Proyección'!$F$15</f>
        <v/>
      </c>
      <c r="AF287" s="35">
        <f>AD287+AE287</f>
        <v/>
      </c>
      <c r="AG287" s="35">
        <f>IF((AF287/AI287&gt;'Parámetros Proyección'!$G$15),0,D287*'Parámetros Proyección'!$G$15/(IF((H287/AI287&gt;'Parámetros Proyección'!$G$11),0,'Parámetros Proyección'!$G$11)+IF((N287/AI287&gt;'Parámetros Proyección'!$G$12),0,'Parámetros Proyección'!$G$12)+IF((T287/AI287&gt;'Parámetros Proyección'!$G$13),0,'Parámetros Proyección'!$G$13)+IF((Z287/AI287&gt;'Parámetros Proyección'!$G$14),0,'Parámetros Proyección'!$G$14)+IF((AF287/AI287&gt;'Parámetros Proyección'!$G$15),0,'Parámetros Proyección'!$G$15)))</f>
        <v/>
      </c>
      <c r="AH287" s="35">
        <f>AF287+AG287</f>
        <v/>
      </c>
      <c r="AI287" s="35">
        <f>H287+N287+T287+Z287+AF287</f>
        <v/>
      </c>
      <c r="AJ287" s="33">
        <f>AF287/AI287</f>
        <v/>
      </c>
      <c r="AK287">
        <f>IF(AJ287&gt;'Parámetros Proyección'!$B$5,1,0)</f>
        <v/>
      </c>
      <c r="AL287" s="35">
        <f>G287+M287+S287+Y287+AE287</f>
        <v/>
      </c>
      <c r="AM287" s="35">
        <f>AM286+D287</f>
        <v/>
      </c>
      <c r="AN287" s="35">
        <f>AN286+AL287</f>
        <v/>
      </c>
      <c r="AO287" s="35">
        <f>J287+P287+V287+AB287+AH287</f>
        <v/>
      </c>
    </row>
    <row r="288">
      <c r="A288" t="n">
        <v>285</v>
      </c>
      <c r="B288" s="34">
        <f>EDATE(B287,1)</f>
        <v/>
      </c>
      <c r="C288">
        <f>YEAR(B288)</f>
        <v/>
      </c>
      <c r="D288" s="35">
        <f>'Parámetros Proyección'!$B$3*(1+'Parámetros Proyección'!$B$4)^(C288-YEAR('Parámetros Proyección'!$B$6))</f>
        <v/>
      </c>
      <c r="E288" s="35">
        <f>J287</f>
        <v/>
      </c>
      <c r="F288" s="35">
        <f>E288*(1+'Parámetros Proyección'!$E$11)</f>
        <v/>
      </c>
      <c r="G288" s="35">
        <f>F288*'Parámetros Proyección'!$F$11</f>
        <v/>
      </c>
      <c r="H288" s="35">
        <f>F288+G288</f>
        <v/>
      </c>
      <c r="I288" s="35">
        <f>IF((H288/AI288&gt;'Parámetros Proyección'!$G$11),0,D288*'Parámetros Proyección'!$G$11/(IF((H288/AI288&gt;'Parámetros Proyección'!$G$11),0,'Parámetros Proyección'!$G$11)+IF((N288/AI288&gt;'Parámetros Proyección'!$G$12),0,'Parámetros Proyección'!$G$12)+IF((T288/AI288&gt;'Parámetros Proyección'!$G$13),0,'Parámetros Proyección'!$G$13)+IF((Z288/AI288&gt;'Parámetros Proyección'!$G$14),0,'Parámetros Proyección'!$G$14)+IF((AF288/AI288&gt;'Parámetros Proyección'!$G$15),0,'Parámetros Proyección'!$G$15)))</f>
        <v/>
      </c>
      <c r="J288" s="35">
        <f>H288+I288</f>
        <v/>
      </c>
      <c r="K288" s="35">
        <f>P287</f>
        <v/>
      </c>
      <c r="L288" s="35">
        <f>K288*(1+'Parámetros Proyección'!$E$12)</f>
        <v/>
      </c>
      <c r="M288" s="35">
        <f>L288*'Parámetros Proyección'!$F$12</f>
        <v/>
      </c>
      <c r="N288" s="35">
        <f>L288+M288</f>
        <v/>
      </c>
      <c r="O288" s="35">
        <f>IF((N288/AI288&gt;'Parámetros Proyección'!$G$12),0,D288*'Parámetros Proyección'!$G$12/(IF((H288/AI288&gt;'Parámetros Proyección'!$G$11),0,'Parámetros Proyección'!$G$11)+IF((N288/AI288&gt;'Parámetros Proyección'!$G$12),0,'Parámetros Proyección'!$G$12)+IF((T288/AI288&gt;'Parámetros Proyección'!$G$13),0,'Parámetros Proyección'!$G$13)+IF((Z288/AI288&gt;'Parámetros Proyección'!$G$14),0,'Parámetros Proyección'!$G$14)+IF((AF288/AI288&gt;'Parámetros Proyección'!$G$15),0,'Parámetros Proyección'!$G$15)))</f>
        <v/>
      </c>
      <c r="P288" s="35">
        <f>N288+O288</f>
        <v/>
      </c>
      <c r="Q288" s="35">
        <f>V287</f>
        <v/>
      </c>
      <c r="R288" s="35">
        <f>Q288*(1+'Parámetros Proyección'!$E$13)</f>
        <v/>
      </c>
      <c r="S288" s="35">
        <f>R288*'Parámetros Proyección'!$F$13</f>
        <v/>
      </c>
      <c r="T288" s="35">
        <f>R288+S288</f>
        <v/>
      </c>
      <c r="U288" s="35">
        <f>IF((T288/AI288&gt;'Parámetros Proyección'!$G$13),0,D288*'Parámetros Proyección'!$G$13/(IF((H288/AI288&gt;'Parámetros Proyección'!$G$11),0,'Parámetros Proyección'!$G$11)+IF((N288/AI288&gt;'Parámetros Proyección'!$G$12),0,'Parámetros Proyección'!$G$12)+IF((T288/AI288&gt;'Parámetros Proyección'!$G$13),0,'Parámetros Proyección'!$G$13)+IF((Z288/AI288&gt;'Parámetros Proyección'!$G$14),0,'Parámetros Proyección'!$G$14)+IF((AF288/AI288&gt;'Parámetros Proyección'!$G$15),0,'Parámetros Proyección'!$G$15)))</f>
        <v/>
      </c>
      <c r="V288" s="35">
        <f>T288+U288</f>
        <v/>
      </c>
      <c r="W288" s="35">
        <f>AB287</f>
        <v/>
      </c>
      <c r="X288" s="35">
        <f>W288*(1+'Parámetros Proyección'!$E$14)</f>
        <v/>
      </c>
      <c r="Y288" s="35">
        <f>X288*'Parámetros Proyección'!$F$14</f>
        <v/>
      </c>
      <c r="Z288" s="35">
        <f>X288+Y288</f>
        <v/>
      </c>
      <c r="AA288" s="35">
        <f>IF((Z288/AI288&gt;'Parámetros Proyección'!$G$14),0,D288*'Parámetros Proyección'!$G$14/(IF((H288/AI288&gt;'Parámetros Proyección'!$G$11),0,'Parámetros Proyección'!$G$11)+IF((N288/AI288&gt;'Parámetros Proyección'!$G$12),0,'Parámetros Proyección'!$G$12)+IF((T288/AI288&gt;'Parámetros Proyección'!$G$13),0,'Parámetros Proyección'!$G$13)+IF((Z288/AI288&gt;'Parámetros Proyección'!$G$14),0,'Parámetros Proyección'!$G$14)+IF((AF288/AI288&gt;'Parámetros Proyección'!$G$15),0,'Parámetros Proyección'!$G$15)))</f>
        <v/>
      </c>
      <c r="AB288" s="35">
        <f>Z288+AA288</f>
        <v/>
      </c>
      <c r="AC288" s="35">
        <f>AH287</f>
        <v/>
      </c>
      <c r="AD288" s="35">
        <f>AC288*(1+'Parámetros Proyección'!$E$15)</f>
        <v/>
      </c>
      <c r="AE288" s="35">
        <f>AD288*'Parámetros Proyección'!$F$15</f>
        <v/>
      </c>
      <c r="AF288" s="35">
        <f>AD288+AE288</f>
        <v/>
      </c>
      <c r="AG288" s="35">
        <f>IF((AF288/AI288&gt;'Parámetros Proyección'!$G$15),0,D288*'Parámetros Proyección'!$G$15/(IF((H288/AI288&gt;'Parámetros Proyección'!$G$11),0,'Parámetros Proyección'!$G$11)+IF((N288/AI288&gt;'Parámetros Proyección'!$G$12),0,'Parámetros Proyección'!$G$12)+IF((T288/AI288&gt;'Parámetros Proyección'!$G$13),0,'Parámetros Proyección'!$G$13)+IF((Z288/AI288&gt;'Parámetros Proyección'!$G$14),0,'Parámetros Proyección'!$G$14)+IF((AF288/AI288&gt;'Parámetros Proyección'!$G$15),0,'Parámetros Proyección'!$G$15)))</f>
        <v/>
      </c>
      <c r="AH288" s="35">
        <f>AF288+AG288</f>
        <v/>
      </c>
      <c r="AI288" s="35">
        <f>H288+N288+T288+Z288+AF288</f>
        <v/>
      </c>
      <c r="AJ288" s="33">
        <f>AF288/AI288</f>
        <v/>
      </c>
      <c r="AK288">
        <f>IF(AJ288&gt;'Parámetros Proyección'!$B$5,1,0)</f>
        <v/>
      </c>
      <c r="AL288" s="35">
        <f>G288+M288+S288+Y288+AE288</f>
        <v/>
      </c>
      <c r="AM288" s="35">
        <f>AM287+D288</f>
        <v/>
      </c>
      <c r="AN288" s="35">
        <f>AN287+AL288</f>
        <v/>
      </c>
      <c r="AO288" s="35">
        <f>J288+P288+V288+AB288+AH288</f>
        <v/>
      </c>
    </row>
    <row r="289">
      <c r="A289" t="n">
        <v>286</v>
      </c>
      <c r="B289" s="34">
        <f>EDATE(B288,1)</f>
        <v/>
      </c>
      <c r="C289">
        <f>YEAR(B289)</f>
        <v/>
      </c>
      <c r="D289" s="35">
        <f>'Parámetros Proyección'!$B$3*(1+'Parámetros Proyección'!$B$4)^(C289-YEAR('Parámetros Proyección'!$B$6))</f>
        <v/>
      </c>
      <c r="E289" s="35">
        <f>J288</f>
        <v/>
      </c>
      <c r="F289" s="35">
        <f>E289*(1+'Parámetros Proyección'!$E$11)</f>
        <v/>
      </c>
      <c r="G289" s="35">
        <f>F289*'Parámetros Proyección'!$F$11</f>
        <v/>
      </c>
      <c r="H289" s="35">
        <f>F289+G289</f>
        <v/>
      </c>
      <c r="I289" s="35">
        <f>IF((H289/AI289&gt;'Parámetros Proyección'!$G$11),0,D289*'Parámetros Proyección'!$G$11/(IF((H289/AI289&gt;'Parámetros Proyección'!$G$11),0,'Parámetros Proyección'!$G$11)+IF((N289/AI289&gt;'Parámetros Proyección'!$G$12),0,'Parámetros Proyección'!$G$12)+IF((T289/AI289&gt;'Parámetros Proyección'!$G$13),0,'Parámetros Proyección'!$G$13)+IF((Z289/AI289&gt;'Parámetros Proyección'!$G$14),0,'Parámetros Proyección'!$G$14)+IF((AF289/AI289&gt;'Parámetros Proyección'!$G$15),0,'Parámetros Proyección'!$G$15)))</f>
        <v/>
      </c>
      <c r="J289" s="35">
        <f>H289+I289</f>
        <v/>
      </c>
      <c r="K289" s="35">
        <f>P288</f>
        <v/>
      </c>
      <c r="L289" s="35">
        <f>K289*(1+'Parámetros Proyección'!$E$12)</f>
        <v/>
      </c>
      <c r="M289" s="35">
        <f>L289*'Parámetros Proyección'!$F$12</f>
        <v/>
      </c>
      <c r="N289" s="35">
        <f>L289+M289</f>
        <v/>
      </c>
      <c r="O289" s="35">
        <f>IF((N289/AI289&gt;'Parámetros Proyección'!$G$12),0,D289*'Parámetros Proyección'!$G$12/(IF((H289/AI289&gt;'Parámetros Proyección'!$G$11),0,'Parámetros Proyección'!$G$11)+IF((N289/AI289&gt;'Parámetros Proyección'!$G$12),0,'Parámetros Proyección'!$G$12)+IF((T289/AI289&gt;'Parámetros Proyección'!$G$13),0,'Parámetros Proyección'!$G$13)+IF((Z289/AI289&gt;'Parámetros Proyección'!$G$14),0,'Parámetros Proyección'!$G$14)+IF((AF289/AI289&gt;'Parámetros Proyección'!$G$15),0,'Parámetros Proyección'!$G$15)))</f>
        <v/>
      </c>
      <c r="P289" s="35">
        <f>N289+O289</f>
        <v/>
      </c>
      <c r="Q289" s="35">
        <f>V288</f>
        <v/>
      </c>
      <c r="R289" s="35">
        <f>Q289*(1+'Parámetros Proyección'!$E$13)</f>
        <v/>
      </c>
      <c r="S289" s="35">
        <f>R289*'Parámetros Proyección'!$F$13</f>
        <v/>
      </c>
      <c r="T289" s="35">
        <f>R289+S289</f>
        <v/>
      </c>
      <c r="U289" s="35">
        <f>IF((T289/AI289&gt;'Parámetros Proyección'!$G$13),0,D289*'Parámetros Proyección'!$G$13/(IF((H289/AI289&gt;'Parámetros Proyección'!$G$11),0,'Parámetros Proyección'!$G$11)+IF((N289/AI289&gt;'Parámetros Proyección'!$G$12),0,'Parámetros Proyección'!$G$12)+IF((T289/AI289&gt;'Parámetros Proyección'!$G$13),0,'Parámetros Proyección'!$G$13)+IF((Z289/AI289&gt;'Parámetros Proyección'!$G$14),0,'Parámetros Proyección'!$G$14)+IF((AF289/AI289&gt;'Parámetros Proyección'!$G$15),0,'Parámetros Proyección'!$G$15)))</f>
        <v/>
      </c>
      <c r="V289" s="35">
        <f>T289+U289</f>
        <v/>
      </c>
      <c r="W289" s="35">
        <f>AB288</f>
        <v/>
      </c>
      <c r="X289" s="35">
        <f>W289*(1+'Parámetros Proyección'!$E$14)</f>
        <v/>
      </c>
      <c r="Y289" s="35">
        <f>X289*'Parámetros Proyección'!$F$14</f>
        <v/>
      </c>
      <c r="Z289" s="35">
        <f>X289+Y289</f>
        <v/>
      </c>
      <c r="AA289" s="35">
        <f>IF((Z289/AI289&gt;'Parámetros Proyección'!$G$14),0,D289*'Parámetros Proyección'!$G$14/(IF((H289/AI289&gt;'Parámetros Proyección'!$G$11),0,'Parámetros Proyección'!$G$11)+IF((N289/AI289&gt;'Parámetros Proyección'!$G$12),0,'Parámetros Proyección'!$G$12)+IF((T289/AI289&gt;'Parámetros Proyección'!$G$13),0,'Parámetros Proyección'!$G$13)+IF((Z289/AI289&gt;'Parámetros Proyección'!$G$14),0,'Parámetros Proyección'!$G$14)+IF((AF289/AI289&gt;'Parámetros Proyección'!$G$15),0,'Parámetros Proyección'!$G$15)))</f>
        <v/>
      </c>
      <c r="AB289" s="35">
        <f>Z289+AA289</f>
        <v/>
      </c>
      <c r="AC289" s="35">
        <f>AH288</f>
        <v/>
      </c>
      <c r="AD289" s="35">
        <f>AC289*(1+'Parámetros Proyección'!$E$15)</f>
        <v/>
      </c>
      <c r="AE289" s="35">
        <f>AD289*'Parámetros Proyección'!$F$15</f>
        <v/>
      </c>
      <c r="AF289" s="35">
        <f>AD289+AE289</f>
        <v/>
      </c>
      <c r="AG289" s="35">
        <f>IF((AF289/AI289&gt;'Parámetros Proyección'!$G$15),0,D289*'Parámetros Proyección'!$G$15/(IF((H289/AI289&gt;'Parámetros Proyección'!$G$11),0,'Parámetros Proyección'!$G$11)+IF((N289/AI289&gt;'Parámetros Proyección'!$G$12),0,'Parámetros Proyección'!$G$12)+IF((T289/AI289&gt;'Parámetros Proyección'!$G$13),0,'Parámetros Proyección'!$G$13)+IF((Z289/AI289&gt;'Parámetros Proyección'!$G$14),0,'Parámetros Proyección'!$G$14)+IF((AF289/AI289&gt;'Parámetros Proyección'!$G$15),0,'Parámetros Proyección'!$G$15)))</f>
        <v/>
      </c>
      <c r="AH289" s="35">
        <f>AF289+AG289</f>
        <v/>
      </c>
      <c r="AI289" s="35">
        <f>H289+N289+T289+Z289+AF289</f>
        <v/>
      </c>
      <c r="AJ289" s="33">
        <f>AF289/AI289</f>
        <v/>
      </c>
      <c r="AK289">
        <f>IF(AJ289&gt;'Parámetros Proyección'!$B$5,1,0)</f>
        <v/>
      </c>
      <c r="AL289" s="35">
        <f>G289+M289+S289+Y289+AE289</f>
        <v/>
      </c>
      <c r="AM289" s="35">
        <f>AM288+D289</f>
        <v/>
      </c>
      <c r="AN289" s="35">
        <f>AN288+AL289</f>
        <v/>
      </c>
      <c r="AO289" s="35">
        <f>J289+P289+V289+AB289+AH289</f>
        <v/>
      </c>
    </row>
    <row r="290">
      <c r="A290" t="n">
        <v>287</v>
      </c>
      <c r="B290" s="34">
        <f>EDATE(B289,1)</f>
        <v/>
      </c>
      <c r="C290">
        <f>YEAR(B290)</f>
        <v/>
      </c>
      <c r="D290" s="35">
        <f>'Parámetros Proyección'!$B$3*(1+'Parámetros Proyección'!$B$4)^(C290-YEAR('Parámetros Proyección'!$B$6))</f>
        <v/>
      </c>
      <c r="E290" s="35">
        <f>J289</f>
        <v/>
      </c>
      <c r="F290" s="35">
        <f>E290*(1+'Parámetros Proyección'!$E$11)</f>
        <v/>
      </c>
      <c r="G290" s="35">
        <f>F290*'Parámetros Proyección'!$F$11</f>
        <v/>
      </c>
      <c r="H290" s="35">
        <f>F290+G290</f>
        <v/>
      </c>
      <c r="I290" s="35">
        <f>IF((H290/AI290&gt;'Parámetros Proyección'!$G$11),0,D290*'Parámetros Proyección'!$G$11/(IF((H290/AI290&gt;'Parámetros Proyección'!$G$11),0,'Parámetros Proyección'!$G$11)+IF((N290/AI290&gt;'Parámetros Proyección'!$G$12),0,'Parámetros Proyección'!$G$12)+IF((T290/AI290&gt;'Parámetros Proyección'!$G$13),0,'Parámetros Proyección'!$G$13)+IF((Z290/AI290&gt;'Parámetros Proyección'!$G$14),0,'Parámetros Proyección'!$G$14)+IF((AF290/AI290&gt;'Parámetros Proyección'!$G$15),0,'Parámetros Proyección'!$G$15)))</f>
        <v/>
      </c>
      <c r="J290" s="35">
        <f>H290+I290</f>
        <v/>
      </c>
      <c r="K290" s="35">
        <f>P289</f>
        <v/>
      </c>
      <c r="L290" s="35">
        <f>K290*(1+'Parámetros Proyección'!$E$12)</f>
        <v/>
      </c>
      <c r="M290" s="35">
        <f>L290*'Parámetros Proyección'!$F$12</f>
        <v/>
      </c>
      <c r="N290" s="35">
        <f>L290+M290</f>
        <v/>
      </c>
      <c r="O290" s="35">
        <f>IF((N290/AI290&gt;'Parámetros Proyección'!$G$12),0,D290*'Parámetros Proyección'!$G$12/(IF((H290/AI290&gt;'Parámetros Proyección'!$G$11),0,'Parámetros Proyección'!$G$11)+IF((N290/AI290&gt;'Parámetros Proyección'!$G$12),0,'Parámetros Proyección'!$G$12)+IF((T290/AI290&gt;'Parámetros Proyección'!$G$13),0,'Parámetros Proyección'!$G$13)+IF((Z290/AI290&gt;'Parámetros Proyección'!$G$14),0,'Parámetros Proyección'!$G$14)+IF((AF290/AI290&gt;'Parámetros Proyección'!$G$15),0,'Parámetros Proyección'!$G$15)))</f>
        <v/>
      </c>
      <c r="P290" s="35">
        <f>N290+O290</f>
        <v/>
      </c>
      <c r="Q290" s="35">
        <f>V289</f>
        <v/>
      </c>
      <c r="R290" s="35">
        <f>Q290*(1+'Parámetros Proyección'!$E$13)</f>
        <v/>
      </c>
      <c r="S290" s="35">
        <f>R290*'Parámetros Proyección'!$F$13</f>
        <v/>
      </c>
      <c r="T290" s="35">
        <f>R290+S290</f>
        <v/>
      </c>
      <c r="U290" s="35">
        <f>IF((T290/AI290&gt;'Parámetros Proyección'!$G$13),0,D290*'Parámetros Proyección'!$G$13/(IF((H290/AI290&gt;'Parámetros Proyección'!$G$11),0,'Parámetros Proyección'!$G$11)+IF((N290/AI290&gt;'Parámetros Proyección'!$G$12),0,'Parámetros Proyección'!$G$12)+IF((T290/AI290&gt;'Parámetros Proyección'!$G$13),0,'Parámetros Proyección'!$G$13)+IF((Z290/AI290&gt;'Parámetros Proyección'!$G$14),0,'Parámetros Proyección'!$G$14)+IF((AF290/AI290&gt;'Parámetros Proyección'!$G$15),0,'Parámetros Proyección'!$G$15)))</f>
        <v/>
      </c>
      <c r="V290" s="35">
        <f>T290+U290</f>
        <v/>
      </c>
      <c r="W290" s="35">
        <f>AB289</f>
        <v/>
      </c>
      <c r="X290" s="35">
        <f>W290*(1+'Parámetros Proyección'!$E$14)</f>
        <v/>
      </c>
      <c r="Y290" s="35">
        <f>X290*'Parámetros Proyección'!$F$14</f>
        <v/>
      </c>
      <c r="Z290" s="35">
        <f>X290+Y290</f>
        <v/>
      </c>
      <c r="AA290" s="35">
        <f>IF((Z290/AI290&gt;'Parámetros Proyección'!$G$14),0,D290*'Parámetros Proyección'!$G$14/(IF((H290/AI290&gt;'Parámetros Proyección'!$G$11),0,'Parámetros Proyección'!$G$11)+IF((N290/AI290&gt;'Parámetros Proyección'!$G$12),0,'Parámetros Proyección'!$G$12)+IF((T290/AI290&gt;'Parámetros Proyección'!$G$13),0,'Parámetros Proyección'!$G$13)+IF((Z290/AI290&gt;'Parámetros Proyección'!$G$14),0,'Parámetros Proyección'!$G$14)+IF((AF290/AI290&gt;'Parámetros Proyección'!$G$15),0,'Parámetros Proyección'!$G$15)))</f>
        <v/>
      </c>
      <c r="AB290" s="35">
        <f>Z290+AA290</f>
        <v/>
      </c>
      <c r="AC290" s="35">
        <f>AH289</f>
        <v/>
      </c>
      <c r="AD290" s="35">
        <f>AC290*(1+'Parámetros Proyección'!$E$15)</f>
        <v/>
      </c>
      <c r="AE290" s="35">
        <f>AD290*'Parámetros Proyección'!$F$15</f>
        <v/>
      </c>
      <c r="AF290" s="35">
        <f>AD290+AE290</f>
        <v/>
      </c>
      <c r="AG290" s="35">
        <f>IF((AF290/AI290&gt;'Parámetros Proyección'!$G$15),0,D290*'Parámetros Proyección'!$G$15/(IF((H290/AI290&gt;'Parámetros Proyección'!$G$11),0,'Parámetros Proyección'!$G$11)+IF((N290/AI290&gt;'Parámetros Proyección'!$G$12),0,'Parámetros Proyección'!$G$12)+IF((T290/AI290&gt;'Parámetros Proyección'!$G$13),0,'Parámetros Proyección'!$G$13)+IF((Z290/AI290&gt;'Parámetros Proyección'!$G$14),0,'Parámetros Proyección'!$G$14)+IF((AF290/AI290&gt;'Parámetros Proyección'!$G$15),0,'Parámetros Proyección'!$G$15)))</f>
        <v/>
      </c>
      <c r="AH290" s="35">
        <f>AF290+AG290</f>
        <v/>
      </c>
      <c r="AI290" s="35">
        <f>H290+N290+T290+Z290+AF290</f>
        <v/>
      </c>
      <c r="AJ290" s="33">
        <f>AF290/AI290</f>
        <v/>
      </c>
      <c r="AK290">
        <f>IF(AJ290&gt;'Parámetros Proyección'!$B$5,1,0)</f>
        <v/>
      </c>
      <c r="AL290" s="35">
        <f>G290+M290+S290+Y290+AE290</f>
        <v/>
      </c>
      <c r="AM290" s="35">
        <f>AM289+D290</f>
        <v/>
      </c>
      <c r="AN290" s="35">
        <f>AN289+AL290</f>
        <v/>
      </c>
      <c r="AO290" s="35">
        <f>J290+P290+V290+AB290+AH290</f>
        <v/>
      </c>
    </row>
    <row r="291">
      <c r="A291" t="n">
        <v>288</v>
      </c>
      <c r="B291" s="34">
        <f>EDATE(B290,1)</f>
        <v/>
      </c>
      <c r="C291">
        <f>YEAR(B291)</f>
        <v/>
      </c>
      <c r="D291" s="35">
        <f>'Parámetros Proyección'!$B$3*(1+'Parámetros Proyección'!$B$4)^(C291-YEAR('Parámetros Proyección'!$B$6))</f>
        <v/>
      </c>
      <c r="E291" s="35">
        <f>J290</f>
        <v/>
      </c>
      <c r="F291" s="35">
        <f>E291*(1+'Parámetros Proyección'!$E$11)</f>
        <v/>
      </c>
      <c r="G291" s="35">
        <f>F291*'Parámetros Proyección'!$F$11</f>
        <v/>
      </c>
      <c r="H291" s="35">
        <f>F291+G291</f>
        <v/>
      </c>
      <c r="I291" s="35">
        <f>IF((H291/AI291&gt;'Parámetros Proyección'!$G$11),0,D291*'Parámetros Proyección'!$G$11/(IF((H291/AI291&gt;'Parámetros Proyección'!$G$11),0,'Parámetros Proyección'!$G$11)+IF((N291/AI291&gt;'Parámetros Proyección'!$G$12),0,'Parámetros Proyección'!$G$12)+IF((T291/AI291&gt;'Parámetros Proyección'!$G$13),0,'Parámetros Proyección'!$G$13)+IF((Z291/AI291&gt;'Parámetros Proyección'!$G$14),0,'Parámetros Proyección'!$G$14)+IF((AF291/AI291&gt;'Parámetros Proyección'!$G$15),0,'Parámetros Proyección'!$G$15)))</f>
        <v/>
      </c>
      <c r="J291" s="35">
        <f>H291+I291</f>
        <v/>
      </c>
      <c r="K291" s="35">
        <f>P290</f>
        <v/>
      </c>
      <c r="L291" s="35">
        <f>K291*(1+'Parámetros Proyección'!$E$12)</f>
        <v/>
      </c>
      <c r="M291" s="35">
        <f>L291*'Parámetros Proyección'!$F$12</f>
        <v/>
      </c>
      <c r="N291" s="35">
        <f>L291+M291</f>
        <v/>
      </c>
      <c r="O291" s="35">
        <f>IF((N291/AI291&gt;'Parámetros Proyección'!$G$12),0,D291*'Parámetros Proyección'!$G$12/(IF((H291/AI291&gt;'Parámetros Proyección'!$G$11),0,'Parámetros Proyección'!$G$11)+IF((N291/AI291&gt;'Parámetros Proyección'!$G$12),0,'Parámetros Proyección'!$G$12)+IF((T291/AI291&gt;'Parámetros Proyección'!$G$13),0,'Parámetros Proyección'!$G$13)+IF((Z291/AI291&gt;'Parámetros Proyección'!$G$14),0,'Parámetros Proyección'!$G$14)+IF((AF291/AI291&gt;'Parámetros Proyección'!$G$15),0,'Parámetros Proyección'!$G$15)))</f>
        <v/>
      </c>
      <c r="P291" s="35">
        <f>N291+O291</f>
        <v/>
      </c>
      <c r="Q291" s="35">
        <f>V290</f>
        <v/>
      </c>
      <c r="R291" s="35">
        <f>Q291*(1+'Parámetros Proyección'!$E$13)</f>
        <v/>
      </c>
      <c r="S291" s="35">
        <f>R291*'Parámetros Proyección'!$F$13</f>
        <v/>
      </c>
      <c r="T291" s="35">
        <f>R291+S291</f>
        <v/>
      </c>
      <c r="U291" s="35">
        <f>IF((T291/AI291&gt;'Parámetros Proyección'!$G$13),0,D291*'Parámetros Proyección'!$G$13/(IF((H291/AI291&gt;'Parámetros Proyección'!$G$11),0,'Parámetros Proyección'!$G$11)+IF((N291/AI291&gt;'Parámetros Proyección'!$G$12),0,'Parámetros Proyección'!$G$12)+IF((T291/AI291&gt;'Parámetros Proyección'!$G$13),0,'Parámetros Proyección'!$G$13)+IF((Z291/AI291&gt;'Parámetros Proyección'!$G$14),0,'Parámetros Proyección'!$G$14)+IF((AF291/AI291&gt;'Parámetros Proyección'!$G$15),0,'Parámetros Proyección'!$G$15)))</f>
        <v/>
      </c>
      <c r="V291" s="35">
        <f>T291+U291</f>
        <v/>
      </c>
      <c r="W291" s="35">
        <f>AB290</f>
        <v/>
      </c>
      <c r="X291" s="35">
        <f>W291*(1+'Parámetros Proyección'!$E$14)</f>
        <v/>
      </c>
      <c r="Y291" s="35">
        <f>X291*'Parámetros Proyección'!$F$14</f>
        <v/>
      </c>
      <c r="Z291" s="35">
        <f>X291+Y291</f>
        <v/>
      </c>
      <c r="AA291" s="35">
        <f>IF((Z291/AI291&gt;'Parámetros Proyección'!$G$14),0,D291*'Parámetros Proyección'!$G$14/(IF((H291/AI291&gt;'Parámetros Proyección'!$G$11),0,'Parámetros Proyección'!$G$11)+IF((N291/AI291&gt;'Parámetros Proyección'!$G$12),0,'Parámetros Proyección'!$G$12)+IF((T291/AI291&gt;'Parámetros Proyección'!$G$13),0,'Parámetros Proyección'!$G$13)+IF((Z291/AI291&gt;'Parámetros Proyección'!$G$14),0,'Parámetros Proyección'!$G$14)+IF((AF291/AI291&gt;'Parámetros Proyección'!$G$15),0,'Parámetros Proyección'!$G$15)))</f>
        <v/>
      </c>
      <c r="AB291" s="35">
        <f>Z291+AA291</f>
        <v/>
      </c>
      <c r="AC291" s="35">
        <f>AH290</f>
        <v/>
      </c>
      <c r="AD291" s="35">
        <f>AC291*(1+'Parámetros Proyección'!$E$15)</f>
        <v/>
      </c>
      <c r="AE291" s="35">
        <f>AD291*'Parámetros Proyección'!$F$15</f>
        <v/>
      </c>
      <c r="AF291" s="35">
        <f>AD291+AE291</f>
        <v/>
      </c>
      <c r="AG291" s="35">
        <f>IF((AF291/AI291&gt;'Parámetros Proyección'!$G$15),0,D291*'Parámetros Proyección'!$G$15/(IF((H291/AI291&gt;'Parámetros Proyección'!$G$11),0,'Parámetros Proyección'!$G$11)+IF((N291/AI291&gt;'Parámetros Proyección'!$G$12),0,'Parámetros Proyección'!$G$12)+IF((T291/AI291&gt;'Parámetros Proyección'!$G$13),0,'Parámetros Proyección'!$G$13)+IF((Z291/AI291&gt;'Parámetros Proyección'!$G$14),0,'Parámetros Proyección'!$G$14)+IF((AF291/AI291&gt;'Parámetros Proyección'!$G$15),0,'Parámetros Proyección'!$G$15)))</f>
        <v/>
      </c>
      <c r="AH291" s="35">
        <f>AF291+AG291</f>
        <v/>
      </c>
      <c r="AI291" s="35">
        <f>H291+N291+T291+Z291+AF291</f>
        <v/>
      </c>
      <c r="AJ291" s="33">
        <f>AF291/AI291</f>
        <v/>
      </c>
      <c r="AK291">
        <f>IF(AJ291&gt;'Parámetros Proyección'!$B$5,1,0)</f>
        <v/>
      </c>
      <c r="AL291" s="35">
        <f>G291+M291+S291+Y291+AE291</f>
        <v/>
      </c>
      <c r="AM291" s="35">
        <f>AM290+D291</f>
        <v/>
      </c>
      <c r="AN291" s="35">
        <f>AN290+AL291</f>
        <v/>
      </c>
      <c r="AO291" s="35">
        <f>J291+P291+V291+AB291+AH291</f>
        <v/>
      </c>
    </row>
    <row r="292">
      <c r="A292" t="n">
        <v>289</v>
      </c>
      <c r="B292" s="34">
        <f>EDATE(B291,1)</f>
        <v/>
      </c>
      <c r="C292">
        <f>YEAR(B292)</f>
        <v/>
      </c>
      <c r="D292" s="35">
        <f>'Parámetros Proyección'!$B$3*(1+'Parámetros Proyección'!$B$4)^(C292-YEAR('Parámetros Proyección'!$B$6))</f>
        <v/>
      </c>
      <c r="E292" s="35">
        <f>J291</f>
        <v/>
      </c>
      <c r="F292" s="35">
        <f>E292*(1+'Parámetros Proyección'!$E$11)</f>
        <v/>
      </c>
      <c r="G292" s="35">
        <f>F292*'Parámetros Proyección'!$F$11</f>
        <v/>
      </c>
      <c r="H292" s="35">
        <f>F292+G292</f>
        <v/>
      </c>
      <c r="I292" s="35">
        <f>IF((H292/AI292&gt;'Parámetros Proyección'!$G$11),0,D292*'Parámetros Proyección'!$G$11/(IF((H292/AI292&gt;'Parámetros Proyección'!$G$11),0,'Parámetros Proyección'!$G$11)+IF((N292/AI292&gt;'Parámetros Proyección'!$G$12),0,'Parámetros Proyección'!$G$12)+IF((T292/AI292&gt;'Parámetros Proyección'!$G$13),0,'Parámetros Proyección'!$G$13)+IF((Z292/AI292&gt;'Parámetros Proyección'!$G$14),0,'Parámetros Proyección'!$G$14)+IF((AF292/AI292&gt;'Parámetros Proyección'!$G$15),0,'Parámetros Proyección'!$G$15)))</f>
        <v/>
      </c>
      <c r="J292" s="35">
        <f>H292+I292</f>
        <v/>
      </c>
      <c r="K292" s="35">
        <f>P291</f>
        <v/>
      </c>
      <c r="L292" s="35">
        <f>K292*(1+'Parámetros Proyección'!$E$12)</f>
        <v/>
      </c>
      <c r="M292" s="35">
        <f>L292*'Parámetros Proyección'!$F$12</f>
        <v/>
      </c>
      <c r="N292" s="35">
        <f>L292+M292</f>
        <v/>
      </c>
      <c r="O292" s="35">
        <f>IF((N292/AI292&gt;'Parámetros Proyección'!$G$12),0,D292*'Parámetros Proyección'!$G$12/(IF((H292/AI292&gt;'Parámetros Proyección'!$G$11),0,'Parámetros Proyección'!$G$11)+IF((N292/AI292&gt;'Parámetros Proyección'!$G$12),0,'Parámetros Proyección'!$G$12)+IF((T292/AI292&gt;'Parámetros Proyección'!$G$13),0,'Parámetros Proyección'!$G$13)+IF((Z292/AI292&gt;'Parámetros Proyección'!$G$14),0,'Parámetros Proyección'!$G$14)+IF((AF292/AI292&gt;'Parámetros Proyección'!$G$15),0,'Parámetros Proyección'!$G$15)))</f>
        <v/>
      </c>
      <c r="P292" s="35">
        <f>N292+O292</f>
        <v/>
      </c>
      <c r="Q292" s="35">
        <f>V291</f>
        <v/>
      </c>
      <c r="R292" s="35">
        <f>Q292*(1+'Parámetros Proyección'!$E$13)</f>
        <v/>
      </c>
      <c r="S292" s="35">
        <f>R292*'Parámetros Proyección'!$F$13</f>
        <v/>
      </c>
      <c r="T292" s="35">
        <f>R292+S292</f>
        <v/>
      </c>
      <c r="U292" s="35">
        <f>IF((T292/AI292&gt;'Parámetros Proyección'!$G$13),0,D292*'Parámetros Proyección'!$G$13/(IF((H292/AI292&gt;'Parámetros Proyección'!$G$11),0,'Parámetros Proyección'!$G$11)+IF((N292/AI292&gt;'Parámetros Proyección'!$G$12),0,'Parámetros Proyección'!$G$12)+IF((T292/AI292&gt;'Parámetros Proyección'!$G$13),0,'Parámetros Proyección'!$G$13)+IF((Z292/AI292&gt;'Parámetros Proyección'!$G$14),0,'Parámetros Proyección'!$G$14)+IF((AF292/AI292&gt;'Parámetros Proyección'!$G$15),0,'Parámetros Proyección'!$G$15)))</f>
        <v/>
      </c>
      <c r="V292" s="35">
        <f>T292+U292</f>
        <v/>
      </c>
      <c r="W292" s="35">
        <f>AB291</f>
        <v/>
      </c>
      <c r="X292" s="35">
        <f>W292*(1+'Parámetros Proyección'!$E$14)</f>
        <v/>
      </c>
      <c r="Y292" s="35">
        <f>X292*'Parámetros Proyección'!$F$14</f>
        <v/>
      </c>
      <c r="Z292" s="35">
        <f>X292+Y292</f>
        <v/>
      </c>
      <c r="AA292" s="35">
        <f>IF((Z292/AI292&gt;'Parámetros Proyección'!$G$14),0,D292*'Parámetros Proyección'!$G$14/(IF((H292/AI292&gt;'Parámetros Proyección'!$G$11),0,'Parámetros Proyección'!$G$11)+IF((N292/AI292&gt;'Parámetros Proyección'!$G$12),0,'Parámetros Proyección'!$G$12)+IF((T292/AI292&gt;'Parámetros Proyección'!$G$13),0,'Parámetros Proyección'!$G$13)+IF((Z292/AI292&gt;'Parámetros Proyección'!$G$14),0,'Parámetros Proyección'!$G$14)+IF((AF292/AI292&gt;'Parámetros Proyección'!$G$15),0,'Parámetros Proyección'!$G$15)))</f>
        <v/>
      </c>
      <c r="AB292" s="35">
        <f>Z292+AA292</f>
        <v/>
      </c>
      <c r="AC292" s="35">
        <f>AH291</f>
        <v/>
      </c>
      <c r="AD292" s="35">
        <f>AC292*(1+'Parámetros Proyección'!$E$15)</f>
        <v/>
      </c>
      <c r="AE292" s="35">
        <f>AD292*'Parámetros Proyección'!$F$15</f>
        <v/>
      </c>
      <c r="AF292" s="35">
        <f>AD292+AE292</f>
        <v/>
      </c>
      <c r="AG292" s="35">
        <f>IF((AF292/AI292&gt;'Parámetros Proyección'!$G$15),0,D292*'Parámetros Proyección'!$G$15/(IF((H292/AI292&gt;'Parámetros Proyección'!$G$11),0,'Parámetros Proyección'!$G$11)+IF((N292/AI292&gt;'Parámetros Proyección'!$G$12),0,'Parámetros Proyección'!$G$12)+IF((T292/AI292&gt;'Parámetros Proyección'!$G$13),0,'Parámetros Proyección'!$G$13)+IF((Z292/AI292&gt;'Parámetros Proyección'!$G$14),0,'Parámetros Proyección'!$G$14)+IF((AF292/AI292&gt;'Parámetros Proyección'!$G$15),0,'Parámetros Proyección'!$G$15)))</f>
        <v/>
      </c>
      <c r="AH292" s="35">
        <f>AF292+AG292</f>
        <v/>
      </c>
      <c r="AI292" s="35">
        <f>H292+N292+T292+Z292+AF292</f>
        <v/>
      </c>
      <c r="AJ292" s="33">
        <f>AF292/AI292</f>
        <v/>
      </c>
      <c r="AK292">
        <f>IF(AJ292&gt;'Parámetros Proyección'!$B$5,1,0)</f>
        <v/>
      </c>
      <c r="AL292" s="35">
        <f>G292+M292+S292+Y292+AE292</f>
        <v/>
      </c>
      <c r="AM292" s="35">
        <f>AM291+D292</f>
        <v/>
      </c>
      <c r="AN292" s="35">
        <f>AN291+AL292</f>
        <v/>
      </c>
      <c r="AO292" s="35">
        <f>J292+P292+V292+AB292+AH292</f>
        <v/>
      </c>
    </row>
    <row r="293">
      <c r="A293" t="n">
        <v>290</v>
      </c>
      <c r="B293" s="34">
        <f>EDATE(B292,1)</f>
        <v/>
      </c>
      <c r="C293">
        <f>YEAR(B293)</f>
        <v/>
      </c>
      <c r="D293" s="35">
        <f>'Parámetros Proyección'!$B$3*(1+'Parámetros Proyección'!$B$4)^(C293-YEAR('Parámetros Proyección'!$B$6))</f>
        <v/>
      </c>
      <c r="E293" s="35">
        <f>J292</f>
        <v/>
      </c>
      <c r="F293" s="35">
        <f>E293*(1+'Parámetros Proyección'!$E$11)</f>
        <v/>
      </c>
      <c r="G293" s="35">
        <f>F293*'Parámetros Proyección'!$F$11</f>
        <v/>
      </c>
      <c r="H293" s="35">
        <f>F293+G293</f>
        <v/>
      </c>
      <c r="I293" s="35">
        <f>IF((H293/AI293&gt;'Parámetros Proyección'!$G$11),0,D293*'Parámetros Proyección'!$G$11/(IF((H293/AI293&gt;'Parámetros Proyección'!$G$11),0,'Parámetros Proyección'!$G$11)+IF((N293/AI293&gt;'Parámetros Proyección'!$G$12),0,'Parámetros Proyección'!$G$12)+IF((T293/AI293&gt;'Parámetros Proyección'!$G$13),0,'Parámetros Proyección'!$G$13)+IF((Z293/AI293&gt;'Parámetros Proyección'!$G$14),0,'Parámetros Proyección'!$G$14)+IF((AF293/AI293&gt;'Parámetros Proyección'!$G$15),0,'Parámetros Proyección'!$G$15)))</f>
        <v/>
      </c>
      <c r="J293" s="35">
        <f>H293+I293</f>
        <v/>
      </c>
      <c r="K293" s="35">
        <f>P292</f>
        <v/>
      </c>
      <c r="L293" s="35">
        <f>K293*(1+'Parámetros Proyección'!$E$12)</f>
        <v/>
      </c>
      <c r="M293" s="35">
        <f>L293*'Parámetros Proyección'!$F$12</f>
        <v/>
      </c>
      <c r="N293" s="35">
        <f>L293+M293</f>
        <v/>
      </c>
      <c r="O293" s="35">
        <f>IF((N293/AI293&gt;'Parámetros Proyección'!$G$12),0,D293*'Parámetros Proyección'!$G$12/(IF((H293/AI293&gt;'Parámetros Proyección'!$G$11),0,'Parámetros Proyección'!$G$11)+IF((N293/AI293&gt;'Parámetros Proyección'!$G$12),0,'Parámetros Proyección'!$G$12)+IF((T293/AI293&gt;'Parámetros Proyección'!$G$13),0,'Parámetros Proyección'!$G$13)+IF((Z293/AI293&gt;'Parámetros Proyección'!$G$14),0,'Parámetros Proyección'!$G$14)+IF((AF293/AI293&gt;'Parámetros Proyección'!$G$15),0,'Parámetros Proyección'!$G$15)))</f>
        <v/>
      </c>
      <c r="P293" s="35">
        <f>N293+O293</f>
        <v/>
      </c>
      <c r="Q293" s="35">
        <f>V292</f>
        <v/>
      </c>
      <c r="R293" s="35">
        <f>Q293*(1+'Parámetros Proyección'!$E$13)</f>
        <v/>
      </c>
      <c r="S293" s="35">
        <f>R293*'Parámetros Proyección'!$F$13</f>
        <v/>
      </c>
      <c r="T293" s="35">
        <f>R293+S293</f>
        <v/>
      </c>
      <c r="U293" s="35">
        <f>IF((T293/AI293&gt;'Parámetros Proyección'!$G$13),0,D293*'Parámetros Proyección'!$G$13/(IF((H293/AI293&gt;'Parámetros Proyección'!$G$11),0,'Parámetros Proyección'!$G$11)+IF((N293/AI293&gt;'Parámetros Proyección'!$G$12),0,'Parámetros Proyección'!$G$12)+IF((T293/AI293&gt;'Parámetros Proyección'!$G$13),0,'Parámetros Proyección'!$G$13)+IF((Z293/AI293&gt;'Parámetros Proyección'!$G$14),0,'Parámetros Proyección'!$G$14)+IF((AF293/AI293&gt;'Parámetros Proyección'!$G$15),0,'Parámetros Proyección'!$G$15)))</f>
        <v/>
      </c>
      <c r="V293" s="35">
        <f>T293+U293</f>
        <v/>
      </c>
      <c r="W293" s="35">
        <f>AB292</f>
        <v/>
      </c>
      <c r="X293" s="35">
        <f>W293*(1+'Parámetros Proyección'!$E$14)</f>
        <v/>
      </c>
      <c r="Y293" s="35">
        <f>X293*'Parámetros Proyección'!$F$14</f>
        <v/>
      </c>
      <c r="Z293" s="35">
        <f>X293+Y293</f>
        <v/>
      </c>
      <c r="AA293" s="35">
        <f>IF((Z293/AI293&gt;'Parámetros Proyección'!$G$14),0,D293*'Parámetros Proyección'!$G$14/(IF((H293/AI293&gt;'Parámetros Proyección'!$G$11),0,'Parámetros Proyección'!$G$11)+IF((N293/AI293&gt;'Parámetros Proyección'!$G$12),0,'Parámetros Proyección'!$G$12)+IF((T293/AI293&gt;'Parámetros Proyección'!$G$13),0,'Parámetros Proyección'!$G$13)+IF((Z293/AI293&gt;'Parámetros Proyección'!$G$14),0,'Parámetros Proyección'!$G$14)+IF((AF293/AI293&gt;'Parámetros Proyección'!$G$15),0,'Parámetros Proyección'!$G$15)))</f>
        <v/>
      </c>
      <c r="AB293" s="35">
        <f>Z293+AA293</f>
        <v/>
      </c>
      <c r="AC293" s="35">
        <f>AH292</f>
        <v/>
      </c>
      <c r="AD293" s="35">
        <f>AC293*(1+'Parámetros Proyección'!$E$15)</f>
        <v/>
      </c>
      <c r="AE293" s="35">
        <f>AD293*'Parámetros Proyección'!$F$15</f>
        <v/>
      </c>
      <c r="AF293" s="35">
        <f>AD293+AE293</f>
        <v/>
      </c>
      <c r="AG293" s="35">
        <f>IF((AF293/AI293&gt;'Parámetros Proyección'!$G$15),0,D293*'Parámetros Proyección'!$G$15/(IF((H293/AI293&gt;'Parámetros Proyección'!$G$11),0,'Parámetros Proyección'!$G$11)+IF((N293/AI293&gt;'Parámetros Proyección'!$G$12),0,'Parámetros Proyección'!$G$12)+IF((T293/AI293&gt;'Parámetros Proyección'!$G$13),0,'Parámetros Proyección'!$G$13)+IF((Z293/AI293&gt;'Parámetros Proyección'!$G$14),0,'Parámetros Proyección'!$G$14)+IF((AF293/AI293&gt;'Parámetros Proyección'!$G$15),0,'Parámetros Proyección'!$G$15)))</f>
        <v/>
      </c>
      <c r="AH293" s="35">
        <f>AF293+AG293</f>
        <v/>
      </c>
      <c r="AI293" s="35">
        <f>H293+N293+T293+Z293+AF293</f>
        <v/>
      </c>
      <c r="AJ293" s="33">
        <f>AF293/AI293</f>
        <v/>
      </c>
      <c r="AK293">
        <f>IF(AJ293&gt;'Parámetros Proyección'!$B$5,1,0)</f>
        <v/>
      </c>
      <c r="AL293" s="35">
        <f>G293+M293+S293+Y293+AE293</f>
        <v/>
      </c>
      <c r="AM293" s="35">
        <f>AM292+D293</f>
        <v/>
      </c>
      <c r="AN293" s="35">
        <f>AN292+AL293</f>
        <v/>
      </c>
      <c r="AO293" s="35">
        <f>J293+P293+V293+AB293+AH293</f>
        <v/>
      </c>
    </row>
    <row r="294">
      <c r="A294" t="n">
        <v>291</v>
      </c>
      <c r="B294" s="34">
        <f>EDATE(B293,1)</f>
        <v/>
      </c>
      <c r="C294">
        <f>YEAR(B294)</f>
        <v/>
      </c>
      <c r="D294" s="35">
        <f>'Parámetros Proyección'!$B$3*(1+'Parámetros Proyección'!$B$4)^(C294-YEAR('Parámetros Proyección'!$B$6))</f>
        <v/>
      </c>
      <c r="E294" s="35">
        <f>J293</f>
        <v/>
      </c>
      <c r="F294" s="35">
        <f>E294*(1+'Parámetros Proyección'!$E$11)</f>
        <v/>
      </c>
      <c r="G294" s="35">
        <f>F294*'Parámetros Proyección'!$F$11</f>
        <v/>
      </c>
      <c r="H294" s="35">
        <f>F294+G294</f>
        <v/>
      </c>
      <c r="I294" s="35">
        <f>IF((H294/AI294&gt;'Parámetros Proyección'!$G$11),0,D294*'Parámetros Proyección'!$G$11/(IF((H294/AI294&gt;'Parámetros Proyección'!$G$11),0,'Parámetros Proyección'!$G$11)+IF((N294/AI294&gt;'Parámetros Proyección'!$G$12),0,'Parámetros Proyección'!$G$12)+IF((T294/AI294&gt;'Parámetros Proyección'!$G$13),0,'Parámetros Proyección'!$G$13)+IF((Z294/AI294&gt;'Parámetros Proyección'!$G$14),0,'Parámetros Proyección'!$G$14)+IF((AF294/AI294&gt;'Parámetros Proyección'!$G$15),0,'Parámetros Proyección'!$G$15)))</f>
        <v/>
      </c>
      <c r="J294" s="35">
        <f>H294+I294</f>
        <v/>
      </c>
      <c r="K294" s="35">
        <f>P293</f>
        <v/>
      </c>
      <c r="L294" s="35">
        <f>K294*(1+'Parámetros Proyección'!$E$12)</f>
        <v/>
      </c>
      <c r="M294" s="35">
        <f>L294*'Parámetros Proyección'!$F$12</f>
        <v/>
      </c>
      <c r="N294" s="35">
        <f>L294+M294</f>
        <v/>
      </c>
      <c r="O294" s="35">
        <f>IF((N294/AI294&gt;'Parámetros Proyección'!$G$12),0,D294*'Parámetros Proyección'!$G$12/(IF((H294/AI294&gt;'Parámetros Proyección'!$G$11),0,'Parámetros Proyección'!$G$11)+IF((N294/AI294&gt;'Parámetros Proyección'!$G$12),0,'Parámetros Proyección'!$G$12)+IF((T294/AI294&gt;'Parámetros Proyección'!$G$13),0,'Parámetros Proyección'!$G$13)+IF((Z294/AI294&gt;'Parámetros Proyección'!$G$14),0,'Parámetros Proyección'!$G$14)+IF((AF294/AI294&gt;'Parámetros Proyección'!$G$15),0,'Parámetros Proyección'!$G$15)))</f>
        <v/>
      </c>
      <c r="P294" s="35">
        <f>N294+O294</f>
        <v/>
      </c>
      <c r="Q294" s="35">
        <f>V293</f>
        <v/>
      </c>
      <c r="R294" s="35">
        <f>Q294*(1+'Parámetros Proyección'!$E$13)</f>
        <v/>
      </c>
      <c r="S294" s="35">
        <f>R294*'Parámetros Proyección'!$F$13</f>
        <v/>
      </c>
      <c r="T294" s="35">
        <f>R294+S294</f>
        <v/>
      </c>
      <c r="U294" s="35">
        <f>IF((T294/AI294&gt;'Parámetros Proyección'!$G$13),0,D294*'Parámetros Proyección'!$G$13/(IF((H294/AI294&gt;'Parámetros Proyección'!$G$11),0,'Parámetros Proyección'!$G$11)+IF((N294/AI294&gt;'Parámetros Proyección'!$G$12),0,'Parámetros Proyección'!$G$12)+IF((T294/AI294&gt;'Parámetros Proyección'!$G$13),0,'Parámetros Proyección'!$G$13)+IF((Z294/AI294&gt;'Parámetros Proyección'!$G$14),0,'Parámetros Proyección'!$G$14)+IF((AF294/AI294&gt;'Parámetros Proyección'!$G$15),0,'Parámetros Proyección'!$G$15)))</f>
        <v/>
      </c>
      <c r="V294" s="35">
        <f>T294+U294</f>
        <v/>
      </c>
      <c r="W294" s="35">
        <f>AB293</f>
        <v/>
      </c>
      <c r="X294" s="35">
        <f>W294*(1+'Parámetros Proyección'!$E$14)</f>
        <v/>
      </c>
      <c r="Y294" s="35">
        <f>X294*'Parámetros Proyección'!$F$14</f>
        <v/>
      </c>
      <c r="Z294" s="35">
        <f>X294+Y294</f>
        <v/>
      </c>
      <c r="AA294" s="35">
        <f>IF((Z294/AI294&gt;'Parámetros Proyección'!$G$14),0,D294*'Parámetros Proyección'!$G$14/(IF((H294/AI294&gt;'Parámetros Proyección'!$G$11),0,'Parámetros Proyección'!$G$11)+IF((N294/AI294&gt;'Parámetros Proyección'!$G$12),0,'Parámetros Proyección'!$G$12)+IF((T294/AI294&gt;'Parámetros Proyección'!$G$13),0,'Parámetros Proyección'!$G$13)+IF((Z294/AI294&gt;'Parámetros Proyección'!$G$14),0,'Parámetros Proyección'!$G$14)+IF((AF294/AI294&gt;'Parámetros Proyección'!$G$15),0,'Parámetros Proyección'!$G$15)))</f>
        <v/>
      </c>
      <c r="AB294" s="35">
        <f>Z294+AA294</f>
        <v/>
      </c>
      <c r="AC294" s="35">
        <f>AH293</f>
        <v/>
      </c>
      <c r="AD294" s="35">
        <f>AC294*(1+'Parámetros Proyección'!$E$15)</f>
        <v/>
      </c>
      <c r="AE294" s="35">
        <f>AD294*'Parámetros Proyección'!$F$15</f>
        <v/>
      </c>
      <c r="AF294" s="35">
        <f>AD294+AE294</f>
        <v/>
      </c>
      <c r="AG294" s="35">
        <f>IF((AF294/AI294&gt;'Parámetros Proyección'!$G$15),0,D294*'Parámetros Proyección'!$G$15/(IF((H294/AI294&gt;'Parámetros Proyección'!$G$11),0,'Parámetros Proyección'!$G$11)+IF((N294/AI294&gt;'Parámetros Proyección'!$G$12),0,'Parámetros Proyección'!$G$12)+IF((T294/AI294&gt;'Parámetros Proyección'!$G$13),0,'Parámetros Proyección'!$G$13)+IF((Z294/AI294&gt;'Parámetros Proyección'!$G$14),0,'Parámetros Proyección'!$G$14)+IF((AF294/AI294&gt;'Parámetros Proyección'!$G$15),0,'Parámetros Proyección'!$G$15)))</f>
        <v/>
      </c>
      <c r="AH294" s="35">
        <f>AF294+AG294</f>
        <v/>
      </c>
      <c r="AI294" s="35">
        <f>H294+N294+T294+Z294+AF294</f>
        <v/>
      </c>
      <c r="AJ294" s="33">
        <f>AF294/AI294</f>
        <v/>
      </c>
      <c r="AK294">
        <f>IF(AJ294&gt;'Parámetros Proyección'!$B$5,1,0)</f>
        <v/>
      </c>
      <c r="AL294" s="35">
        <f>G294+M294+S294+Y294+AE294</f>
        <v/>
      </c>
      <c r="AM294" s="35">
        <f>AM293+D294</f>
        <v/>
      </c>
      <c r="AN294" s="35">
        <f>AN293+AL294</f>
        <v/>
      </c>
      <c r="AO294" s="35">
        <f>J294+P294+V294+AB294+AH294</f>
        <v/>
      </c>
    </row>
    <row r="295">
      <c r="A295" t="n">
        <v>292</v>
      </c>
      <c r="B295" s="34">
        <f>EDATE(B294,1)</f>
        <v/>
      </c>
      <c r="C295">
        <f>YEAR(B295)</f>
        <v/>
      </c>
      <c r="D295" s="35">
        <f>'Parámetros Proyección'!$B$3*(1+'Parámetros Proyección'!$B$4)^(C295-YEAR('Parámetros Proyección'!$B$6))</f>
        <v/>
      </c>
      <c r="E295" s="35">
        <f>J294</f>
        <v/>
      </c>
      <c r="F295" s="35">
        <f>E295*(1+'Parámetros Proyección'!$E$11)</f>
        <v/>
      </c>
      <c r="G295" s="35">
        <f>F295*'Parámetros Proyección'!$F$11</f>
        <v/>
      </c>
      <c r="H295" s="35">
        <f>F295+G295</f>
        <v/>
      </c>
      <c r="I295" s="35">
        <f>IF((H295/AI295&gt;'Parámetros Proyección'!$G$11),0,D295*'Parámetros Proyección'!$G$11/(IF((H295/AI295&gt;'Parámetros Proyección'!$G$11),0,'Parámetros Proyección'!$G$11)+IF((N295/AI295&gt;'Parámetros Proyección'!$G$12),0,'Parámetros Proyección'!$G$12)+IF((T295/AI295&gt;'Parámetros Proyección'!$G$13),0,'Parámetros Proyección'!$G$13)+IF((Z295/AI295&gt;'Parámetros Proyección'!$G$14),0,'Parámetros Proyección'!$G$14)+IF((AF295/AI295&gt;'Parámetros Proyección'!$G$15),0,'Parámetros Proyección'!$G$15)))</f>
        <v/>
      </c>
      <c r="J295" s="35">
        <f>H295+I295</f>
        <v/>
      </c>
      <c r="K295" s="35">
        <f>P294</f>
        <v/>
      </c>
      <c r="L295" s="35">
        <f>K295*(1+'Parámetros Proyección'!$E$12)</f>
        <v/>
      </c>
      <c r="M295" s="35">
        <f>L295*'Parámetros Proyección'!$F$12</f>
        <v/>
      </c>
      <c r="N295" s="35">
        <f>L295+M295</f>
        <v/>
      </c>
      <c r="O295" s="35">
        <f>IF((N295/AI295&gt;'Parámetros Proyección'!$G$12),0,D295*'Parámetros Proyección'!$G$12/(IF((H295/AI295&gt;'Parámetros Proyección'!$G$11),0,'Parámetros Proyección'!$G$11)+IF((N295/AI295&gt;'Parámetros Proyección'!$G$12),0,'Parámetros Proyección'!$G$12)+IF((T295/AI295&gt;'Parámetros Proyección'!$G$13),0,'Parámetros Proyección'!$G$13)+IF((Z295/AI295&gt;'Parámetros Proyección'!$G$14),0,'Parámetros Proyección'!$G$14)+IF((AF295/AI295&gt;'Parámetros Proyección'!$G$15),0,'Parámetros Proyección'!$G$15)))</f>
        <v/>
      </c>
      <c r="P295" s="35">
        <f>N295+O295</f>
        <v/>
      </c>
      <c r="Q295" s="35">
        <f>V294</f>
        <v/>
      </c>
      <c r="R295" s="35">
        <f>Q295*(1+'Parámetros Proyección'!$E$13)</f>
        <v/>
      </c>
      <c r="S295" s="35">
        <f>R295*'Parámetros Proyección'!$F$13</f>
        <v/>
      </c>
      <c r="T295" s="35">
        <f>R295+S295</f>
        <v/>
      </c>
      <c r="U295" s="35">
        <f>IF((T295/AI295&gt;'Parámetros Proyección'!$G$13),0,D295*'Parámetros Proyección'!$G$13/(IF((H295/AI295&gt;'Parámetros Proyección'!$G$11),0,'Parámetros Proyección'!$G$11)+IF((N295/AI295&gt;'Parámetros Proyección'!$G$12),0,'Parámetros Proyección'!$G$12)+IF((T295/AI295&gt;'Parámetros Proyección'!$G$13),0,'Parámetros Proyección'!$G$13)+IF((Z295/AI295&gt;'Parámetros Proyección'!$G$14),0,'Parámetros Proyección'!$G$14)+IF((AF295/AI295&gt;'Parámetros Proyección'!$G$15),0,'Parámetros Proyección'!$G$15)))</f>
        <v/>
      </c>
      <c r="V295" s="35">
        <f>T295+U295</f>
        <v/>
      </c>
      <c r="W295" s="35">
        <f>AB294</f>
        <v/>
      </c>
      <c r="X295" s="35">
        <f>W295*(1+'Parámetros Proyección'!$E$14)</f>
        <v/>
      </c>
      <c r="Y295" s="35">
        <f>X295*'Parámetros Proyección'!$F$14</f>
        <v/>
      </c>
      <c r="Z295" s="35">
        <f>X295+Y295</f>
        <v/>
      </c>
      <c r="AA295" s="35">
        <f>IF((Z295/AI295&gt;'Parámetros Proyección'!$G$14),0,D295*'Parámetros Proyección'!$G$14/(IF((H295/AI295&gt;'Parámetros Proyección'!$G$11),0,'Parámetros Proyección'!$G$11)+IF((N295/AI295&gt;'Parámetros Proyección'!$G$12),0,'Parámetros Proyección'!$G$12)+IF((T295/AI295&gt;'Parámetros Proyección'!$G$13),0,'Parámetros Proyección'!$G$13)+IF((Z295/AI295&gt;'Parámetros Proyección'!$G$14),0,'Parámetros Proyección'!$G$14)+IF((AF295/AI295&gt;'Parámetros Proyección'!$G$15),0,'Parámetros Proyección'!$G$15)))</f>
        <v/>
      </c>
      <c r="AB295" s="35">
        <f>Z295+AA295</f>
        <v/>
      </c>
      <c r="AC295" s="35">
        <f>AH294</f>
        <v/>
      </c>
      <c r="AD295" s="35">
        <f>AC295*(1+'Parámetros Proyección'!$E$15)</f>
        <v/>
      </c>
      <c r="AE295" s="35">
        <f>AD295*'Parámetros Proyección'!$F$15</f>
        <v/>
      </c>
      <c r="AF295" s="35">
        <f>AD295+AE295</f>
        <v/>
      </c>
      <c r="AG295" s="35">
        <f>IF((AF295/AI295&gt;'Parámetros Proyección'!$G$15),0,D295*'Parámetros Proyección'!$G$15/(IF((H295/AI295&gt;'Parámetros Proyección'!$G$11),0,'Parámetros Proyección'!$G$11)+IF((N295/AI295&gt;'Parámetros Proyección'!$G$12),0,'Parámetros Proyección'!$G$12)+IF((T295/AI295&gt;'Parámetros Proyección'!$G$13),0,'Parámetros Proyección'!$G$13)+IF((Z295/AI295&gt;'Parámetros Proyección'!$G$14),0,'Parámetros Proyección'!$G$14)+IF((AF295/AI295&gt;'Parámetros Proyección'!$G$15),0,'Parámetros Proyección'!$G$15)))</f>
        <v/>
      </c>
      <c r="AH295" s="35">
        <f>AF295+AG295</f>
        <v/>
      </c>
      <c r="AI295" s="35">
        <f>H295+N295+T295+Z295+AF295</f>
        <v/>
      </c>
      <c r="AJ295" s="33">
        <f>AF295/AI295</f>
        <v/>
      </c>
      <c r="AK295">
        <f>IF(AJ295&gt;'Parámetros Proyección'!$B$5,1,0)</f>
        <v/>
      </c>
      <c r="AL295" s="35">
        <f>G295+M295+S295+Y295+AE295</f>
        <v/>
      </c>
      <c r="AM295" s="35">
        <f>AM294+D295</f>
        <v/>
      </c>
      <c r="AN295" s="35">
        <f>AN294+AL295</f>
        <v/>
      </c>
      <c r="AO295" s="35">
        <f>J295+P295+V295+AB295+AH295</f>
        <v/>
      </c>
    </row>
    <row r="296">
      <c r="A296" t="n">
        <v>293</v>
      </c>
      <c r="B296" s="34">
        <f>EDATE(B295,1)</f>
        <v/>
      </c>
      <c r="C296">
        <f>YEAR(B296)</f>
        <v/>
      </c>
      <c r="D296" s="35">
        <f>'Parámetros Proyección'!$B$3*(1+'Parámetros Proyección'!$B$4)^(C296-YEAR('Parámetros Proyección'!$B$6))</f>
        <v/>
      </c>
      <c r="E296" s="35">
        <f>J295</f>
        <v/>
      </c>
      <c r="F296" s="35">
        <f>E296*(1+'Parámetros Proyección'!$E$11)</f>
        <v/>
      </c>
      <c r="G296" s="35">
        <f>F296*'Parámetros Proyección'!$F$11</f>
        <v/>
      </c>
      <c r="H296" s="35">
        <f>F296+G296</f>
        <v/>
      </c>
      <c r="I296" s="35">
        <f>IF((H296/AI296&gt;'Parámetros Proyección'!$G$11),0,D296*'Parámetros Proyección'!$G$11/(IF((H296/AI296&gt;'Parámetros Proyección'!$G$11),0,'Parámetros Proyección'!$G$11)+IF((N296/AI296&gt;'Parámetros Proyección'!$G$12),0,'Parámetros Proyección'!$G$12)+IF((T296/AI296&gt;'Parámetros Proyección'!$G$13),0,'Parámetros Proyección'!$G$13)+IF((Z296/AI296&gt;'Parámetros Proyección'!$G$14),0,'Parámetros Proyección'!$G$14)+IF((AF296/AI296&gt;'Parámetros Proyección'!$G$15),0,'Parámetros Proyección'!$G$15)))</f>
        <v/>
      </c>
      <c r="J296" s="35">
        <f>H296+I296</f>
        <v/>
      </c>
      <c r="K296" s="35">
        <f>P295</f>
        <v/>
      </c>
      <c r="L296" s="35">
        <f>K296*(1+'Parámetros Proyección'!$E$12)</f>
        <v/>
      </c>
      <c r="M296" s="35">
        <f>L296*'Parámetros Proyección'!$F$12</f>
        <v/>
      </c>
      <c r="N296" s="35">
        <f>L296+M296</f>
        <v/>
      </c>
      <c r="O296" s="35">
        <f>IF((N296/AI296&gt;'Parámetros Proyección'!$G$12),0,D296*'Parámetros Proyección'!$G$12/(IF((H296/AI296&gt;'Parámetros Proyección'!$G$11),0,'Parámetros Proyección'!$G$11)+IF((N296/AI296&gt;'Parámetros Proyección'!$G$12),0,'Parámetros Proyección'!$G$12)+IF((T296/AI296&gt;'Parámetros Proyección'!$G$13),0,'Parámetros Proyección'!$G$13)+IF((Z296/AI296&gt;'Parámetros Proyección'!$G$14),0,'Parámetros Proyección'!$G$14)+IF((AF296/AI296&gt;'Parámetros Proyección'!$G$15),0,'Parámetros Proyección'!$G$15)))</f>
        <v/>
      </c>
      <c r="P296" s="35">
        <f>N296+O296</f>
        <v/>
      </c>
      <c r="Q296" s="35">
        <f>V295</f>
        <v/>
      </c>
      <c r="R296" s="35">
        <f>Q296*(1+'Parámetros Proyección'!$E$13)</f>
        <v/>
      </c>
      <c r="S296" s="35">
        <f>R296*'Parámetros Proyección'!$F$13</f>
        <v/>
      </c>
      <c r="T296" s="35">
        <f>R296+S296</f>
        <v/>
      </c>
      <c r="U296" s="35">
        <f>IF((T296/AI296&gt;'Parámetros Proyección'!$G$13),0,D296*'Parámetros Proyección'!$G$13/(IF((H296/AI296&gt;'Parámetros Proyección'!$G$11),0,'Parámetros Proyección'!$G$11)+IF((N296/AI296&gt;'Parámetros Proyección'!$G$12),0,'Parámetros Proyección'!$G$12)+IF((T296/AI296&gt;'Parámetros Proyección'!$G$13),0,'Parámetros Proyección'!$G$13)+IF((Z296/AI296&gt;'Parámetros Proyección'!$G$14),0,'Parámetros Proyección'!$G$14)+IF((AF296/AI296&gt;'Parámetros Proyección'!$G$15),0,'Parámetros Proyección'!$G$15)))</f>
        <v/>
      </c>
      <c r="V296" s="35">
        <f>T296+U296</f>
        <v/>
      </c>
      <c r="W296" s="35">
        <f>AB295</f>
        <v/>
      </c>
      <c r="X296" s="35">
        <f>W296*(1+'Parámetros Proyección'!$E$14)</f>
        <v/>
      </c>
      <c r="Y296" s="35">
        <f>X296*'Parámetros Proyección'!$F$14</f>
        <v/>
      </c>
      <c r="Z296" s="35">
        <f>X296+Y296</f>
        <v/>
      </c>
      <c r="AA296" s="35">
        <f>IF((Z296/AI296&gt;'Parámetros Proyección'!$G$14),0,D296*'Parámetros Proyección'!$G$14/(IF((H296/AI296&gt;'Parámetros Proyección'!$G$11),0,'Parámetros Proyección'!$G$11)+IF((N296/AI296&gt;'Parámetros Proyección'!$G$12),0,'Parámetros Proyección'!$G$12)+IF((T296/AI296&gt;'Parámetros Proyección'!$G$13),0,'Parámetros Proyección'!$G$13)+IF((Z296/AI296&gt;'Parámetros Proyección'!$G$14),0,'Parámetros Proyección'!$G$14)+IF((AF296/AI296&gt;'Parámetros Proyección'!$G$15),0,'Parámetros Proyección'!$G$15)))</f>
        <v/>
      </c>
      <c r="AB296" s="35">
        <f>Z296+AA296</f>
        <v/>
      </c>
      <c r="AC296" s="35">
        <f>AH295</f>
        <v/>
      </c>
      <c r="AD296" s="35">
        <f>AC296*(1+'Parámetros Proyección'!$E$15)</f>
        <v/>
      </c>
      <c r="AE296" s="35">
        <f>AD296*'Parámetros Proyección'!$F$15</f>
        <v/>
      </c>
      <c r="AF296" s="35">
        <f>AD296+AE296</f>
        <v/>
      </c>
      <c r="AG296" s="35">
        <f>IF((AF296/AI296&gt;'Parámetros Proyección'!$G$15),0,D296*'Parámetros Proyección'!$G$15/(IF((H296/AI296&gt;'Parámetros Proyección'!$G$11),0,'Parámetros Proyección'!$G$11)+IF((N296/AI296&gt;'Parámetros Proyección'!$G$12),0,'Parámetros Proyección'!$G$12)+IF((T296/AI296&gt;'Parámetros Proyección'!$G$13),0,'Parámetros Proyección'!$G$13)+IF((Z296/AI296&gt;'Parámetros Proyección'!$G$14),0,'Parámetros Proyección'!$G$14)+IF((AF296/AI296&gt;'Parámetros Proyección'!$G$15),0,'Parámetros Proyección'!$G$15)))</f>
        <v/>
      </c>
      <c r="AH296" s="35">
        <f>AF296+AG296</f>
        <v/>
      </c>
      <c r="AI296" s="35">
        <f>H296+N296+T296+Z296+AF296</f>
        <v/>
      </c>
      <c r="AJ296" s="33">
        <f>AF296/AI296</f>
        <v/>
      </c>
      <c r="AK296">
        <f>IF(AJ296&gt;'Parámetros Proyección'!$B$5,1,0)</f>
        <v/>
      </c>
      <c r="AL296" s="35">
        <f>G296+M296+S296+Y296+AE296</f>
        <v/>
      </c>
      <c r="AM296" s="35">
        <f>AM295+D296</f>
        <v/>
      </c>
      <c r="AN296" s="35">
        <f>AN295+AL296</f>
        <v/>
      </c>
      <c r="AO296" s="35">
        <f>J296+P296+V296+AB296+AH296</f>
        <v/>
      </c>
    </row>
    <row r="297">
      <c r="A297" t="n">
        <v>294</v>
      </c>
      <c r="B297" s="34">
        <f>EDATE(B296,1)</f>
        <v/>
      </c>
      <c r="C297">
        <f>YEAR(B297)</f>
        <v/>
      </c>
      <c r="D297" s="35">
        <f>'Parámetros Proyección'!$B$3*(1+'Parámetros Proyección'!$B$4)^(C297-YEAR('Parámetros Proyección'!$B$6))</f>
        <v/>
      </c>
      <c r="E297" s="35">
        <f>J296</f>
        <v/>
      </c>
      <c r="F297" s="35">
        <f>E297*(1+'Parámetros Proyección'!$E$11)</f>
        <v/>
      </c>
      <c r="G297" s="35">
        <f>F297*'Parámetros Proyección'!$F$11</f>
        <v/>
      </c>
      <c r="H297" s="35">
        <f>F297+G297</f>
        <v/>
      </c>
      <c r="I297" s="35">
        <f>IF((H297/AI297&gt;'Parámetros Proyección'!$G$11),0,D297*'Parámetros Proyección'!$G$11/(IF((H297/AI297&gt;'Parámetros Proyección'!$G$11),0,'Parámetros Proyección'!$G$11)+IF((N297/AI297&gt;'Parámetros Proyección'!$G$12),0,'Parámetros Proyección'!$G$12)+IF((T297/AI297&gt;'Parámetros Proyección'!$G$13),0,'Parámetros Proyección'!$G$13)+IF((Z297/AI297&gt;'Parámetros Proyección'!$G$14),0,'Parámetros Proyección'!$G$14)+IF((AF297/AI297&gt;'Parámetros Proyección'!$G$15),0,'Parámetros Proyección'!$G$15)))</f>
        <v/>
      </c>
      <c r="J297" s="35">
        <f>H297+I297</f>
        <v/>
      </c>
      <c r="K297" s="35">
        <f>P296</f>
        <v/>
      </c>
      <c r="L297" s="35">
        <f>K297*(1+'Parámetros Proyección'!$E$12)</f>
        <v/>
      </c>
      <c r="M297" s="35">
        <f>L297*'Parámetros Proyección'!$F$12</f>
        <v/>
      </c>
      <c r="N297" s="35">
        <f>L297+M297</f>
        <v/>
      </c>
      <c r="O297" s="35">
        <f>IF((N297/AI297&gt;'Parámetros Proyección'!$G$12),0,D297*'Parámetros Proyección'!$G$12/(IF((H297/AI297&gt;'Parámetros Proyección'!$G$11),0,'Parámetros Proyección'!$G$11)+IF((N297/AI297&gt;'Parámetros Proyección'!$G$12),0,'Parámetros Proyección'!$G$12)+IF((T297/AI297&gt;'Parámetros Proyección'!$G$13),0,'Parámetros Proyección'!$G$13)+IF((Z297/AI297&gt;'Parámetros Proyección'!$G$14),0,'Parámetros Proyección'!$G$14)+IF((AF297/AI297&gt;'Parámetros Proyección'!$G$15),0,'Parámetros Proyección'!$G$15)))</f>
        <v/>
      </c>
      <c r="P297" s="35">
        <f>N297+O297</f>
        <v/>
      </c>
      <c r="Q297" s="35">
        <f>V296</f>
        <v/>
      </c>
      <c r="R297" s="35">
        <f>Q297*(1+'Parámetros Proyección'!$E$13)</f>
        <v/>
      </c>
      <c r="S297" s="35">
        <f>R297*'Parámetros Proyección'!$F$13</f>
        <v/>
      </c>
      <c r="T297" s="35">
        <f>R297+S297</f>
        <v/>
      </c>
      <c r="U297" s="35">
        <f>IF((T297/AI297&gt;'Parámetros Proyección'!$G$13),0,D297*'Parámetros Proyección'!$G$13/(IF((H297/AI297&gt;'Parámetros Proyección'!$G$11),0,'Parámetros Proyección'!$G$11)+IF((N297/AI297&gt;'Parámetros Proyección'!$G$12),0,'Parámetros Proyección'!$G$12)+IF((T297/AI297&gt;'Parámetros Proyección'!$G$13),0,'Parámetros Proyección'!$G$13)+IF((Z297/AI297&gt;'Parámetros Proyección'!$G$14),0,'Parámetros Proyección'!$G$14)+IF((AF297/AI297&gt;'Parámetros Proyección'!$G$15),0,'Parámetros Proyección'!$G$15)))</f>
        <v/>
      </c>
      <c r="V297" s="35">
        <f>T297+U297</f>
        <v/>
      </c>
      <c r="W297" s="35">
        <f>AB296</f>
        <v/>
      </c>
      <c r="X297" s="35">
        <f>W297*(1+'Parámetros Proyección'!$E$14)</f>
        <v/>
      </c>
      <c r="Y297" s="35">
        <f>X297*'Parámetros Proyección'!$F$14</f>
        <v/>
      </c>
      <c r="Z297" s="35">
        <f>X297+Y297</f>
        <v/>
      </c>
      <c r="AA297" s="35">
        <f>IF((Z297/AI297&gt;'Parámetros Proyección'!$G$14),0,D297*'Parámetros Proyección'!$G$14/(IF((H297/AI297&gt;'Parámetros Proyección'!$G$11),0,'Parámetros Proyección'!$G$11)+IF((N297/AI297&gt;'Parámetros Proyección'!$G$12),0,'Parámetros Proyección'!$G$12)+IF((T297/AI297&gt;'Parámetros Proyección'!$G$13),0,'Parámetros Proyección'!$G$13)+IF((Z297/AI297&gt;'Parámetros Proyección'!$G$14),0,'Parámetros Proyección'!$G$14)+IF((AF297/AI297&gt;'Parámetros Proyección'!$G$15),0,'Parámetros Proyección'!$G$15)))</f>
        <v/>
      </c>
      <c r="AB297" s="35">
        <f>Z297+AA297</f>
        <v/>
      </c>
      <c r="AC297" s="35">
        <f>AH296</f>
        <v/>
      </c>
      <c r="AD297" s="35">
        <f>AC297*(1+'Parámetros Proyección'!$E$15)</f>
        <v/>
      </c>
      <c r="AE297" s="35">
        <f>AD297*'Parámetros Proyección'!$F$15</f>
        <v/>
      </c>
      <c r="AF297" s="35">
        <f>AD297+AE297</f>
        <v/>
      </c>
      <c r="AG297" s="35">
        <f>IF((AF297/AI297&gt;'Parámetros Proyección'!$G$15),0,D297*'Parámetros Proyección'!$G$15/(IF((H297/AI297&gt;'Parámetros Proyección'!$G$11),0,'Parámetros Proyección'!$G$11)+IF((N297/AI297&gt;'Parámetros Proyección'!$G$12),0,'Parámetros Proyección'!$G$12)+IF((T297/AI297&gt;'Parámetros Proyección'!$G$13),0,'Parámetros Proyección'!$G$13)+IF((Z297/AI297&gt;'Parámetros Proyección'!$G$14),0,'Parámetros Proyección'!$G$14)+IF((AF297/AI297&gt;'Parámetros Proyección'!$G$15),0,'Parámetros Proyección'!$G$15)))</f>
        <v/>
      </c>
      <c r="AH297" s="35">
        <f>AF297+AG297</f>
        <v/>
      </c>
      <c r="AI297" s="35">
        <f>H297+N297+T297+Z297+AF297</f>
        <v/>
      </c>
      <c r="AJ297" s="33">
        <f>AF297/AI297</f>
        <v/>
      </c>
      <c r="AK297">
        <f>IF(AJ297&gt;'Parámetros Proyección'!$B$5,1,0)</f>
        <v/>
      </c>
      <c r="AL297" s="35">
        <f>G297+M297+S297+Y297+AE297</f>
        <v/>
      </c>
      <c r="AM297" s="35">
        <f>AM296+D297</f>
        <v/>
      </c>
      <c r="AN297" s="35">
        <f>AN296+AL297</f>
        <v/>
      </c>
      <c r="AO297" s="35">
        <f>J297+P297+V297+AB297+AH297</f>
        <v/>
      </c>
    </row>
    <row r="298">
      <c r="A298" t="n">
        <v>295</v>
      </c>
      <c r="B298" s="34">
        <f>EDATE(B297,1)</f>
        <v/>
      </c>
      <c r="C298">
        <f>YEAR(B298)</f>
        <v/>
      </c>
      <c r="D298" s="35">
        <f>'Parámetros Proyección'!$B$3*(1+'Parámetros Proyección'!$B$4)^(C298-YEAR('Parámetros Proyección'!$B$6))</f>
        <v/>
      </c>
      <c r="E298" s="35">
        <f>J297</f>
        <v/>
      </c>
      <c r="F298" s="35">
        <f>E298*(1+'Parámetros Proyección'!$E$11)</f>
        <v/>
      </c>
      <c r="G298" s="35">
        <f>F298*'Parámetros Proyección'!$F$11</f>
        <v/>
      </c>
      <c r="H298" s="35">
        <f>F298+G298</f>
        <v/>
      </c>
      <c r="I298" s="35">
        <f>IF((H298/AI298&gt;'Parámetros Proyección'!$G$11),0,D298*'Parámetros Proyección'!$G$11/(IF((H298/AI298&gt;'Parámetros Proyección'!$G$11),0,'Parámetros Proyección'!$G$11)+IF((N298/AI298&gt;'Parámetros Proyección'!$G$12),0,'Parámetros Proyección'!$G$12)+IF((T298/AI298&gt;'Parámetros Proyección'!$G$13),0,'Parámetros Proyección'!$G$13)+IF((Z298/AI298&gt;'Parámetros Proyección'!$G$14),0,'Parámetros Proyección'!$G$14)+IF((AF298/AI298&gt;'Parámetros Proyección'!$G$15),0,'Parámetros Proyección'!$G$15)))</f>
        <v/>
      </c>
      <c r="J298" s="35">
        <f>H298+I298</f>
        <v/>
      </c>
      <c r="K298" s="35">
        <f>P297</f>
        <v/>
      </c>
      <c r="L298" s="35">
        <f>K298*(1+'Parámetros Proyección'!$E$12)</f>
        <v/>
      </c>
      <c r="M298" s="35">
        <f>L298*'Parámetros Proyección'!$F$12</f>
        <v/>
      </c>
      <c r="N298" s="35">
        <f>L298+M298</f>
        <v/>
      </c>
      <c r="O298" s="35">
        <f>IF((N298/AI298&gt;'Parámetros Proyección'!$G$12),0,D298*'Parámetros Proyección'!$G$12/(IF((H298/AI298&gt;'Parámetros Proyección'!$G$11),0,'Parámetros Proyección'!$G$11)+IF((N298/AI298&gt;'Parámetros Proyección'!$G$12),0,'Parámetros Proyección'!$G$12)+IF((T298/AI298&gt;'Parámetros Proyección'!$G$13),0,'Parámetros Proyección'!$G$13)+IF((Z298/AI298&gt;'Parámetros Proyección'!$G$14),0,'Parámetros Proyección'!$G$14)+IF((AF298/AI298&gt;'Parámetros Proyección'!$G$15),0,'Parámetros Proyección'!$G$15)))</f>
        <v/>
      </c>
      <c r="P298" s="35">
        <f>N298+O298</f>
        <v/>
      </c>
      <c r="Q298" s="35">
        <f>V297</f>
        <v/>
      </c>
      <c r="R298" s="35">
        <f>Q298*(1+'Parámetros Proyección'!$E$13)</f>
        <v/>
      </c>
      <c r="S298" s="35">
        <f>R298*'Parámetros Proyección'!$F$13</f>
        <v/>
      </c>
      <c r="T298" s="35">
        <f>R298+S298</f>
        <v/>
      </c>
      <c r="U298" s="35">
        <f>IF((T298/AI298&gt;'Parámetros Proyección'!$G$13),0,D298*'Parámetros Proyección'!$G$13/(IF((H298/AI298&gt;'Parámetros Proyección'!$G$11),0,'Parámetros Proyección'!$G$11)+IF((N298/AI298&gt;'Parámetros Proyección'!$G$12),0,'Parámetros Proyección'!$G$12)+IF((T298/AI298&gt;'Parámetros Proyección'!$G$13),0,'Parámetros Proyección'!$G$13)+IF((Z298/AI298&gt;'Parámetros Proyección'!$G$14),0,'Parámetros Proyección'!$G$14)+IF((AF298/AI298&gt;'Parámetros Proyección'!$G$15),0,'Parámetros Proyección'!$G$15)))</f>
        <v/>
      </c>
      <c r="V298" s="35">
        <f>T298+U298</f>
        <v/>
      </c>
      <c r="W298" s="35">
        <f>AB297</f>
        <v/>
      </c>
      <c r="X298" s="35">
        <f>W298*(1+'Parámetros Proyección'!$E$14)</f>
        <v/>
      </c>
      <c r="Y298" s="35">
        <f>X298*'Parámetros Proyección'!$F$14</f>
        <v/>
      </c>
      <c r="Z298" s="35">
        <f>X298+Y298</f>
        <v/>
      </c>
      <c r="AA298" s="35">
        <f>IF((Z298/AI298&gt;'Parámetros Proyección'!$G$14),0,D298*'Parámetros Proyección'!$G$14/(IF((H298/AI298&gt;'Parámetros Proyección'!$G$11),0,'Parámetros Proyección'!$G$11)+IF((N298/AI298&gt;'Parámetros Proyección'!$G$12),0,'Parámetros Proyección'!$G$12)+IF((T298/AI298&gt;'Parámetros Proyección'!$G$13),0,'Parámetros Proyección'!$G$13)+IF((Z298/AI298&gt;'Parámetros Proyección'!$G$14),0,'Parámetros Proyección'!$G$14)+IF((AF298/AI298&gt;'Parámetros Proyección'!$G$15),0,'Parámetros Proyección'!$G$15)))</f>
        <v/>
      </c>
      <c r="AB298" s="35">
        <f>Z298+AA298</f>
        <v/>
      </c>
      <c r="AC298" s="35">
        <f>AH297</f>
        <v/>
      </c>
      <c r="AD298" s="35">
        <f>AC298*(1+'Parámetros Proyección'!$E$15)</f>
        <v/>
      </c>
      <c r="AE298" s="35">
        <f>AD298*'Parámetros Proyección'!$F$15</f>
        <v/>
      </c>
      <c r="AF298" s="35">
        <f>AD298+AE298</f>
        <v/>
      </c>
      <c r="AG298" s="35">
        <f>IF((AF298/AI298&gt;'Parámetros Proyección'!$G$15),0,D298*'Parámetros Proyección'!$G$15/(IF((H298/AI298&gt;'Parámetros Proyección'!$G$11),0,'Parámetros Proyección'!$G$11)+IF((N298/AI298&gt;'Parámetros Proyección'!$G$12),0,'Parámetros Proyección'!$G$12)+IF((T298/AI298&gt;'Parámetros Proyección'!$G$13),0,'Parámetros Proyección'!$G$13)+IF((Z298/AI298&gt;'Parámetros Proyección'!$G$14),0,'Parámetros Proyección'!$G$14)+IF((AF298/AI298&gt;'Parámetros Proyección'!$G$15),0,'Parámetros Proyección'!$G$15)))</f>
        <v/>
      </c>
      <c r="AH298" s="35">
        <f>AF298+AG298</f>
        <v/>
      </c>
      <c r="AI298" s="35">
        <f>H298+N298+T298+Z298+AF298</f>
        <v/>
      </c>
      <c r="AJ298" s="33">
        <f>AF298/AI298</f>
        <v/>
      </c>
      <c r="AK298">
        <f>IF(AJ298&gt;'Parámetros Proyección'!$B$5,1,0)</f>
        <v/>
      </c>
      <c r="AL298" s="35">
        <f>G298+M298+S298+Y298+AE298</f>
        <v/>
      </c>
      <c r="AM298" s="35">
        <f>AM297+D298</f>
        <v/>
      </c>
      <c r="AN298" s="35">
        <f>AN297+AL298</f>
        <v/>
      </c>
      <c r="AO298" s="35">
        <f>J298+P298+V298+AB298+AH298</f>
        <v/>
      </c>
    </row>
    <row r="299">
      <c r="A299" t="n">
        <v>296</v>
      </c>
      <c r="B299" s="34">
        <f>EDATE(B298,1)</f>
        <v/>
      </c>
      <c r="C299">
        <f>YEAR(B299)</f>
        <v/>
      </c>
      <c r="D299" s="35">
        <f>'Parámetros Proyección'!$B$3*(1+'Parámetros Proyección'!$B$4)^(C299-YEAR('Parámetros Proyección'!$B$6))</f>
        <v/>
      </c>
      <c r="E299" s="35">
        <f>J298</f>
        <v/>
      </c>
      <c r="F299" s="35">
        <f>E299*(1+'Parámetros Proyección'!$E$11)</f>
        <v/>
      </c>
      <c r="G299" s="35">
        <f>F299*'Parámetros Proyección'!$F$11</f>
        <v/>
      </c>
      <c r="H299" s="35">
        <f>F299+G299</f>
        <v/>
      </c>
      <c r="I299" s="35">
        <f>IF((H299/AI299&gt;'Parámetros Proyección'!$G$11),0,D299*'Parámetros Proyección'!$G$11/(IF((H299/AI299&gt;'Parámetros Proyección'!$G$11),0,'Parámetros Proyección'!$G$11)+IF((N299/AI299&gt;'Parámetros Proyección'!$G$12),0,'Parámetros Proyección'!$G$12)+IF((T299/AI299&gt;'Parámetros Proyección'!$G$13),0,'Parámetros Proyección'!$G$13)+IF((Z299/AI299&gt;'Parámetros Proyección'!$G$14),0,'Parámetros Proyección'!$G$14)+IF((AF299/AI299&gt;'Parámetros Proyección'!$G$15),0,'Parámetros Proyección'!$G$15)))</f>
        <v/>
      </c>
      <c r="J299" s="35">
        <f>H299+I299</f>
        <v/>
      </c>
      <c r="K299" s="35">
        <f>P298</f>
        <v/>
      </c>
      <c r="L299" s="35">
        <f>K299*(1+'Parámetros Proyección'!$E$12)</f>
        <v/>
      </c>
      <c r="M299" s="35">
        <f>L299*'Parámetros Proyección'!$F$12</f>
        <v/>
      </c>
      <c r="N299" s="35">
        <f>L299+M299</f>
        <v/>
      </c>
      <c r="O299" s="35">
        <f>IF((N299/AI299&gt;'Parámetros Proyección'!$G$12),0,D299*'Parámetros Proyección'!$G$12/(IF((H299/AI299&gt;'Parámetros Proyección'!$G$11),0,'Parámetros Proyección'!$G$11)+IF((N299/AI299&gt;'Parámetros Proyección'!$G$12),0,'Parámetros Proyección'!$G$12)+IF((T299/AI299&gt;'Parámetros Proyección'!$G$13),0,'Parámetros Proyección'!$G$13)+IF((Z299/AI299&gt;'Parámetros Proyección'!$G$14),0,'Parámetros Proyección'!$G$14)+IF((AF299/AI299&gt;'Parámetros Proyección'!$G$15),0,'Parámetros Proyección'!$G$15)))</f>
        <v/>
      </c>
      <c r="P299" s="35">
        <f>N299+O299</f>
        <v/>
      </c>
      <c r="Q299" s="35">
        <f>V298</f>
        <v/>
      </c>
      <c r="R299" s="35">
        <f>Q299*(1+'Parámetros Proyección'!$E$13)</f>
        <v/>
      </c>
      <c r="S299" s="35">
        <f>R299*'Parámetros Proyección'!$F$13</f>
        <v/>
      </c>
      <c r="T299" s="35">
        <f>R299+S299</f>
        <v/>
      </c>
      <c r="U299" s="35">
        <f>IF((T299/AI299&gt;'Parámetros Proyección'!$G$13),0,D299*'Parámetros Proyección'!$G$13/(IF((H299/AI299&gt;'Parámetros Proyección'!$G$11),0,'Parámetros Proyección'!$G$11)+IF((N299/AI299&gt;'Parámetros Proyección'!$G$12),0,'Parámetros Proyección'!$G$12)+IF((T299/AI299&gt;'Parámetros Proyección'!$G$13),0,'Parámetros Proyección'!$G$13)+IF((Z299/AI299&gt;'Parámetros Proyección'!$G$14),0,'Parámetros Proyección'!$G$14)+IF((AF299/AI299&gt;'Parámetros Proyección'!$G$15),0,'Parámetros Proyección'!$G$15)))</f>
        <v/>
      </c>
      <c r="V299" s="35">
        <f>T299+U299</f>
        <v/>
      </c>
      <c r="W299" s="35">
        <f>AB298</f>
        <v/>
      </c>
      <c r="X299" s="35">
        <f>W299*(1+'Parámetros Proyección'!$E$14)</f>
        <v/>
      </c>
      <c r="Y299" s="35">
        <f>X299*'Parámetros Proyección'!$F$14</f>
        <v/>
      </c>
      <c r="Z299" s="35">
        <f>X299+Y299</f>
        <v/>
      </c>
      <c r="AA299" s="35">
        <f>IF((Z299/AI299&gt;'Parámetros Proyección'!$G$14),0,D299*'Parámetros Proyección'!$G$14/(IF((H299/AI299&gt;'Parámetros Proyección'!$G$11),0,'Parámetros Proyección'!$G$11)+IF((N299/AI299&gt;'Parámetros Proyección'!$G$12),0,'Parámetros Proyección'!$G$12)+IF((T299/AI299&gt;'Parámetros Proyección'!$G$13),0,'Parámetros Proyección'!$G$13)+IF((Z299/AI299&gt;'Parámetros Proyección'!$G$14),0,'Parámetros Proyección'!$G$14)+IF((AF299/AI299&gt;'Parámetros Proyección'!$G$15),0,'Parámetros Proyección'!$G$15)))</f>
        <v/>
      </c>
      <c r="AB299" s="35">
        <f>Z299+AA299</f>
        <v/>
      </c>
      <c r="AC299" s="35">
        <f>AH298</f>
        <v/>
      </c>
      <c r="AD299" s="35">
        <f>AC299*(1+'Parámetros Proyección'!$E$15)</f>
        <v/>
      </c>
      <c r="AE299" s="35">
        <f>AD299*'Parámetros Proyección'!$F$15</f>
        <v/>
      </c>
      <c r="AF299" s="35">
        <f>AD299+AE299</f>
        <v/>
      </c>
      <c r="AG299" s="35">
        <f>IF((AF299/AI299&gt;'Parámetros Proyección'!$G$15),0,D299*'Parámetros Proyección'!$G$15/(IF((H299/AI299&gt;'Parámetros Proyección'!$G$11),0,'Parámetros Proyección'!$G$11)+IF((N299/AI299&gt;'Parámetros Proyección'!$G$12),0,'Parámetros Proyección'!$G$12)+IF((T299/AI299&gt;'Parámetros Proyección'!$G$13),0,'Parámetros Proyección'!$G$13)+IF((Z299/AI299&gt;'Parámetros Proyección'!$G$14),0,'Parámetros Proyección'!$G$14)+IF((AF299/AI299&gt;'Parámetros Proyección'!$G$15),0,'Parámetros Proyección'!$G$15)))</f>
        <v/>
      </c>
      <c r="AH299" s="35">
        <f>AF299+AG299</f>
        <v/>
      </c>
      <c r="AI299" s="35">
        <f>H299+N299+T299+Z299+AF299</f>
        <v/>
      </c>
      <c r="AJ299" s="33">
        <f>AF299/AI299</f>
        <v/>
      </c>
      <c r="AK299">
        <f>IF(AJ299&gt;'Parámetros Proyección'!$B$5,1,0)</f>
        <v/>
      </c>
      <c r="AL299" s="35">
        <f>G299+M299+S299+Y299+AE299</f>
        <v/>
      </c>
      <c r="AM299" s="35">
        <f>AM298+D299</f>
        <v/>
      </c>
      <c r="AN299" s="35">
        <f>AN298+AL299</f>
        <v/>
      </c>
      <c r="AO299" s="35">
        <f>J299+P299+V299+AB299+AH299</f>
        <v/>
      </c>
    </row>
    <row r="300">
      <c r="A300" t="n">
        <v>297</v>
      </c>
      <c r="B300" s="34">
        <f>EDATE(B299,1)</f>
        <v/>
      </c>
      <c r="C300">
        <f>YEAR(B300)</f>
        <v/>
      </c>
      <c r="D300" s="35">
        <f>'Parámetros Proyección'!$B$3*(1+'Parámetros Proyección'!$B$4)^(C300-YEAR('Parámetros Proyección'!$B$6))</f>
        <v/>
      </c>
      <c r="E300" s="35">
        <f>J299</f>
        <v/>
      </c>
      <c r="F300" s="35">
        <f>E300*(1+'Parámetros Proyección'!$E$11)</f>
        <v/>
      </c>
      <c r="G300" s="35">
        <f>F300*'Parámetros Proyección'!$F$11</f>
        <v/>
      </c>
      <c r="H300" s="35">
        <f>F300+G300</f>
        <v/>
      </c>
      <c r="I300" s="35">
        <f>IF((H300/AI300&gt;'Parámetros Proyección'!$G$11),0,D300*'Parámetros Proyección'!$G$11/(IF((H300/AI300&gt;'Parámetros Proyección'!$G$11),0,'Parámetros Proyección'!$G$11)+IF((N300/AI300&gt;'Parámetros Proyección'!$G$12),0,'Parámetros Proyección'!$G$12)+IF((T300/AI300&gt;'Parámetros Proyección'!$G$13),0,'Parámetros Proyección'!$G$13)+IF((Z300/AI300&gt;'Parámetros Proyección'!$G$14),0,'Parámetros Proyección'!$G$14)+IF((AF300/AI300&gt;'Parámetros Proyección'!$G$15),0,'Parámetros Proyección'!$G$15)))</f>
        <v/>
      </c>
      <c r="J300" s="35">
        <f>H300+I300</f>
        <v/>
      </c>
      <c r="K300" s="35">
        <f>P299</f>
        <v/>
      </c>
      <c r="L300" s="35">
        <f>K300*(1+'Parámetros Proyección'!$E$12)</f>
        <v/>
      </c>
      <c r="M300" s="35">
        <f>L300*'Parámetros Proyección'!$F$12</f>
        <v/>
      </c>
      <c r="N300" s="35">
        <f>L300+M300</f>
        <v/>
      </c>
      <c r="O300" s="35">
        <f>IF((N300/AI300&gt;'Parámetros Proyección'!$G$12),0,D300*'Parámetros Proyección'!$G$12/(IF((H300/AI300&gt;'Parámetros Proyección'!$G$11),0,'Parámetros Proyección'!$G$11)+IF((N300/AI300&gt;'Parámetros Proyección'!$G$12),0,'Parámetros Proyección'!$G$12)+IF((T300/AI300&gt;'Parámetros Proyección'!$G$13),0,'Parámetros Proyección'!$G$13)+IF((Z300/AI300&gt;'Parámetros Proyección'!$G$14),0,'Parámetros Proyección'!$G$14)+IF((AF300/AI300&gt;'Parámetros Proyección'!$G$15),0,'Parámetros Proyección'!$G$15)))</f>
        <v/>
      </c>
      <c r="P300" s="35">
        <f>N300+O300</f>
        <v/>
      </c>
      <c r="Q300" s="35">
        <f>V299</f>
        <v/>
      </c>
      <c r="R300" s="35">
        <f>Q300*(1+'Parámetros Proyección'!$E$13)</f>
        <v/>
      </c>
      <c r="S300" s="35">
        <f>R300*'Parámetros Proyección'!$F$13</f>
        <v/>
      </c>
      <c r="T300" s="35">
        <f>R300+S300</f>
        <v/>
      </c>
      <c r="U300" s="35">
        <f>IF((T300/AI300&gt;'Parámetros Proyección'!$G$13),0,D300*'Parámetros Proyección'!$G$13/(IF((H300/AI300&gt;'Parámetros Proyección'!$G$11),0,'Parámetros Proyección'!$G$11)+IF((N300/AI300&gt;'Parámetros Proyección'!$G$12),0,'Parámetros Proyección'!$G$12)+IF((T300/AI300&gt;'Parámetros Proyección'!$G$13),0,'Parámetros Proyección'!$G$13)+IF((Z300/AI300&gt;'Parámetros Proyección'!$G$14),0,'Parámetros Proyección'!$G$14)+IF((AF300/AI300&gt;'Parámetros Proyección'!$G$15),0,'Parámetros Proyección'!$G$15)))</f>
        <v/>
      </c>
      <c r="V300" s="35">
        <f>T300+U300</f>
        <v/>
      </c>
      <c r="W300" s="35">
        <f>AB299</f>
        <v/>
      </c>
      <c r="X300" s="35">
        <f>W300*(1+'Parámetros Proyección'!$E$14)</f>
        <v/>
      </c>
      <c r="Y300" s="35">
        <f>X300*'Parámetros Proyección'!$F$14</f>
        <v/>
      </c>
      <c r="Z300" s="35">
        <f>X300+Y300</f>
        <v/>
      </c>
      <c r="AA300" s="35">
        <f>IF((Z300/AI300&gt;'Parámetros Proyección'!$G$14),0,D300*'Parámetros Proyección'!$G$14/(IF((H300/AI300&gt;'Parámetros Proyección'!$G$11),0,'Parámetros Proyección'!$G$11)+IF((N300/AI300&gt;'Parámetros Proyección'!$G$12),0,'Parámetros Proyección'!$G$12)+IF((T300/AI300&gt;'Parámetros Proyección'!$G$13),0,'Parámetros Proyección'!$G$13)+IF((Z300/AI300&gt;'Parámetros Proyección'!$G$14),0,'Parámetros Proyección'!$G$14)+IF((AF300/AI300&gt;'Parámetros Proyección'!$G$15),0,'Parámetros Proyección'!$G$15)))</f>
        <v/>
      </c>
      <c r="AB300" s="35">
        <f>Z300+AA300</f>
        <v/>
      </c>
      <c r="AC300" s="35">
        <f>AH299</f>
        <v/>
      </c>
      <c r="AD300" s="35">
        <f>AC300*(1+'Parámetros Proyección'!$E$15)</f>
        <v/>
      </c>
      <c r="AE300" s="35">
        <f>AD300*'Parámetros Proyección'!$F$15</f>
        <v/>
      </c>
      <c r="AF300" s="35">
        <f>AD300+AE300</f>
        <v/>
      </c>
      <c r="AG300" s="35">
        <f>IF((AF300/AI300&gt;'Parámetros Proyección'!$G$15),0,D300*'Parámetros Proyección'!$G$15/(IF((H300/AI300&gt;'Parámetros Proyección'!$G$11),0,'Parámetros Proyección'!$G$11)+IF((N300/AI300&gt;'Parámetros Proyección'!$G$12),0,'Parámetros Proyección'!$G$12)+IF((T300/AI300&gt;'Parámetros Proyección'!$G$13),0,'Parámetros Proyección'!$G$13)+IF((Z300/AI300&gt;'Parámetros Proyección'!$G$14),0,'Parámetros Proyección'!$G$14)+IF((AF300/AI300&gt;'Parámetros Proyección'!$G$15),0,'Parámetros Proyección'!$G$15)))</f>
        <v/>
      </c>
      <c r="AH300" s="35">
        <f>AF300+AG300</f>
        <v/>
      </c>
      <c r="AI300" s="35">
        <f>H300+N300+T300+Z300+AF300</f>
        <v/>
      </c>
      <c r="AJ300" s="33">
        <f>AF300/AI300</f>
        <v/>
      </c>
      <c r="AK300">
        <f>IF(AJ300&gt;'Parámetros Proyección'!$B$5,1,0)</f>
        <v/>
      </c>
      <c r="AL300" s="35">
        <f>G300+M300+S300+Y300+AE300</f>
        <v/>
      </c>
      <c r="AM300" s="35">
        <f>AM299+D300</f>
        <v/>
      </c>
      <c r="AN300" s="35">
        <f>AN299+AL300</f>
        <v/>
      </c>
      <c r="AO300" s="35">
        <f>J300+P300+V300+AB300+AH300</f>
        <v/>
      </c>
    </row>
    <row r="301">
      <c r="A301" t="n">
        <v>298</v>
      </c>
      <c r="B301" s="34">
        <f>EDATE(B300,1)</f>
        <v/>
      </c>
      <c r="C301">
        <f>YEAR(B301)</f>
        <v/>
      </c>
      <c r="D301" s="35">
        <f>'Parámetros Proyección'!$B$3*(1+'Parámetros Proyección'!$B$4)^(C301-YEAR('Parámetros Proyección'!$B$6))</f>
        <v/>
      </c>
      <c r="E301" s="35">
        <f>J300</f>
        <v/>
      </c>
      <c r="F301" s="35">
        <f>E301*(1+'Parámetros Proyección'!$E$11)</f>
        <v/>
      </c>
      <c r="G301" s="35">
        <f>F301*'Parámetros Proyección'!$F$11</f>
        <v/>
      </c>
      <c r="H301" s="35">
        <f>F301+G301</f>
        <v/>
      </c>
      <c r="I301" s="35">
        <f>IF((H301/AI301&gt;'Parámetros Proyección'!$G$11),0,D301*'Parámetros Proyección'!$G$11/(IF((H301/AI301&gt;'Parámetros Proyección'!$G$11),0,'Parámetros Proyección'!$G$11)+IF((N301/AI301&gt;'Parámetros Proyección'!$G$12),0,'Parámetros Proyección'!$G$12)+IF((T301/AI301&gt;'Parámetros Proyección'!$G$13),0,'Parámetros Proyección'!$G$13)+IF((Z301/AI301&gt;'Parámetros Proyección'!$G$14),0,'Parámetros Proyección'!$G$14)+IF((AF301/AI301&gt;'Parámetros Proyección'!$G$15),0,'Parámetros Proyección'!$G$15)))</f>
        <v/>
      </c>
      <c r="J301" s="35">
        <f>H301+I301</f>
        <v/>
      </c>
      <c r="K301" s="35">
        <f>P300</f>
        <v/>
      </c>
      <c r="L301" s="35">
        <f>K301*(1+'Parámetros Proyección'!$E$12)</f>
        <v/>
      </c>
      <c r="M301" s="35">
        <f>L301*'Parámetros Proyección'!$F$12</f>
        <v/>
      </c>
      <c r="N301" s="35">
        <f>L301+M301</f>
        <v/>
      </c>
      <c r="O301" s="35">
        <f>IF((N301/AI301&gt;'Parámetros Proyección'!$G$12),0,D301*'Parámetros Proyección'!$G$12/(IF((H301/AI301&gt;'Parámetros Proyección'!$G$11),0,'Parámetros Proyección'!$G$11)+IF((N301/AI301&gt;'Parámetros Proyección'!$G$12),0,'Parámetros Proyección'!$G$12)+IF((T301/AI301&gt;'Parámetros Proyección'!$G$13),0,'Parámetros Proyección'!$G$13)+IF((Z301/AI301&gt;'Parámetros Proyección'!$G$14),0,'Parámetros Proyección'!$G$14)+IF((AF301/AI301&gt;'Parámetros Proyección'!$G$15),0,'Parámetros Proyección'!$G$15)))</f>
        <v/>
      </c>
      <c r="P301" s="35">
        <f>N301+O301</f>
        <v/>
      </c>
      <c r="Q301" s="35">
        <f>V300</f>
        <v/>
      </c>
      <c r="R301" s="35">
        <f>Q301*(1+'Parámetros Proyección'!$E$13)</f>
        <v/>
      </c>
      <c r="S301" s="35">
        <f>R301*'Parámetros Proyección'!$F$13</f>
        <v/>
      </c>
      <c r="T301" s="35">
        <f>R301+S301</f>
        <v/>
      </c>
      <c r="U301" s="35">
        <f>IF((T301/AI301&gt;'Parámetros Proyección'!$G$13),0,D301*'Parámetros Proyección'!$G$13/(IF((H301/AI301&gt;'Parámetros Proyección'!$G$11),0,'Parámetros Proyección'!$G$11)+IF((N301/AI301&gt;'Parámetros Proyección'!$G$12),0,'Parámetros Proyección'!$G$12)+IF((T301/AI301&gt;'Parámetros Proyección'!$G$13),0,'Parámetros Proyección'!$G$13)+IF((Z301/AI301&gt;'Parámetros Proyección'!$G$14),0,'Parámetros Proyección'!$G$14)+IF((AF301/AI301&gt;'Parámetros Proyección'!$G$15),0,'Parámetros Proyección'!$G$15)))</f>
        <v/>
      </c>
      <c r="V301" s="35">
        <f>T301+U301</f>
        <v/>
      </c>
      <c r="W301" s="35">
        <f>AB300</f>
        <v/>
      </c>
      <c r="X301" s="35">
        <f>W301*(1+'Parámetros Proyección'!$E$14)</f>
        <v/>
      </c>
      <c r="Y301" s="35">
        <f>X301*'Parámetros Proyección'!$F$14</f>
        <v/>
      </c>
      <c r="Z301" s="35">
        <f>X301+Y301</f>
        <v/>
      </c>
      <c r="AA301" s="35">
        <f>IF((Z301/AI301&gt;'Parámetros Proyección'!$G$14),0,D301*'Parámetros Proyección'!$G$14/(IF((H301/AI301&gt;'Parámetros Proyección'!$G$11),0,'Parámetros Proyección'!$G$11)+IF((N301/AI301&gt;'Parámetros Proyección'!$G$12),0,'Parámetros Proyección'!$G$12)+IF((T301/AI301&gt;'Parámetros Proyección'!$G$13),0,'Parámetros Proyección'!$G$13)+IF((Z301/AI301&gt;'Parámetros Proyección'!$G$14),0,'Parámetros Proyección'!$G$14)+IF((AF301/AI301&gt;'Parámetros Proyección'!$G$15),0,'Parámetros Proyección'!$G$15)))</f>
        <v/>
      </c>
      <c r="AB301" s="35">
        <f>Z301+AA301</f>
        <v/>
      </c>
      <c r="AC301" s="35">
        <f>AH300</f>
        <v/>
      </c>
      <c r="AD301" s="35">
        <f>AC301*(1+'Parámetros Proyección'!$E$15)</f>
        <v/>
      </c>
      <c r="AE301" s="35">
        <f>AD301*'Parámetros Proyección'!$F$15</f>
        <v/>
      </c>
      <c r="AF301" s="35">
        <f>AD301+AE301</f>
        <v/>
      </c>
      <c r="AG301" s="35">
        <f>IF((AF301/AI301&gt;'Parámetros Proyección'!$G$15),0,D301*'Parámetros Proyección'!$G$15/(IF((H301/AI301&gt;'Parámetros Proyección'!$G$11),0,'Parámetros Proyección'!$G$11)+IF((N301/AI301&gt;'Parámetros Proyección'!$G$12),0,'Parámetros Proyección'!$G$12)+IF((T301/AI301&gt;'Parámetros Proyección'!$G$13),0,'Parámetros Proyección'!$G$13)+IF((Z301/AI301&gt;'Parámetros Proyección'!$G$14),0,'Parámetros Proyección'!$G$14)+IF((AF301/AI301&gt;'Parámetros Proyección'!$G$15),0,'Parámetros Proyección'!$G$15)))</f>
        <v/>
      </c>
      <c r="AH301" s="35">
        <f>AF301+AG301</f>
        <v/>
      </c>
      <c r="AI301" s="35">
        <f>H301+N301+T301+Z301+AF301</f>
        <v/>
      </c>
      <c r="AJ301" s="33">
        <f>AF301/AI301</f>
        <v/>
      </c>
      <c r="AK301">
        <f>IF(AJ301&gt;'Parámetros Proyección'!$B$5,1,0)</f>
        <v/>
      </c>
      <c r="AL301" s="35">
        <f>G301+M301+S301+Y301+AE301</f>
        <v/>
      </c>
      <c r="AM301" s="35">
        <f>AM300+D301</f>
        <v/>
      </c>
      <c r="AN301" s="35">
        <f>AN300+AL301</f>
        <v/>
      </c>
      <c r="AO301" s="35">
        <f>J301+P301+V301+AB301+AH301</f>
        <v/>
      </c>
    </row>
    <row r="302">
      <c r="A302" t="n">
        <v>299</v>
      </c>
      <c r="B302" s="34">
        <f>EDATE(B301,1)</f>
        <v/>
      </c>
      <c r="C302">
        <f>YEAR(B302)</f>
        <v/>
      </c>
      <c r="D302" s="35">
        <f>'Parámetros Proyección'!$B$3*(1+'Parámetros Proyección'!$B$4)^(C302-YEAR('Parámetros Proyección'!$B$6))</f>
        <v/>
      </c>
      <c r="E302" s="35">
        <f>J301</f>
        <v/>
      </c>
      <c r="F302" s="35">
        <f>E302*(1+'Parámetros Proyección'!$E$11)</f>
        <v/>
      </c>
      <c r="G302" s="35">
        <f>F302*'Parámetros Proyección'!$F$11</f>
        <v/>
      </c>
      <c r="H302" s="35">
        <f>F302+G302</f>
        <v/>
      </c>
      <c r="I302" s="35">
        <f>IF((H302/AI302&gt;'Parámetros Proyección'!$G$11),0,D302*'Parámetros Proyección'!$G$11/(IF((H302/AI302&gt;'Parámetros Proyección'!$G$11),0,'Parámetros Proyección'!$G$11)+IF((N302/AI302&gt;'Parámetros Proyección'!$G$12),0,'Parámetros Proyección'!$G$12)+IF((T302/AI302&gt;'Parámetros Proyección'!$G$13),0,'Parámetros Proyección'!$G$13)+IF((Z302/AI302&gt;'Parámetros Proyección'!$G$14),0,'Parámetros Proyección'!$G$14)+IF((AF302/AI302&gt;'Parámetros Proyección'!$G$15),0,'Parámetros Proyección'!$G$15)))</f>
        <v/>
      </c>
      <c r="J302" s="35">
        <f>H302+I302</f>
        <v/>
      </c>
      <c r="K302" s="35">
        <f>P301</f>
        <v/>
      </c>
      <c r="L302" s="35">
        <f>K302*(1+'Parámetros Proyección'!$E$12)</f>
        <v/>
      </c>
      <c r="M302" s="35">
        <f>L302*'Parámetros Proyección'!$F$12</f>
        <v/>
      </c>
      <c r="N302" s="35">
        <f>L302+M302</f>
        <v/>
      </c>
      <c r="O302" s="35">
        <f>IF((N302/AI302&gt;'Parámetros Proyección'!$G$12),0,D302*'Parámetros Proyección'!$G$12/(IF((H302/AI302&gt;'Parámetros Proyección'!$G$11),0,'Parámetros Proyección'!$G$11)+IF((N302/AI302&gt;'Parámetros Proyección'!$G$12),0,'Parámetros Proyección'!$G$12)+IF((T302/AI302&gt;'Parámetros Proyección'!$G$13),0,'Parámetros Proyección'!$G$13)+IF((Z302/AI302&gt;'Parámetros Proyección'!$G$14),0,'Parámetros Proyección'!$G$14)+IF((AF302/AI302&gt;'Parámetros Proyección'!$G$15),0,'Parámetros Proyección'!$G$15)))</f>
        <v/>
      </c>
      <c r="P302" s="35">
        <f>N302+O302</f>
        <v/>
      </c>
      <c r="Q302" s="35">
        <f>V301</f>
        <v/>
      </c>
      <c r="R302" s="35">
        <f>Q302*(1+'Parámetros Proyección'!$E$13)</f>
        <v/>
      </c>
      <c r="S302" s="35">
        <f>R302*'Parámetros Proyección'!$F$13</f>
        <v/>
      </c>
      <c r="T302" s="35">
        <f>R302+S302</f>
        <v/>
      </c>
      <c r="U302" s="35">
        <f>IF((T302/AI302&gt;'Parámetros Proyección'!$G$13),0,D302*'Parámetros Proyección'!$G$13/(IF((H302/AI302&gt;'Parámetros Proyección'!$G$11),0,'Parámetros Proyección'!$G$11)+IF((N302/AI302&gt;'Parámetros Proyección'!$G$12),0,'Parámetros Proyección'!$G$12)+IF((T302/AI302&gt;'Parámetros Proyección'!$G$13),0,'Parámetros Proyección'!$G$13)+IF((Z302/AI302&gt;'Parámetros Proyección'!$G$14),0,'Parámetros Proyección'!$G$14)+IF((AF302/AI302&gt;'Parámetros Proyección'!$G$15),0,'Parámetros Proyección'!$G$15)))</f>
        <v/>
      </c>
      <c r="V302" s="35">
        <f>T302+U302</f>
        <v/>
      </c>
      <c r="W302" s="35">
        <f>AB301</f>
        <v/>
      </c>
      <c r="X302" s="35">
        <f>W302*(1+'Parámetros Proyección'!$E$14)</f>
        <v/>
      </c>
      <c r="Y302" s="35">
        <f>X302*'Parámetros Proyección'!$F$14</f>
        <v/>
      </c>
      <c r="Z302" s="35">
        <f>X302+Y302</f>
        <v/>
      </c>
      <c r="AA302" s="35">
        <f>IF((Z302/AI302&gt;'Parámetros Proyección'!$G$14),0,D302*'Parámetros Proyección'!$G$14/(IF((H302/AI302&gt;'Parámetros Proyección'!$G$11),0,'Parámetros Proyección'!$G$11)+IF((N302/AI302&gt;'Parámetros Proyección'!$G$12),0,'Parámetros Proyección'!$G$12)+IF((T302/AI302&gt;'Parámetros Proyección'!$G$13),0,'Parámetros Proyección'!$G$13)+IF((Z302/AI302&gt;'Parámetros Proyección'!$G$14),0,'Parámetros Proyección'!$G$14)+IF((AF302/AI302&gt;'Parámetros Proyección'!$G$15),0,'Parámetros Proyección'!$G$15)))</f>
        <v/>
      </c>
      <c r="AB302" s="35">
        <f>Z302+AA302</f>
        <v/>
      </c>
      <c r="AC302" s="35">
        <f>AH301</f>
        <v/>
      </c>
      <c r="AD302" s="35">
        <f>AC302*(1+'Parámetros Proyección'!$E$15)</f>
        <v/>
      </c>
      <c r="AE302" s="35">
        <f>AD302*'Parámetros Proyección'!$F$15</f>
        <v/>
      </c>
      <c r="AF302" s="35">
        <f>AD302+AE302</f>
        <v/>
      </c>
      <c r="AG302" s="35">
        <f>IF((AF302/AI302&gt;'Parámetros Proyección'!$G$15),0,D302*'Parámetros Proyección'!$G$15/(IF((H302/AI302&gt;'Parámetros Proyección'!$G$11),0,'Parámetros Proyección'!$G$11)+IF((N302/AI302&gt;'Parámetros Proyección'!$G$12),0,'Parámetros Proyección'!$G$12)+IF((T302/AI302&gt;'Parámetros Proyección'!$G$13),0,'Parámetros Proyección'!$G$13)+IF((Z302/AI302&gt;'Parámetros Proyección'!$G$14),0,'Parámetros Proyección'!$G$14)+IF((AF302/AI302&gt;'Parámetros Proyección'!$G$15),0,'Parámetros Proyección'!$G$15)))</f>
        <v/>
      </c>
      <c r="AH302" s="35">
        <f>AF302+AG302</f>
        <v/>
      </c>
      <c r="AI302" s="35">
        <f>H302+N302+T302+Z302+AF302</f>
        <v/>
      </c>
      <c r="AJ302" s="33">
        <f>AF302/AI302</f>
        <v/>
      </c>
      <c r="AK302">
        <f>IF(AJ302&gt;'Parámetros Proyección'!$B$5,1,0)</f>
        <v/>
      </c>
      <c r="AL302" s="35">
        <f>G302+M302+S302+Y302+AE302</f>
        <v/>
      </c>
      <c r="AM302" s="35">
        <f>AM301+D302</f>
        <v/>
      </c>
      <c r="AN302" s="35">
        <f>AN301+AL302</f>
        <v/>
      </c>
      <c r="AO302" s="35">
        <f>J302+P302+V302+AB302+AH302</f>
        <v/>
      </c>
    </row>
    <row r="303">
      <c r="A303" t="n">
        <v>300</v>
      </c>
      <c r="B303" s="34">
        <f>EDATE(B302,1)</f>
        <v/>
      </c>
      <c r="C303">
        <f>YEAR(B303)</f>
        <v/>
      </c>
      <c r="D303" s="35">
        <f>'Parámetros Proyección'!$B$3*(1+'Parámetros Proyección'!$B$4)^(C303-YEAR('Parámetros Proyección'!$B$6))</f>
        <v/>
      </c>
      <c r="E303" s="35">
        <f>J302</f>
        <v/>
      </c>
      <c r="F303" s="35">
        <f>E303*(1+'Parámetros Proyección'!$E$11)</f>
        <v/>
      </c>
      <c r="G303" s="35">
        <f>F303*'Parámetros Proyección'!$F$11</f>
        <v/>
      </c>
      <c r="H303" s="35">
        <f>F303+G303</f>
        <v/>
      </c>
      <c r="I303" s="35">
        <f>IF((H303/AI303&gt;'Parámetros Proyección'!$G$11),0,D303*'Parámetros Proyección'!$G$11/(IF((H303/AI303&gt;'Parámetros Proyección'!$G$11),0,'Parámetros Proyección'!$G$11)+IF((N303/AI303&gt;'Parámetros Proyección'!$G$12),0,'Parámetros Proyección'!$G$12)+IF((T303/AI303&gt;'Parámetros Proyección'!$G$13),0,'Parámetros Proyección'!$G$13)+IF((Z303/AI303&gt;'Parámetros Proyección'!$G$14),0,'Parámetros Proyección'!$G$14)+IF((AF303/AI303&gt;'Parámetros Proyección'!$G$15),0,'Parámetros Proyección'!$G$15)))</f>
        <v/>
      </c>
      <c r="J303" s="35">
        <f>H303+I303</f>
        <v/>
      </c>
      <c r="K303" s="35">
        <f>P302</f>
        <v/>
      </c>
      <c r="L303" s="35">
        <f>K303*(1+'Parámetros Proyección'!$E$12)</f>
        <v/>
      </c>
      <c r="M303" s="35">
        <f>L303*'Parámetros Proyección'!$F$12</f>
        <v/>
      </c>
      <c r="N303" s="35">
        <f>L303+M303</f>
        <v/>
      </c>
      <c r="O303" s="35">
        <f>IF((N303/AI303&gt;'Parámetros Proyección'!$G$12),0,D303*'Parámetros Proyección'!$G$12/(IF((H303/AI303&gt;'Parámetros Proyección'!$G$11),0,'Parámetros Proyección'!$G$11)+IF((N303/AI303&gt;'Parámetros Proyección'!$G$12),0,'Parámetros Proyección'!$G$12)+IF((T303/AI303&gt;'Parámetros Proyección'!$G$13),0,'Parámetros Proyección'!$G$13)+IF((Z303/AI303&gt;'Parámetros Proyección'!$G$14),0,'Parámetros Proyección'!$G$14)+IF((AF303/AI303&gt;'Parámetros Proyección'!$G$15),0,'Parámetros Proyección'!$G$15)))</f>
        <v/>
      </c>
      <c r="P303" s="35">
        <f>N303+O303</f>
        <v/>
      </c>
      <c r="Q303" s="35">
        <f>V302</f>
        <v/>
      </c>
      <c r="R303" s="35">
        <f>Q303*(1+'Parámetros Proyección'!$E$13)</f>
        <v/>
      </c>
      <c r="S303" s="35">
        <f>R303*'Parámetros Proyección'!$F$13</f>
        <v/>
      </c>
      <c r="T303" s="35">
        <f>R303+S303</f>
        <v/>
      </c>
      <c r="U303" s="35">
        <f>IF((T303/AI303&gt;'Parámetros Proyección'!$G$13),0,D303*'Parámetros Proyección'!$G$13/(IF((H303/AI303&gt;'Parámetros Proyección'!$G$11),0,'Parámetros Proyección'!$G$11)+IF((N303/AI303&gt;'Parámetros Proyección'!$G$12),0,'Parámetros Proyección'!$G$12)+IF((T303/AI303&gt;'Parámetros Proyección'!$G$13),0,'Parámetros Proyección'!$G$13)+IF((Z303/AI303&gt;'Parámetros Proyección'!$G$14),0,'Parámetros Proyección'!$G$14)+IF((AF303/AI303&gt;'Parámetros Proyección'!$G$15),0,'Parámetros Proyección'!$G$15)))</f>
        <v/>
      </c>
      <c r="V303" s="35">
        <f>T303+U303</f>
        <v/>
      </c>
      <c r="W303" s="35">
        <f>AB302</f>
        <v/>
      </c>
      <c r="X303" s="35">
        <f>W303*(1+'Parámetros Proyección'!$E$14)</f>
        <v/>
      </c>
      <c r="Y303" s="35">
        <f>X303*'Parámetros Proyección'!$F$14</f>
        <v/>
      </c>
      <c r="Z303" s="35">
        <f>X303+Y303</f>
        <v/>
      </c>
      <c r="AA303" s="35">
        <f>IF((Z303/AI303&gt;'Parámetros Proyección'!$G$14),0,D303*'Parámetros Proyección'!$G$14/(IF((H303/AI303&gt;'Parámetros Proyección'!$G$11),0,'Parámetros Proyección'!$G$11)+IF((N303/AI303&gt;'Parámetros Proyección'!$G$12),0,'Parámetros Proyección'!$G$12)+IF((T303/AI303&gt;'Parámetros Proyección'!$G$13),0,'Parámetros Proyección'!$G$13)+IF((Z303/AI303&gt;'Parámetros Proyección'!$G$14),0,'Parámetros Proyección'!$G$14)+IF((AF303/AI303&gt;'Parámetros Proyección'!$G$15),0,'Parámetros Proyección'!$G$15)))</f>
        <v/>
      </c>
      <c r="AB303" s="35">
        <f>Z303+AA303</f>
        <v/>
      </c>
      <c r="AC303" s="35">
        <f>AH302</f>
        <v/>
      </c>
      <c r="AD303" s="35">
        <f>AC303*(1+'Parámetros Proyección'!$E$15)</f>
        <v/>
      </c>
      <c r="AE303" s="35">
        <f>AD303*'Parámetros Proyección'!$F$15</f>
        <v/>
      </c>
      <c r="AF303" s="35">
        <f>AD303+AE303</f>
        <v/>
      </c>
      <c r="AG303" s="35">
        <f>IF((AF303/AI303&gt;'Parámetros Proyección'!$G$15),0,D303*'Parámetros Proyección'!$G$15/(IF((H303/AI303&gt;'Parámetros Proyección'!$G$11),0,'Parámetros Proyección'!$G$11)+IF((N303/AI303&gt;'Parámetros Proyección'!$G$12),0,'Parámetros Proyección'!$G$12)+IF((T303/AI303&gt;'Parámetros Proyección'!$G$13),0,'Parámetros Proyección'!$G$13)+IF((Z303/AI303&gt;'Parámetros Proyección'!$G$14),0,'Parámetros Proyección'!$G$14)+IF((AF303/AI303&gt;'Parámetros Proyección'!$G$15),0,'Parámetros Proyección'!$G$15)))</f>
        <v/>
      </c>
      <c r="AH303" s="35">
        <f>AF303+AG303</f>
        <v/>
      </c>
      <c r="AI303" s="35">
        <f>H303+N303+T303+Z303+AF303</f>
        <v/>
      </c>
      <c r="AJ303" s="33">
        <f>AF303/AI303</f>
        <v/>
      </c>
      <c r="AK303">
        <f>IF(AJ303&gt;'Parámetros Proyección'!$B$5,1,0)</f>
        <v/>
      </c>
      <c r="AL303" s="35">
        <f>G303+M303+S303+Y303+AE303</f>
        <v/>
      </c>
      <c r="AM303" s="35">
        <f>AM302+D303</f>
        <v/>
      </c>
      <c r="AN303" s="35">
        <f>AN302+AL303</f>
        <v/>
      </c>
      <c r="AO303" s="35">
        <f>J303+P303+V303+AB303+AH303</f>
        <v/>
      </c>
    </row>
    <row r="304">
      <c r="A304" t="n">
        <v>301</v>
      </c>
      <c r="B304" s="34">
        <f>EDATE(B303,1)</f>
        <v/>
      </c>
      <c r="C304">
        <f>YEAR(B304)</f>
        <v/>
      </c>
      <c r="D304" s="35">
        <f>'Parámetros Proyección'!$B$3*(1+'Parámetros Proyección'!$B$4)^(C304-YEAR('Parámetros Proyección'!$B$6))</f>
        <v/>
      </c>
      <c r="E304" s="35">
        <f>J303</f>
        <v/>
      </c>
      <c r="F304" s="35">
        <f>E304*(1+'Parámetros Proyección'!$E$11)</f>
        <v/>
      </c>
      <c r="G304" s="35">
        <f>F304*'Parámetros Proyección'!$F$11</f>
        <v/>
      </c>
      <c r="H304" s="35">
        <f>F304+G304</f>
        <v/>
      </c>
      <c r="I304" s="35">
        <f>IF((H304/AI304&gt;'Parámetros Proyección'!$G$11),0,D304*'Parámetros Proyección'!$G$11/(IF((H304/AI304&gt;'Parámetros Proyección'!$G$11),0,'Parámetros Proyección'!$G$11)+IF((N304/AI304&gt;'Parámetros Proyección'!$G$12),0,'Parámetros Proyección'!$G$12)+IF((T304/AI304&gt;'Parámetros Proyección'!$G$13),0,'Parámetros Proyección'!$G$13)+IF((Z304/AI304&gt;'Parámetros Proyección'!$G$14),0,'Parámetros Proyección'!$G$14)+IF((AF304/AI304&gt;'Parámetros Proyección'!$G$15),0,'Parámetros Proyección'!$G$15)))</f>
        <v/>
      </c>
      <c r="J304" s="35">
        <f>H304+I304</f>
        <v/>
      </c>
      <c r="K304" s="35">
        <f>P303</f>
        <v/>
      </c>
      <c r="L304" s="35">
        <f>K304*(1+'Parámetros Proyección'!$E$12)</f>
        <v/>
      </c>
      <c r="M304" s="35">
        <f>L304*'Parámetros Proyección'!$F$12</f>
        <v/>
      </c>
      <c r="N304" s="35">
        <f>L304+M304</f>
        <v/>
      </c>
      <c r="O304" s="35">
        <f>IF((N304/AI304&gt;'Parámetros Proyección'!$G$12),0,D304*'Parámetros Proyección'!$G$12/(IF((H304/AI304&gt;'Parámetros Proyección'!$G$11),0,'Parámetros Proyección'!$G$11)+IF((N304/AI304&gt;'Parámetros Proyección'!$G$12),0,'Parámetros Proyección'!$G$12)+IF((T304/AI304&gt;'Parámetros Proyección'!$G$13),0,'Parámetros Proyección'!$G$13)+IF((Z304/AI304&gt;'Parámetros Proyección'!$G$14),0,'Parámetros Proyección'!$G$14)+IF((AF304/AI304&gt;'Parámetros Proyección'!$G$15),0,'Parámetros Proyección'!$G$15)))</f>
        <v/>
      </c>
      <c r="P304" s="35">
        <f>N304+O304</f>
        <v/>
      </c>
      <c r="Q304" s="35">
        <f>V303</f>
        <v/>
      </c>
      <c r="R304" s="35">
        <f>Q304*(1+'Parámetros Proyección'!$E$13)</f>
        <v/>
      </c>
      <c r="S304" s="35">
        <f>R304*'Parámetros Proyección'!$F$13</f>
        <v/>
      </c>
      <c r="T304" s="35">
        <f>R304+S304</f>
        <v/>
      </c>
      <c r="U304" s="35">
        <f>IF((T304/AI304&gt;'Parámetros Proyección'!$G$13),0,D304*'Parámetros Proyección'!$G$13/(IF((H304/AI304&gt;'Parámetros Proyección'!$G$11),0,'Parámetros Proyección'!$G$11)+IF((N304/AI304&gt;'Parámetros Proyección'!$G$12),0,'Parámetros Proyección'!$G$12)+IF((T304/AI304&gt;'Parámetros Proyección'!$G$13),0,'Parámetros Proyección'!$G$13)+IF((Z304/AI304&gt;'Parámetros Proyección'!$G$14),0,'Parámetros Proyección'!$G$14)+IF((AF304/AI304&gt;'Parámetros Proyección'!$G$15),0,'Parámetros Proyección'!$G$15)))</f>
        <v/>
      </c>
      <c r="V304" s="35">
        <f>T304+U304</f>
        <v/>
      </c>
      <c r="W304" s="35">
        <f>AB303</f>
        <v/>
      </c>
      <c r="X304" s="35">
        <f>W304*(1+'Parámetros Proyección'!$E$14)</f>
        <v/>
      </c>
      <c r="Y304" s="35">
        <f>X304*'Parámetros Proyección'!$F$14</f>
        <v/>
      </c>
      <c r="Z304" s="35">
        <f>X304+Y304</f>
        <v/>
      </c>
      <c r="AA304" s="35">
        <f>IF((Z304/AI304&gt;'Parámetros Proyección'!$G$14),0,D304*'Parámetros Proyección'!$G$14/(IF((H304/AI304&gt;'Parámetros Proyección'!$G$11),0,'Parámetros Proyección'!$G$11)+IF((N304/AI304&gt;'Parámetros Proyección'!$G$12),0,'Parámetros Proyección'!$G$12)+IF((T304/AI304&gt;'Parámetros Proyección'!$G$13),0,'Parámetros Proyección'!$G$13)+IF((Z304/AI304&gt;'Parámetros Proyección'!$G$14),0,'Parámetros Proyección'!$G$14)+IF((AF304/AI304&gt;'Parámetros Proyección'!$G$15),0,'Parámetros Proyección'!$G$15)))</f>
        <v/>
      </c>
      <c r="AB304" s="35">
        <f>Z304+AA304</f>
        <v/>
      </c>
      <c r="AC304" s="35">
        <f>AH303</f>
        <v/>
      </c>
      <c r="AD304" s="35">
        <f>AC304*(1+'Parámetros Proyección'!$E$15)</f>
        <v/>
      </c>
      <c r="AE304" s="35">
        <f>AD304*'Parámetros Proyección'!$F$15</f>
        <v/>
      </c>
      <c r="AF304" s="35">
        <f>AD304+AE304</f>
        <v/>
      </c>
      <c r="AG304" s="35">
        <f>IF((AF304/AI304&gt;'Parámetros Proyección'!$G$15),0,D304*'Parámetros Proyección'!$G$15/(IF((H304/AI304&gt;'Parámetros Proyección'!$G$11),0,'Parámetros Proyección'!$G$11)+IF((N304/AI304&gt;'Parámetros Proyección'!$G$12),0,'Parámetros Proyección'!$G$12)+IF((T304/AI304&gt;'Parámetros Proyección'!$G$13),0,'Parámetros Proyección'!$G$13)+IF((Z304/AI304&gt;'Parámetros Proyección'!$G$14),0,'Parámetros Proyección'!$G$14)+IF((AF304/AI304&gt;'Parámetros Proyección'!$G$15),0,'Parámetros Proyección'!$G$15)))</f>
        <v/>
      </c>
      <c r="AH304" s="35">
        <f>AF304+AG304</f>
        <v/>
      </c>
      <c r="AI304" s="35">
        <f>H304+N304+T304+Z304+AF304</f>
        <v/>
      </c>
      <c r="AJ304" s="33">
        <f>AF304/AI304</f>
        <v/>
      </c>
      <c r="AK304">
        <f>IF(AJ304&gt;'Parámetros Proyección'!$B$5,1,0)</f>
        <v/>
      </c>
      <c r="AL304" s="35">
        <f>G304+M304+S304+Y304+AE304</f>
        <v/>
      </c>
      <c r="AM304" s="35">
        <f>AM303+D304</f>
        <v/>
      </c>
      <c r="AN304" s="35">
        <f>AN303+AL304</f>
        <v/>
      </c>
      <c r="AO304" s="35">
        <f>J304+P304+V304+AB304+AH304</f>
        <v/>
      </c>
    </row>
    <row r="305">
      <c r="A305" t="n">
        <v>302</v>
      </c>
      <c r="B305" s="34">
        <f>EDATE(B304,1)</f>
        <v/>
      </c>
      <c r="C305">
        <f>YEAR(B305)</f>
        <v/>
      </c>
      <c r="D305" s="35">
        <f>'Parámetros Proyección'!$B$3*(1+'Parámetros Proyección'!$B$4)^(C305-YEAR('Parámetros Proyección'!$B$6))</f>
        <v/>
      </c>
      <c r="E305" s="35">
        <f>J304</f>
        <v/>
      </c>
      <c r="F305" s="35">
        <f>E305*(1+'Parámetros Proyección'!$E$11)</f>
        <v/>
      </c>
      <c r="G305" s="35">
        <f>F305*'Parámetros Proyección'!$F$11</f>
        <v/>
      </c>
      <c r="H305" s="35">
        <f>F305+G305</f>
        <v/>
      </c>
      <c r="I305" s="35">
        <f>IF((H305/AI305&gt;'Parámetros Proyección'!$G$11),0,D305*'Parámetros Proyección'!$G$11/(IF((H305/AI305&gt;'Parámetros Proyección'!$G$11),0,'Parámetros Proyección'!$G$11)+IF((N305/AI305&gt;'Parámetros Proyección'!$G$12),0,'Parámetros Proyección'!$G$12)+IF((T305/AI305&gt;'Parámetros Proyección'!$G$13),0,'Parámetros Proyección'!$G$13)+IF((Z305/AI305&gt;'Parámetros Proyección'!$G$14),0,'Parámetros Proyección'!$G$14)+IF((AF305/AI305&gt;'Parámetros Proyección'!$G$15),0,'Parámetros Proyección'!$G$15)))</f>
        <v/>
      </c>
      <c r="J305" s="35">
        <f>H305+I305</f>
        <v/>
      </c>
      <c r="K305" s="35">
        <f>P304</f>
        <v/>
      </c>
      <c r="L305" s="35">
        <f>K305*(1+'Parámetros Proyección'!$E$12)</f>
        <v/>
      </c>
      <c r="M305" s="35">
        <f>L305*'Parámetros Proyección'!$F$12</f>
        <v/>
      </c>
      <c r="N305" s="35">
        <f>L305+M305</f>
        <v/>
      </c>
      <c r="O305" s="35">
        <f>IF((N305/AI305&gt;'Parámetros Proyección'!$G$12),0,D305*'Parámetros Proyección'!$G$12/(IF((H305/AI305&gt;'Parámetros Proyección'!$G$11),0,'Parámetros Proyección'!$G$11)+IF((N305/AI305&gt;'Parámetros Proyección'!$G$12),0,'Parámetros Proyección'!$G$12)+IF((T305/AI305&gt;'Parámetros Proyección'!$G$13),0,'Parámetros Proyección'!$G$13)+IF((Z305/AI305&gt;'Parámetros Proyección'!$G$14),0,'Parámetros Proyección'!$G$14)+IF((AF305/AI305&gt;'Parámetros Proyección'!$G$15),0,'Parámetros Proyección'!$G$15)))</f>
        <v/>
      </c>
      <c r="P305" s="35">
        <f>N305+O305</f>
        <v/>
      </c>
      <c r="Q305" s="35">
        <f>V304</f>
        <v/>
      </c>
      <c r="R305" s="35">
        <f>Q305*(1+'Parámetros Proyección'!$E$13)</f>
        <v/>
      </c>
      <c r="S305" s="35">
        <f>R305*'Parámetros Proyección'!$F$13</f>
        <v/>
      </c>
      <c r="T305" s="35">
        <f>R305+S305</f>
        <v/>
      </c>
      <c r="U305" s="35">
        <f>IF((T305/AI305&gt;'Parámetros Proyección'!$G$13),0,D305*'Parámetros Proyección'!$G$13/(IF((H305/AI305&gt;'Parámetros Proyección'!$G$11),0,'Parámetros Proyección'!$G$11)+IF((N305/AI305&gt;'Parámetros Proyección'!$G$12),0,'Parámetros Proyección'!$G$12)+IF((T305/AI305&gt;'Parámetros Proyección'!$G$13),0,'Parámetros Proyección'!$G$13)+IF((Z305/AI305&gt;'Parámetros Proyección'!$G$14),0,'Parámetros Proyección'!$G$14)+IF((AF305/AI305&gt;'Parámetros Proyección'!$G$15),0,'Parámetros Proyección'!$G$15)))</f>
        <v/>
      </c>
      <c r="V305" s="35">
        <f>T305+U305</f>
        <v/>
      </c>
      <c r="W305" s="35">
        <f>AB304</f>
        <v/>
      </c>
      <c r="X305" s="35">
        <f>W305*(1+'Parámetros Proyección'!$E$14)</f>
        <v/>
      </c>
      <c r="Y305" s="35">
        <f>X305*'Parámetros Proyección'!$F$14</f>
        <v/>
      </c>
      <c r="Z305" s="35">
        <f>X305+Y305</f>
        <v/>
      </c>
      <c r="AA305" s="35">
        <f>IF((Z305/AI305&gt;'Parámetros Proyección'!$G$14),0,D305*'Parámetros Proyección'!$G$14/(IF((H305/AI305&gt;'Parámetros Proyección'!$G$11),0,'Parámetros Proyección'!$G$11)+IF((N305/AI305&gt;'Parámetros Proyección'!$G$12),0,'Parámetros Proyección'!$G$12)+IF((T305/AI305&gt;'Parámetros Proyección'!$G$13),0,'Parámetros Proyección'!$G$13)+IF((Z305/AI305&gt;'Parámetros Proyección'!$G$14),0,'Parámetros Proyección'!$G$14)+IF((AF305/AI305&gt;'Parámetros Proyección'!$G$15),0,'Parámetros Proyección'!$G$15)))</f>
        <v/>
      </c>
      <c r="AB305" s="35">
        <f>Z305+AA305</f>
        <v/>
      </c>
      <c r="AC305" s="35">
        <f>AH304</f>
        <v/>
      </c>
      <c r="AD305" s="35">
        <f>AC305*(1+'Parámetros Proyección'!$E$15)</f>
        <v/>
      </c>
      <c r="AE305" s="35">
        <f>AD305*'Parámetros Proyección'!$F$15</f>
        <v/>
      </c>
      <c r="AF305" s="35">
        <f>AD305+AE305</f>
        <v/>
      </c>
      <c r="AG305" s="35">
        <f>IF((AF305/AI305&gt;'Parámetros Proyección'!$G$15),0,D305*'Parámetros Proyección'!$G$15/(IF((H305/AI305&gt;'Parámetros Proyección'!$G$11),0,'Parámetros Proyección'!$G$11)+IF((N305/AI305&gt;'Parámetros Proyección'!$G$12),0,'Parámetros Proyección'!$G$12)+IF((T305/AI305&gt;'Parámetros Proyección'!$G$13),0,'Parámetros Proyección'!$G$13)+IF((Z305/AI305&gt;'Parámetros Proyección'!$G$14),0,'Parámetros Proyección'!$G$14)+IF((AF305/AI305&gt;'Parámetros Proyección'!$G$15),0,'Parámetros Proyección'!$G$15)))</f>
        <v/>
      </c>
      <c r="AH305" s="35">
        <f>AF305+AG305</f>
        <v/>
      </c>
      <c r="AI305" s="35">
        <f>H305+N305+T305+Z305+AF305</f>
        <v/>
      </c>
      <c r="AJ305" s="33">
        <f>AF305/AI305</f>
        <v/>
      </c>
      <c r="AK305">
        <f>IF(AJ305&gt;'Parámetros Proyección'!$B$5,1,0)</f>
        <v/>
      </c>
      <c r="AL305" s="35">
        <f>G305+M305+S305+Y305+AE305</f>
        <v/>
      </c>
      <c r="AM305" s="35">
        <f>AM304+D305</f>
        <v/>
      </c>
      <c r="AN305" s="35">
        <f>AN304+AL305</f>
        <v/>
      </c>
      <c r="AO305" s="35">
        <f>J305+P305+V305+AB305+AH305</f>
        <v/>
      </c>
    </row>
    <row r="306">
      <c r="A306" t="n">
        <v>303</v>
      </c>
      <c r="B306" s="34">
        <f>EDATE(B305,1)</f>
        <v/>
      </c>
      <c r="C306">
        <f>YEAR(B306)</f>
        <v/>
      </c>
      <c r="D306" s="35">
        <f>'Parámetros Proyección'!$B$3*(1+'Parámetros Proyección'!$B$4)^(C306-YEAR('Parámetros Proyección'!$B$6))</f>
        <v/>
      </c>
      <c r="E306" s="35">
        <f>J305</f>
        <v/>
      </c>
      <c r="F306" s="35">
        <f>E306*(1+'Parámetros Proyección'!$E$11)</f>
        <v/>
      </c>
      <c r="G306" s="35">
        <f>F306*'Parámetros Proyección'!$F$11</f>
        <v/>
      </c>
      <c r="H306" s="35">
        <f>F306+G306</f>
        <v/>
      </c>
      <c r="I306" s="35">
        <f>IF((H306/AI306&gt;'Parámetros Proyección'!$G$11),0,D306*'Parámetros Proyección'!$G$11/(IF((H306/AI306&gt;'Parámetros Proyección'!$G$11),0,'Parámetros Proyección'!$G$11)+IF((N306/AI306&gt;'Parámetros Proyección'!$G$12),0,'Parámetros Proyección'!$G$12)+IF((T306/AI306&gt;'Parámetros Proyección'!$G$13),0,'Parámetros Proyección'!$G$13)+IF((Z306/AI306&gt;'Parámetros Proyección'!$G$14),0,'Parámetros Proyección'!$G$14)+IF((AF306/AI306&gt;'Parámetros Proyección'!$G$15),0,'Parámetros Proyección'!$G$15)))</f>
        <v/>
      </c>
      <c r="J306" s="35">
        <f>H306+I306</f>
        <v/>
      </c>
      <c r="K306" s="35">
        <f>P305</f>
        <v/>
      </c>
      <c r="L306" s="35">
        <f>K306*(1+'Parámetros Proyección'!$E$12)</f>
        <v/>
      </c>
      <c r="M306" s="35">
        <f>L306*'Parámetros Proyección'!$F$12</f>
        <v/>
      </c>
      <c r="N306" s="35">
        <f>L306+M306</f>
        <v/>
      </c>
      <c r="O306" s="35">
        <f>IF((N306/AI306&gt;'Parámetros Proyección'!$G$12),0,D306*'Parámetros Proyección'!$G$12/(IF((H306/AI306&gt;'Parámetros Proyección'!$G$11),0,'Parámetros Proyección'!$G$11)+IF((N306/AI306&gt;'Parámetros Proyección'!$G$12),0,'Parámetros Proyección'!$G$12)+IF((T306/AI306&gt;'Parámetros Proyección'!$G$13),0,'Parámetros Proyección'!$G$13)+IF((Z306/AI306&gt;'Parámetros Proyección'!$G$14),0,'Parámetros Proyección'!$G$14)+IF((AF306/AI306&gt;'Parámetros Proyección'!$G$15),0,'Parámetros Proyección'!$G$15)))</f>
        <v/>
      </c>
      <c r="P306" s="35">
        <f>N306+O306</f>
        <v/>
      </c>
      <c r="Q306" s="35">
        <f>V305</f>
        <v/>
      </c>
      <c r="R306" s="35">
        <f>Q306*(1+'Parámetros Proyección'!$E$13)</f>
        <v/>
      </c>
      <c r="S306" s="35">
        <f>R306*'Parámetros Proyección'!$F$13</f>
        <v/>
      </c>
      <c r="T306" s="35">
        <f>R306+S306</f>
        <v/>
      </c>
      <c r="U306" s="35">
        <f>IF((T306/AI306&gt;'Parámetros Proyección'!$G$13),0,D306*'Parámetros Proyección'!$G$13/(IF((H306/AI306&gt;'Parámetros Proyección'!$G$11),0,'Parámetros Proyección'!$G$11)+IF((N306/AI306&gt;'Parámetros Proyección'!$G$12),0,'Parámetros Proyección'!$G$12)+IF((T306/AI306&gt;'Parámetros Proyección'!$G$13),0,'Parámetros Proyección'!$G$13)+IF((Z306/AI306&gt;'Parámetros Proyección'!$G$14),0,'Parámetros Proyección'!$G$14)+IF((AF306/AI306&gt;'Parámetros Proyección'!$G$15),0,'Parámetros Proyección'!$G$15)))</f>
        <v/>
      </c>
      <c r="V306" s="35">
        <f>T306+U306</f>
        <v/>
      </c>
      <c r="W306" s="35">
        <f>AB305</f>
        <v/>
      </c>
      <c r="X306" s="35">
        <f>W306*(1+'Parámetros Proyección'!$E$14)</f>
        <v/>
      </c>
      <c r="Y306" s="35">
        <f>X306*'Parámetros Proyección'!$F$14</f>
        <v/>
      </c>
      <c r="Z306" s="35">
        <f>X306+Y306</f>
        <v/>
      </c>
      <c r="AA306" s="35">
        <f>IF((Z306/AI306&gt;'Parámetros Proyección'!$G$14),0,D306*'Parámetros Proyección'!$G$14/(IF((H306/AI306&gt;'Parámetros Proyección'!$G$11),0,'Parámetros Proyección'!$G$11)+IF((N306/AI306&gt;'Parámetros Proyección'!$G$12),0,'Parámetros Proyección'!$G$12)+IF((T306/AI306&gt;'Parámetros Proyección'!$G$13),0,'Parámetros Proyección'!$G$13)+IF((Z306/AI306&gt;'Parámetros Proyección'!$G$14),0,'Parámetros Proyección'!$G$14)+IF((AF306/AI306&gt;'Parámetros Proyección'!$G$15),0,'Parámetros Proyección'!$G$15)))</f>
        <v/>
      </c>
      <c r="AB306" s="35">
        <f>Z306+AA306</f>
        <v/>
      </c>
      <c r="AC306" s="35">
        <f>AH305</f>
        <v/>
      </c>
      <c r="AD306" s="35">
        <f>AC306*(1+'Parámetros Proyección'!$E$15)</f>
        <v/>
      </c>
      <c r="AE306" s="35">
        <f>AD306*'Parámetros Proyección'!$F$15</f>
        <v/>
      </c>
      <c r="AF306" s="35">
        <f>AD306+AE306</f>
        <v/>
      </c>
      <c r="AG306" s="35">
        <f>IF((AF306/AI306&gt;'Parámetros Proyección'!$G$15),0,D306*'Parámetros Proyección'!$G$15/(IF((H306/AI306&gt;'Parámetros Proyección'!$G$11),0,'Parámetros Proyección'!$G$11)+IF((N306/AI306&gt;'Parámetros Proyección'!$G$12),0,'Parámetros Proyección'!$G$12)+IF((T306/AI306&gt;'Parámetros Proyección'!$G$13),0,'Parámetros Proyección'!$G$13)+IF((Z306/AI306&gt;'Parámetros Proyección'!$G$14),0,'Parámetros Proyección'!$G$14)+IF((AF306/AI306&gt;'Parámetros Proyección'!$G$15),0,'Parámetros Proyección'!$G$15)))</f>
        <v/>
      </c>
      <c r="AH306" s="35">
        <f>AF306+AG306</f>
        <v/>
      </c>
      <c r="AI306" s="35">
        <f>H306+N306+T306+Z306+AF306</f>
        <v/>
      </c>
      <c r="AJ306" s="33">
        <f>AF306/AI306</f>
        <v/>
      </c>
      <c r="AK306">
        <f>IF(AJ306&gt;'Parámetros Proyección'!$B$5,1,0)</f>
        <v/>
      </c>
      <c r="AL306" s="35">
        <f>G306+M306+S306+Y306+AE306</f>
        <v/>
      </c>
      <c r="AM306" s="35">
        <f>AM305+D306</f>
        <v/>
      </c>
      <c r="AN306" s="35">
        <f>AN305+AL306</f>
        <v/>
      </c>
      <c r="AO306" s="35">
        <f>J306+P306+V306+AB306+AH306</f>
        <v/>
      </c>
    </row>
    <row r="307">
      <c r="A307" t="n">
        <v>304</v>
      </c>
      <c r="B307" s="34">
        <f>EDATE(B306,1)</f>
        <v/>
      </c>
      <c r="C307">
        <f>YEAR(B307)</f>
        <v/>
      </c>
      <c r="D307" s="35">
        <f>'Parámetros Proyección'!$B$3*(1+'Parámetros Proyección'!$B$4)^(C307-YEAR('Parámetros Proyección'!$B$6))</f>
        <v/>
      </c>
      <c r="E307" s="35">
        <f>J306</f>
        <v/>
      </c>
      <c r="F307" s="35">
        <f>E307*(1+'Parámetros Proyección'!$E$11)</f>
        <v/>
      </c>
      <c r="G307" s="35">
        <f>F307*'Parámetros Proyección'!$F$11</f>
        <v/>
      </c>
      <c r="H307" s="35">
        <f>F307+G307</f>
        <v/>
      </c>
      <c r="I307" s="35">
        <f>IF((H307/AI307&gt;'Parámetros Proyección'!$G$11),0,D307*'Parámetros Proyección'!$G$11/(IF((H307/AI307&gt;'Parámetros Proyección'!$G$11),0,'Parámetros Proyección'!$G$11)+IF((N307/AI307&gt;'Parámetros Proyección'!$G$12),0,'Parámetros Proyección'!$G$12)+IF((T307/AI307&gt;'Parámetros Proyección'!$G$13),0,'Parámetros Proyección'!$G$13)+IF((Z307/AI307&gt;'Parámetros Proyección'!$G$14),0,'Parámetros Proyección'!$G$14)+IF((AF307/AI307&gt;'Parámetros Proyección'!$G$15),0,'Parámetros Proyección'!$G$15)))</f>
        <v/>
      </c>
      <c r="J307" s="35">
        <f>H307+I307</f>
        <v/>
      </c>
      <c r="K307" s="35">
        <f>P306</f>
        <v/>
      </c>
      <c r="L307" s="35">
        <f>K307*(1+'Parámetros Proyección'!$E$12)</f>
        <v/>
      </c>
      <c r="M307" s="35">
        <f>L307*'Parámetros Proyección'!$F$12</f>
        <v/>
      </c>
      <c r="N307" s="35">
        <f>L307+M307</f>
        <v/>
      </c>
      <c r="O307" s="35">
        <f>IF((N307/AI307&gt;'Parámetros Proyección'!$G$12),0,D307*'Parámetros Proyección'!$G$12/(IF((H307/AI307&gt;'Parámetros Proyección'!$G$11),0,'Parámetros Proyección'!$G$11)+IF((N307/AI307&gt;'Parámetros Proyección'!$G$12),0,'Parámetros Proyección'!$G$12)+IF((T307/AI307&gt;'Parámetros Proyección'!$G$13),0,'Parámetros Proyección'!$G$13)+IF((Z307/AI307&gt;'Parámetros Proyección'!$G$14),0,'Parámetros Proyección'!$G$14)+IF((AF307/AI307&gt;'Parámetros Proyección'!$G$15),0,'Parámetros Proyección'!$G$15)))</f>
        <v/>
      </c>
      <c r="P307" s="35">
        <f>N307+O307</f>
        <v/>
      </c>
      <c r="Q307" s="35">
        <f>V306</f>
        <v/>
      </c>
      <c r="R307" s="35">
        <f>Q307*(1+'Parámetros Proyección'!$E$13)</f>
        <v/>
      </c>
      <c r="S307" s="35">
        <f>R307*'Parámetros Proyección'!$F$13</f>
        <v/>
      </c>
      <c r="T307" s="35">
        <f>R307+S307</f>
        <v/>
      </c>
      <c r="U307" s="35">
        <f>IF((T307/AI307&gt;'Parámetros Proyección'!$G$13),0,D307*'Parámetros Proyección'!$G$13/(IF((H307/AI307&gt;'Parámetros Proyección'!$G$11),0,'Parámetros Proyección'!$G$11)+IF((N307/AI307&gt;'Parámetros Proyección'!$G$12),0,'Parámetros Proyección'!$G$12)+IF((T307/AI307&gt;'Parámetros Proyección'!$G$13),0,'Parámetros Proyección'!$G$13)+IF((Z307/AI307&gt;'Parámetros Proyección'!$G$14),0,'Parámetros Proyección'!$G$14)+IF((AF307/AI307&gt;'Parámetros Proyección'!$G$15),0,'Parámetros Proyección'!$G$15)))</f>
        <v/>
      </c>
      <c r="V307" s="35">
        <f>T307+U307</f>
        <v/>
      </c>
      <c r="W307" s="35">
        <f>AB306</f>
        <v/>
      </c>
      <c r="X307" s="35">
        <f>W307*(1+'Parámetros Proyección'!$E$14)</f>
        <v/>
      </c>
      <c r="Y307" s="35">
        <f>X307*'Parámetros Proyección'!$F$14</f>
        <v/>
      </c>
      <c r="Z307" s="35">
        <f>X307+Y307</f>
        <v/>
      </c>
      <c r="AA307" s="35">
        <f>IF((Z307/AI307&gt;'Parámetros Proyección'!$G$14),0,D307*'Parámetros Proyección'!$G$14/(IF((H307/AI307&gt;'Parámetros Proyección'!$G$11),0,'Parámetros Proyección'!$G$11)+IF((N307/AI307&gt;'Parámetros Proyección'!$G$12),0,'Parámetros Proyección'!$G$12)+IF((T307/AI307&gt;'Parámetros Proyección'!$G$13),0,'Parámetros Proyección'!$G$13)+IF((Z307/AI307&gt;'Parámetros Proyección'!$G$14),0,'Parámetros Proyección'!$G$14)+IF((AF307/AI307&gt;'Parámetros Proyección'!$G$15),0,'Parámetros Proyección'!$G$15)))</f>
        <v/>
      </c>
      <c r="AB307" s="35">
        <f>Z307+AA307</f>
        <v/>
      </c>
      <c r="AC307" s="35">
        <f>AH306</f>
        <v/>
      </c>
      <c r="AD307" s="35">
        <f>AC307*(1+'Parámetros Proyección'!$E$15)</f>
        <v/>
      </c>
      <c r="AE307" s="35">
        <f>AD307*'Parámetros Proyección'!$F$15</f>
        <v/>
      </c>
      <c r="AF307" s="35">
        <f>AD307+AE307</f>
        <v/>
      </c>
      <c r="AG307" s="35">
        <f>IF((AF307/AI307&gt;'Parámetros Proyección'!$G$15),0,D307*'Parámetros Proyección'!$G$15/(IF((H307/AI307&gt;'Parámetros Proyección'!$G$11),0,'Parámetros Proyección'!$G$11)+IF((N307/AI307&gt;'Parámetros Proyección'!$G$12),0,'Parámetros Proyección'!$G$12)+IF((T307/AI307&gt;'Parámetros Proyección'!$G$13),0,'Parámetros Proyección'!$G$13)+IF((Z307/AI307&gt;'Parámetros Proyección'!$G$14),0,'Parámetros Proyección'!$G$14)+IF((AF307/AI307&gt;'Parámetros Proyección'!$G$15),0,'Parámetros Proyección'!$G$15)))</f>
        <v/>
      </c>
      <c r="AH307" s="35">
        <f>AF307+AG307</f>
        <v/>
      </c>
      <c r="AI307" s="35">
        <f>H307+N307+T307+Z307+AF307</f>
        <v/>
      </c>
      <c r="AJ307" s="33">
        <f>AF307/AI307</f>
        <v/>
      </c>
      <c r="AK307">
        <f>IF(AJ307&gt;'Parámetros Proyección'!$B$5,1,0)</f>
        <v/>
      </c>
      <c r="AL307" s="35">
        <f>G307+M307+S307+Y307+AE307</f>
        <v/>
      </c>
      <c r="AM307" s="35">
        <f>AM306+D307</f>
        <v/>
      </c>
      <c r="AN307" s="35">
        <f>AN306+AL307</f>
        <v/>
      </c>
      <c r="AO307" s="35">
        <f>J307+P307+V307+AB307+AH307</f>
        <v/>
      </c>
    </row>
    <row r="308">
      <c r="A308" t="n">
        <v>305</v>
      </c>
      <c r="B308" s="34">
        <f>EDATE(B307,1)</f>
        <v/>
      </c>
      <c r="C308">
        <f>YEAR(B308)</f>
        <v/>
      </c>
      <c r="D308" s="35">
        <f>'Parámetros Proyección'!$B$3*(1+'Parámetros Proyección'!$B$4)^(C308-YEAR('Parámetros Proyección'!$B$6))</f>
        <v/>
      </c>
      <c r="E308" s="35">
        <f>J307</f>
        <v/>
      </c>
      <c r="F308" s="35">
        <f>E308*(1+'Parámetros Proyección'!$E$11)</f>
        <v/>
      </c>
      <c r="G308" s="35">
        <f>F308*'Parámetros Proyección'!$F$11</f>
        <v/>
      </c>
      <c r="H308" s="35">
        <f>F308+G308</f>
        <v/>
      </c>
      <c r="I308" s="35">
        <f>IF((H308/AI308&gt;'Parámetros Proyección'!$G$11),0,D308*'Parámetros Proyección'!$G$11/(IF((H308/AI308&gt;'Parámetros Proyección'!$G$11),0,'Parámetros Proyección'!$G$11)+IF((N308/AI308&gt;'Parámetros Proyección'!$G$12),0,'Parámetros Proyección'!$G$12)+IF((T308/AI308&gt;'Parámetros Proyección'!$G$13),0,'Parámetros Proyección'!$G$13)+IF((Z308/AI308&gt;'Parámetros Proyección'!$G$14),0,'Parámetros Proyección'!$G$14)+IF((AF308/AI308&gt;'Parámetros Proyección'!$G$15),0,'Parámetros Proyección'!$G$15)))</f>
        <v/>
      </c>
      <c r="J308" s="35">
        <f>H308+I308</f>
        <v/>
      </c>
      <c r="K308" s="35">
        <f>P307</f>
        <v/>
      </c>
      <c r="L308" s="35">
        <f>K308*(1+'Parámetros Proyección'!$E$12)</f>
        <v/>
      </c>
      <c r="M308" s="35">
        <f>L308*'Parámetros Proyección'!$F$12</f>
        <v/>
      </c>
      <c r="N308" s="35">
        <f>L308+M308</f>
        <v/>
      </c>
      <c r="O308" s="35">
        <f>IF((N308/AI308&gt;'Parámetros Proyección'!$G$12),0,D308*'Parámetros Proyección'!$G$12/(IF((H308/AI308&gt;'Parámetros Proyección'!$G$11),0,'Parámetros Proyección'!$G$11)+IF((N308/AI308&gt;'Parámetros Proyección'!$G$12),0,'Parámetros Proyección'!$G$12)+IF((T308/AI308&gt;'Parámetros Proyección'!$G$13),0,'Parámetros Proyección'!$G$13)+IF((Z308/AI308&gt;'Parámetros Proyección'!$G$14),0,'Parámetros Proyección'!$G$14)+IF((AF308/AI308&gt;'Parámetros Proyección'!$G$15),0,'Parámetros Proyección'!$G$15)))</f>
        <v/>
      </c>
      <c r="P308" s="35">
        <f>N308+O308</f>
        <v/>
      </c>
      <c r="Q308" s="35">
        <f>V307</f>
        <v/>
      </c>
      <c r="R308" s="35">
        <f>Q308*(1+'Parámetros Proyección'!$E$13)</f>
        <v/>
      </c>
      <c r="S308" s="35">
        <f>R308*'Parámetros Proyección'!$F$13</f>
        <v/>
      </c>
      <c r="T308" s="35">
        <f>R308+S308</f>
        <v/>
      </c>
      <c r="U308" s="35">
        <f>IF((T308/AI308&gt;'Parámetros Proyección'!$G$13),0,D308*'Parámetros Proyección'!$G$13/(IF((H308/AI308&gt;'Parámetros Proyección'!$G$11),0,'Parámetros Proyección'!$G$11)+IF((N308/AI308&gt;'Parámetros Proyección'!$G$12),0,'Parámetros Proyección'!$G$12)+IF((T308/AI308&gt;'Parámetros Proyección'!$G$13),0,'Parámetros Proyección'!$G$13)+IF((Z308/AI308&gt;'Parámetros Proyección'!$G$14),0,'Parámetros Proyección'!$G$14)+IF((AF308/AI308&gt;'Parámetros Proyección'!$G$15),0,'Parámetros Proyección'!$G$15)))</f>
        <v/>
      </c>
      <c r="V308" s="35">
        <f>T308+U308</f>
        <v/>
      </c>
      <c r="W308" s="35">
        <f>AB307</f>
        <v/>
      </c>
      <c r="X308" s="35">
        <f>W308*(1+'Parámetros Proyección'!$E$14)</f>
        <v/>
      </c>
      <c r="Y308" s="35">
        <f>X308*'Parámetros Proyección'!$F$14</f>
        <v/>
      </c>
      <c r="Z308" s="35">
        <f>X308+Y308</f>
        <v/>
      </c>
      <c r="AA308" s="35">
        <f>IF((Z308/AI308&gt;'Parámetros Proyección'!$G$14),0,D308*'Parámetros Proyección'!$G$14/(IF((H308/AI308&gt;'Parámetros Proyección'!$G$11),0,'Parámetros Proyección'!$G$11)+IF((N308/AI308&gt;'Parámetros Proyección'!$G$12),0,'Parámetros Proyección'!$G$12)+IF((T308/AI308&gt;'Parámetros Proyección'!$G$13),0,'Parámetros Proyección'!$G$13)+IF((Z308/AI308&gt;'Parámetros Proyección'!$G$14),0,'Parámetros Proyección'!$G$14)+IF((AF308/AI308&gt;'Parámetros Proyección'!$G$15),0,'Parámetros Proyección'!$G$15)))</f>
        <v/>
      </c>
      <c r="AB308" s="35">
        <f>Z308+AA308</f>
        <v/>
      </c>
      <c r="AC308" s="35">
        <f>AH307</f>
        <v/>
      </c>
      <c r="AD308" s="35">
        <f>AC308*(1+'Parámetros Proyección'!$E$15)</f>
        <v/>
      </c>
      <c r="AE308" s="35">
        <f>AD308*'Parámetros Proyección'!$F$15</f>
        <v/>
      </c>
      <c r="AF308" s="35">
        <f>AD308+AE308</f>
        <v/>
      </c>
      <c r="AG308" s="35">
        <f>IF((AF308/AI308&gt;'Parámetros Proyección'!$G$15),0,D308*'Parámetros Proyección'!$G$15/(IF((H308/AI308&gt;'Parámetros Proyección'!$G$11),0,'Parámetros Proyección'!$G$11)+IF((N308/AI308&gt;'Parámetros Proyección'!$G$12),0,'Parámetros Proyección'!$G$12)+IF((T308/AI308&gt;'Parámetros Proyección'!$G$13),0,'Parámetros Proyección'!$G$13)+IF((Z308/AI308&gt;'Parámetros Proyección'!$G$14),0,'Parámetros Proyección'!$G$14)+IF((AF308/AI308&gt;'Parámetros Proyección'!$G$15),0,'Parámetros Proyección'!$G$15)))</f>
        <v/>
      </c>
      <c r="AH308" s="35">
        <f>AF308+AG308</f>
        <v/>
      </c>
      <c r="AI308" s="35">
        <f>H308+N308+T308+Z308+AF308</f>
        <v/>
      </c>
      <c r="AJ308" s="33">
        <f>AF308/AI308</f>
        <v/>
      </c>
      <c r="AK308">
        <f>IF(AJ308&gt;'Parámetros Proyección'!$B$5,1,0)</f>
        <v/>
      </c>
      <c r="AL308" s="35">
        <f>G308+M308+S308+Y308+AE308</f>
        <v/>
      </c>
      <c r="AM308" s="35">
        <f>AM307+D308</f>
        <v/>
      </c>
      <c r="AN308" s="35">
        <f>AN307+AL308</f>
        <v/>
      </c>
      <c r="AO308" s="35">
        <f>J308+P308+V308+AB308+AH308</f>
        <v/>
      </c>
    </row>
    <row r="309">
      <c r="A309" t="n">
        <v>306</v>
      </c>
      <c r="B309" s="34">
        <f>EDATE(B308,1)</f>
        <v/>
      </c>
      <c r="C309">
        <f>YEAR(B309)</f>
        <v/>
      </c>
      <c r="D309" s="35">
        <f>'Parámetros Proyección'!$B$3*(1+'Parámetros Proyección'!$B$4)^(C309-YEAR('Parámetros Proyección'!$B$6))</f>
        <v/>
      </c>
      <c r="E309" s="35">
        <f>J308</f>
        <v/>
      </c>
      <c r="F309" s="35">
        <f>E309*(1+'Parámetros Proyección'!$E$11)</f>
        <v/>
      </c>
      <c r="G309" s="35">
        <f>F309*'Parámetros Proyección'!$F$11</f>
        <v/>
      </c>
      <c r="H309" s="35">
        <f>F309+G309</f>
        <v/>
      </c>
      <c r="I309" s="35">
        <f>IF((H309/AI309&gt;'Parámetros Proyección'!$G$11),0,D309*'Parámetros Proyección'!$G$11/(IF((H309/AI309&gt;'Parámetros Proyección'!$G$11),0,'Parámetros Proyección'!$G$11)+IF((N309/AI309&gt;'Parámetros Proyección'!$G$12),0,'Parámetros Proyección'!$G$12)+IF((T309/AI309&gt;'Parámetros Proyección'!$G$13),0,'Parámetros Proyección'!$G$13)+IF((Z309/AI309&gt;'Parámetros Proyección'!$G$14),0,'Parámetros Proyección'!$G$14)+IF((AF309/AI309&gt;'Parámetros Proyección'!$G$15),0,'Parámetros Proyección'!$G$15)))</f>
        <v/>
      </c>
      <c r="J309" s="35">
        <f>H309+I309</f>
        <v/>
      </c>
      <c r="K309" s="35">
        <f>P308</f>
        <v/>
      </c>
      <c r="L309" s="35">
        <f>K309*(1+'Parámetros Proyección'!$E$12)</f>
        <v/>
      </c>
      <c r="M309" s="35">
        <f>L309*'Parámetros Proyección'!$F$12</f>
        <v/>
      </c>
      <c r="N309" s="35">
        <f>L309+M309</f>
        <v/>
      </c>
      <c r="O309" s="35">
        <f>IF((N309/AI309&gt;'Parámetros Proyección'!$G$12),0,D309*'Parámetros Proyección'!$G$12/(IF((H309/AI309&gt;'Parámetros Proyección'!$G$11),0,'Parámetros Proyección'!$G$11)+IF((N309/AI309&gt;'Parámetros Proyección'!$G$12),0,'Parámetros Proyección'!$G$12)+IF((T309/AI309&gt;'Parámetros Proyección'!$G$13),0,'Parámetros Proyección'!$G$13)+IF((Z309/AI309&gt;'Parámetros Proyección'!$G$14),0,'Parámetros Proyección'!$G$14)+IF((AF309/AI309&gt;'Parámetros Proyección'!$G$15),0,'Parámetros Proyección'!$G$15)))</f>
        <v/>
      </c>
      <c r="P309" s="35">
        <f>N309+O309</f>
        <v/>
      </c>
      <c r="Q309" s="35">
        <f>V308</f>
        <v/>
      </c>
      <c r="R309" s="35">
        <f>Q309*(1+'Parámetros Proyección'!$E$13)</f>
        <v/>
      </c>
      <c r="S309" s="35">
        <f>R309*'Parámetros Proyección'!$F$13</f>
        <v/>
      </c>
      <c r="T309" s="35">
        <f>R309+S309</f>
        <v/>
      </c>
      <c r="U309" s="35">
        <f>IF((T309/AI309&gt;'Parámetros Proyección'!$G$13),0,D309*'Parámetros Proyección'!$G$13/(IF((H309/AI309&gt;'Parámetros Proyección'!$G$11),0,'Parámetros Proyección'!$G$11)+IF((N309/AI309&gt;'Parámetros Proyección'!$G$12),0,'Parámetros Proyección'!$G$12)+IF((T309/AI309&gt;'Parámetros Proyección'!$G$13),0,'Parámetros Proyección'!$G$13)+IF((Z309/AI309&gt;'Parámetros Proyección'!$G$14),0,'Parámetros Proyección'!$G$14)+IF((AF309/AI309&gt;'Parámetros Proyección'!$G$15),0,'Parámetros Proyección'!$G$15)))</f>
        <v/>
      </c>
      <c r="V309" s="35">
        <f>T309+U309</f>
        <v/>
      </c>
      <c r="W309" s="35">
        <f>AB308</f>
        <v/>
      </c>
      <c r="X309" s="35">
        <f>W309*(1+'Parámetros Proyección'!$E$14)</f>
        <v/>
      </c>
      <c r="Y309" s="35">
        <f>X309*'Parámetros Proyección'!$F$14</f>
        <v/>
      </c>
      <c r="Z309" s="35">
        <f>X309+Y309</f>
        <v/>
      </c>
      <c r="AA309" s="35">
        <f>IF((Z309/AI309&gt;'Parámetros Proyección'!$G$14),0,D309*'Parámetros Proyección'!$G$14/(IF((H309/AI309&gt;'Parámetros Proyección'!$G$11),0,'Parámetros Proyección'!$G$11)+IF((N309/AI309&gt;'Parámetros Proyección'!$G$12),0,'Parámetros Proyección'!$G$12)+IF((T309/AI309&gt;'Parámetros Proyección'!$G$13),0,'Parámetros Proyección'!$G$13)+IF((Z309/AI309&gt;'Parámetros Proyección'!$G$14),0,'Parámetros Proyección'!$G$14)+IF((AF309/AI309&gt;'Parámetros Proyección'!$G$15),0,'Parámetros Proyección'!$G$15)))</f>
        <v/>
      </c>
      <c r="AB309" s="35">
        <f>Z309+AA309</f>
        <v/>
      </c>
      <c r="AC309" s="35">
        <f>AH308</f>
        <v/>
      </c>
      <c r="AD309" s="35">
        <f>AC309*(1+'Parámetros Proyección'!$E$15)</f>
        <v/>
      </c>
      <c r="AE309" s="35">
        <f>AD309*'Parámetros Proyección'!$F$15</f>
        <v/>
      </c>
      <c r="AF309" s="35">
        <f>AD309+AE309</f>
        <v/>
      </c>
      <c r="AG309" s="35">
        <f>IF((AF309/AI309&gt;'Parámetros Proyección'!$G$15),0,D309*'Parámetros Proyección'!$G$15/(IF((H309/AI309&gt;'Parámetros Proyección'!$G$11),0,'Parámetros Proyección'!$G$11)+IF((N309/AI309&gt;'Parámetros Proyección'!$G$12),0,'Parámetros Proyección'!$G$12)+IF((T309/AI309&gt;'Parámetros Proyección'!$G$13),0,'Parámetros Proyección'!$G$13)+IF((Z309/AI309&gt;'Parámetros Proyección'!$G$14),0,'Parámetros Proyección'!$G$14)+IF((AF309/AI309&gt;'Parámetros Proyección'!$G$15),0,'Parámetros Proyección'!$G$15)))</f>
        <v/>
      </c>
      <c r="AH309" s="35">
        <f>AF309+AG309</f>
        <v/>
      </c>
      <c r="AI309" s="35">
        <f>H309+N309+T309+Z309+AF309</f>
        <v/>
      </c>
      <c r="AJ309" s="33">
        <f>AF309/AI309</f>
        <v/>
      </c>
      <c r="AK309">
        <f>IF(AJ309&gt;'Parámetros Proyección'!$B$5,1,0)</f>
        <v/>
      </c>
      <c r="AL309" s="35">
        <f>G309+M309+S309+Y309+AE309</f>
        <v/>
      </c>
      <c r="AM309" s="35">
        <f>AM308+D309</f>
        <v/>
      </c>
      <c r="AN309" s="35">
        <f>AN308+AL309</f>
        <v/>
      </c>
      <c r="AO309" s="35">
        <f>J309+P309+V309+AB309+AH309</f>
        <v/>
      </c>
    </row>
    <row r="310">
      <c r="A310" t="n">
        <v>307</v>
      </c>
      <c r="B310" s="34">
        <f>EDATE(B309,1)</f>
        <v/>
      </c>
      <c r="C310">
        <f>YEAR(B310)</f>
        <v/>
      </c>
      <c r="D310" s="35">
        <f>'Parámetros Proyección'!$B$3*(1+'Parámetros Proyección'!$B$4)^(C310-YEAR('Parámetros Proyección'!$B$6))</f>
        <v/>
      </c>
      <c r="E310" s="35">
        <f>J309</f>
        <v/>
      </c>
      <c r="F310" s="35">
        <f>E310*(1+'Parámetros Proyección'!$E$11)</f>
        <v/>
      </c>
      <c r="G310" s="35">
        <f>F310*'Parámetros Proyección'!$F$11</f>
        <v/>
      </c>
      <c r="H310" s="35">
        <f>F310+G310</f>
        <v/>
      </c>
      <c r="I310" s="35">
        <f>IF((H310/AI310&gt;'Parámetros Proyección'!$G$11),0,D310*'Parámetros Proyección'!$G$11/(IF((H310/AI310&gt;'Parámetros Proyección'!$G$11),0,'Parámetros Proyección'!$G$11)+IF((N310/AI310&gt;'Parámetros Proyección'!$G$12),0,'Parámetros Proyección'!$G$12)+IF((T310/AI310&gt;'Parámetros Proyección'!$G$13),0,'Parámetros Proyección'!$G$13)+IF((Z310/AI310&gt;'Parámetros Proyección'!$G$14),0,'Parámetros Proyección'!$G$14)+IF((AF310/AI310&gt;'Parámetros Proyección'!$G$15),0,'Parámetros Proyección'!$G$15)))</f>
        <v/>
      </c>
      <c r="J310" s="35">
        <f>H310+I310</f>
        <v/>
      </c>
      <c r="K310" s="35">
        <f>P309</f>
        <v/>
      </c>
      <c r="L310" s="35">
        <f>K310*(1+'Parámetros Proyección'!$E$12)</f>
        <v/>
      </c>
      <c r="M310" s="35">
        <f>L310*'Parámetros Proyección'!$F$12</f>
        <v/>
      </c>
      <c r="N310" s="35">
        <f>L310+M310</f>
        <v/>
      </c>
      <c r="O310" s="35">
        <f>IF((N310/AI310&gt;'Parámetros Proyección'!$G$12),0,D310*'Parámetros Proyección'!$G$12/(IF((H310/AI310&gt;'Parámetros Proyección'!$G$11),0,'Parámetros Proyección'!$G$11)+IF((N310/AI310&gt;'Parámetros Proyección'!$G$12),0,'Parámetros Proyección'!$G$12)+IF((T310/AI310&gt;'Parámetros Proyección'!$G$13),0,'Parámetros Proyección'!$G$13)+IF((Z310/AI310&gt;'Parámetros Proyección'!$G$14),0,'Parámetros Proyección'!$G$14)+IF((AF310/AI310&gt;'Parámetros Proyección'!$G$15),0,'Parámetros Proyección'!$G$15)))</f>
        <v/>
      </c>
      <c r="P310" s="35">
        <f>N310+O310</f>
        <v/>
      </c>
      <c r="Q310" s="35">
        <f>V309</f>
        <v/>
      </c>
      <c r="R310" s="35">
        <f>Q310*(1+'Parámetros Proyección'!$E$13)</f>
        <v/>
      </c>
      <c r="S310" s="35">
        <f>R310*'Parámetros Proyección'!$F$13</f>
        <v/>
      </c>
      <c r="T310" s="35">
        <f>R310+S310</f>
        <v/>
      </c>
      <c r="U310" s="35">
        <f>IF((T310/AI310&gt;'Parámetros Proyección'!$G$13),0,D310*'Parámetros Proyección'!$G$13/(IF((H310/AI310&gt;'Parámetros Proyección'!$G$11),0,'Parámetros Proyección'!$G$11)+IF((N310/AI310&gt;'Parámetros Proyección'!$G$12),0,'Parámetros Proyección'!$G$12)+IF((T310/AI310&gt;'Parámetros Proyección'!$G$13),0,'Parámetros Proyección'!$G$13)+IF((Z310/AI310&gt;'Parámetros Proyección'!$G$14),0,'Parámetros Proyección'!$G$14)+IF((AF310/AI310&gt;'Parámetros Proyección'!$G$15),0,'Parámetros Proyección'!$G$15)))</f>
        <v/>
      </c>
      <c r="V310" s="35">
        <f>T310+U310</f>
        <v/>
      </c>
      <c r="W310" s="35">
        <f>AB309</f>
        <v/>
      </c>
      <c r="X310" s="35">
        <f>W310*(1+'Parámetros Proyección'!$E$14)</f>
        <v/>
      </c>
      <c r="Y310" s="35">
        <f>X310*'Parámetros Proyección'!$F$14</f>
        <v/>
      </c>
      <c r="Z310" s="35">
        <f>X310+Y310</f>
        <v/>
      </c>
      <c r="AA310" s="35">
        <f>IF((Z310/AI310&gt;'Parámetros Proyección'!$G$14),0,D310*'Parámetros Proyección'!$G$14/(IF((H310/AI310&gt;'Parámetros Proyección'!$G$11),0,'Parámetros Proyección'!$G$11)+IF((N310/AI310&gt;'Parámetros Proyección'!$G$12),0,'Parámetros Proyección'!$G$12)+IF((T310/AI310&gt;'Parámetros Proyección'!$G$13),0,'Parámetros Proyección'!$G$13)+IF((Z310/AI310&gt;'Parámetros Proyección'!$G$14),0,'Parámetros Proyección'!$G$14)+IF((AF310/AI310&gt;'Parámetros Proyección'!$G$15),0,'Parámetros Proyección'!$G$15)))</f>
        <v/>
      </c>
      <c r="AB310" s="35">
        <f>Z310+AA310</f>
        <v/>
      </c>
      <c r="AC310" s="35">
        <f>AH309</f>
        <v/>
      </c>
      <c r="AD310" s="35">
        <f>AC310*(1+'Parámetros Proyección'!$E$15)</f>
        <v/>
      </c>
      <c r="AE310" s="35">
        <f>AD310*'Parámetros Proyección'!$F$15</f>
        <v/>
      </c>
      <c r="AF310" s="35">
        <f>AD310+AE310</f>
        <v/>
      </c>
      <c r="AG310" s="35">
        <f>IF((AF310/AI310&gt;'Parámetros Proyección'!$G$15),0,D310*'Parámetros Proyección'!$G$15/(IF((H310/AI310&gt;'Parámetros Proyección'!$G$11),0,'Parámetros Proyección'!$G$11)+IF((N310/AI310&gt;'Parámetros Proyección'!$G$12),0,'Parámetros Proyección'!$G$12)+IF((T310/AI310&gt;'Parámetros Proyección'!$G$13),0,'Parámetros Proyección'!$G$13)+IF((Z310/AI310&gt;'Parámetros Proyección'!$G$14),0,'Parámetros Proyección'!$G$14)+IF((AF310/AI310&gt;'Parámetros Proyección'!$G$15),0,'Parámetros Proyección'!$G$15)))</f>
        <v/>
      </c>
      <c r="AH310" s="35">
        <f>AF310+AG310</f>
        <v/>
      </c>
      <c r="AI310" s="35">
        <f>H310+N310+T310+Z310+AF310</f>
        <v/>
      </c>
      <c r="AJ310" s="33">
        <f>AF310/AI310</f>
        <v/>
      </c>
      <c r="AK310">
        <f>IF(AJ310&gt;'Parámetros Proyección'!$B$5,1,0)</f>
        <v/>
      </c>
      <c r="AL310" s="35">
        <f>G310+M310+S310+Y310+AE310</f>
        <v/>
      </c>
      <c r="AM310" s="35">
        <f>AM309+D310</f>
        <v/>
      </c>
      <c r="AN310" s="35">
        <f>AN309+AL310</f>
        <v/>
      </c>
      <c r="AO310" s="35">
        <f>J310+P310+V310+AB310+AH310</f>
        <v/>
      </c>
    </row>
    <row r="311">
      <c r="A311" t="n">
        <v>308</v>
      </c>
      <c r="B311" s="34">
        <f>EDATE(B310,1)</f>
        <v/>
      </c>
      <c r="C311">
        <f>YEAR(B311)</f>
        <v/>
      </c>
      <c r="D311" s="35">
        <f>'Parámetros Proyección'!$B$3*(1+'Parámetros Proyección'!$B$4)^(C311-YEAR('Parámetros Proyección'!$B$6))</f>
        <v/>
      </c>
      <c r="E311" s="35">
        <f>J310</f>
        <v/>
      </c>
      <c r="F311" s="35">
        <f>E311*(1+'Parámetros Proyección'!$E$11)</f>
        <v/>
      </c>
      <c r="G311" s="35">
        <f>F311*'Parámetros Proyección'!$F$11</f>
        <v/>
      </c>
      <c r="H311" s="35">
        <f>F311+G311</f>
        <v/>
      </c>
      <c r="I311" s="35">
        <f>IF((H311/AI311&gt;'Parámetros Proyección'!$G$11),0,D311*'Parámetros Proyección'!$G$11/(IF((H311/AI311&gt;'Parámetros Proyección'!$G$11),0,'Parámetros Proyección'!$G$11)+IF((N311/AI311&gt;'Parámetros Proyección'!$G$12),0,'Parámetros Proyección'!$G$12)+IF((T311/AI311&gt;'Parámetros Proyección'!$G$13),0,'Parámetros Proyección'!$G$13)+IF((Z311/AI311&gt;'Parámetros Proyección'!$G$14),0,'Parámetros Proyección'!$G$14)+IF((AF311/AI311&gt;'Parámetros Proyección'!$G$15),0,'Parámetros Proyección'!$G$15)))</f>
        <v/>
      </c>
      <c r="J311" s="35">
        <f>H311+I311</f>
        <v/>
      </c>
      <c r="K311" s="35">
        <f>P310</f>
        <v/>
      </c>
      <c r="L311" s="35">
        <f>K311*(1+'Parámetros Proyección'!$E$12)</f>
        <v/>
      </c>
      <c r="M311" s="35">
        <f>L311*'Parámetros Proyección'!$F$12</f>
        <v/>
      </c>
      <c r="N311" s="35">
        <f>L311+M311</f>
        <v/>
      </c>
      <c r="O311" s="35">
        <f>IF((N311/AI311&gt;'Parámetros Proyección'!$G$12),0,D311*'Parámetros Proyección'!$G$12/(IF((H311/AI311&gt;'Parámetros Proyección'!$G$11),0,'Parámetros Proyección'!$G$11)+IF((N311/AI311&gt;'Parámetros Proyección'!$G$12),0,'Parámetros Proyección'!$G$12)+IF((T311/AI311&gt;'Parámetros Proyección'!$G$13),0,'Parámetros Proyección'!$G$13)+IF((Z311/AI311&gt;'Parámetros Proyección'!$G$14),0,'Parámetros Proyección'!$G$14)+IF((AF311/AI311&gt;'Parámetros Proyección'!$G$15),0,'Parámetros Proyección'!$G$15)))</f>
        <v/>
      </c>
      <c r="P311" s="35">
        <f>N311+O311</f>
        <v/>
      </c>
      <c r="Q311" s="35">
        <f>V310</f>
        <v/>
      </c>
      <c r="R311" s="35">
        <f>Q311*(1+'Parámetros Proyección'!$E$13)</f>
        <v/>
      </c>
      <c r="S311" s="35">
        <f>R311*'Parámetros Proyección'!$F$13</f>
        <v/>
      </c>
      <c r="T311" s="35">
        <f>R311+S311</f>
        <v/>
      </c>
      <c r="U311" s="35">
        <f>IF((T311/AI311&gt;'Parámetros Proyección'!$G$13),0,D311*'Parámetros Proyección'!$G$13/(IF((H311/AI311&gt;'Parámetros Proyección'!$G$11),0,'Parámetros Proyección'!$G$11)+IF((N311/AI311&gt;'Parámetros Proyección'!$G$12),0,'Parámetros Proyección'!$G$12)+IF((T311/AI311&gt;'Parámetros Proyección'!$G$13),0,'Parámetros Proyección'!$G$13)+IF((Z311/AI311&gt;'Parámetros Proyección'!$G$14),0,'Parámetros Proyección'!$G$14)+IF((AF311/AI311&gt;'Parámetros Proyección'!$G$15),0,'Parámetros Proyección'!$G$15)))</f>
        <v/>
      </c>
      <c r="V311" s="35">
        <f>T311+U311</f>
        <v/>
      </c>
      <c r="W311" s="35">
        <f>AB310</f>
        <v/>
      </c>
      <c r="X311" s="35">
        <f>W311*(1+'Parámetros Proyección'!$E$14)</f>
        <v/>
      </c>
      <c r="Y311" s="35">
        <f>X311*'Parámetros Proyección'!$F$14</f>
        <v/>
      </c>
      <c r="Z311" s="35">
        <f>X311+Y311</f>
        <v/>
      </c>
      <c r="AA311" s="35">
        <f>IF((Z311/AI311&gt;'Parámetros Proyección'!$G$14),0,D311*'Parámetros Proyección'!$G$14/(IF((H311/AI311&gt;'Parámetros Proyección'!$G$11),0,'Parámetros Proyección'!$G$11)+IF((N311/AI311&gt;'Parámetros Proyección'!$G$12),0,'Parámetros Proyección'!$G$12)+IF((T311/AI311&gt;'Parámetros Proyección'!$G$13),0,'Parámetros Proyección'!$G$13)+IF((Z311/AI311&gt;'Parámetros Proyección'!$G$14),0,'Parámetros Proyección'!$G$14)+IF((AF311/AI311&gt;'Parámetros Proyección'!$G$15),0,'Parámetros Proyección'!$G$15)))</f>
        <v/>
      </c>
      <c r="AB311" s="35">
        <f>Z311+AA311</f>
        <v/>
      </c>
      <c r="AC311" s="35">
        <f>AH310</f>
        <v/>
      </c>
      <c r="AD311" s="35">
        <f>AC311*(1+'Parámetros Proyección'!$E$15)</f>
        <v/>
      </c>
      <c r="AE311" s="35">
        <f>AD311*'Parámetros Proyección'!$F$15</f>
        <v/>
      </c>
      <c r="AF311" s="35">
        <f>AD311+AE311</f>
        <v/>
      </c>
      <c r="AG311" s="35">
        <f>IF((AF311/AI311&gt;'Parámetros Proyección'!$G$15),0,D311*'Parámetros Proyección'!$G$15/(IF((H311/AI311&gt;'Parámetros Proyección'!$G$11),0,'Parámetros Proyección'!$G$11)+IF((N311/AI311&gt;'Parámetros Proyección'!$G$12),0,'Parámetros Proyección'!$G$12)+IF((T311/AI311&gt;'Parámetros Proyección'!$G$13),0,'Parámetros Proyección'!$G$13)+IF((Z311/AI311&gt;'Parámetros Proyección'!$G$14),0,'Parámetros Proyección'!$G$14)+IF((AF311/AI311&gt;'Parámetros Proyección'!$G$15),0,'Parámetros Proyección'!$G$15)))</f>
        <v/>
      </c>
      <c r="AH311" s="35">
        <f>AF311+AG311</f>
        <v/>
      </c>
      <c r="AI311" s="35">
        <f>H311+N311+T311+Z311+AF311</f>
        <v/>
      </c>
      <c r="AJ311" s="33">
        <f>AF311/AI311</f>
        <v/>
      </c>
      <c r="AK311">
        <f>IF(AJ311&gt;'Parámetros Proyección'!$B$5,1,0)</f>
        <v/>
      </c>
      <c r="AL311" s="35">
        <f>G311+M311+S311+Y311+AE311</f>
        <v/>
      </c>
      <c r="AM311" s="35">
        <f>AM310+D311</f>
        <v/>
      </c>
      <c r="AN311" s="35">
        <f>AN310+AL311</f>
        <v/>
      </c>
      <c r="AO311" s="35">
        <f>J311+P311+V311+AB311+AH311</f>
        <v/>
      </c>
    </row>
    <row r="312">
      <c r="A312" t="n">
        <v>309</v>
      </c>
      <c r="B312" s="34">
        <f>EDATE(B311,1)</f>
        <v/>
      </c>
      <c r="C312">
        <f>YEAR(B312)</f>
        <v/>
      </c>
      <c r="D312" s="35">
        <f>'Parámetros Proyección'!$B$3*(1+'Parámetros Proyección'!$B$4)^(C312-YEAR('Parámetros Proyección'!$B$6))</f>
        <v/>
      </c>
      <c r="E312" s="35">
        <f>J311</f>
        <v/>
      </c>
      <c r="F312" s="35">
        <f>E312*(1+'Parámetros Proyección'!$E$11)</f>
        <v/>
      </c>
      <c r="G312" s="35">
        <f>F312*'Parámetros Proyección'!$F$11</f>
        <v/>
      </c>
      <c r="H312" s="35">
        <f>F312+G312</f>
        <v/>
      </c>
      <c r="I312" s="35">
        <f>IF((H312/AI312&gt;'Parámetros Proyección'!$G$11),0,D312*'Parámetros Proyección'!$G$11/(IF((H312/AI312&gt;'Parámetros Proyección'!$G$11),0,'Parámetros Proyección'!$G$11)+IF((N312/AI312&gt;'Parámetros Proyección'!$G$12),0,'Parámetros Proyección'!$G$12)+IF((T312/AI312&gt;'Parámetros Proyección'!$G$13),0,'Parámetros Proyección'!$G$13)+IF((Z312/AI312&gt;'Parámetros Proyección'!$G$14),0,'Parámetros Proyección'!$G$14)+IF((AF312/AI312&gt;'Parámetros Proyección'!$G$15),0,'Parámetros Proyección'!$G$15)))</f>
        <v/>
      </c>
      <c r="J312" s="35">
        <f>H312+I312</f>
        <v/>
      </c>
      <c r="K312" s="35">
        <f>P311</f>
        <v/>
      </c>
      <c r="L312" s="35">
        <f>K312*(1+'Parámetros Proyección'!$E$12)</f>
        <v/>
      </c>
      <c r="M312" s="35">
        <f>L312*'Parámetros Proyección'!$F$12</f>
        <v/>
      </c>
      <c r="N312" s="35">
        <f>L312+M312</f>
        <v/>
      </c>
      <c r="O312" s="35">
        <f>IF((N312/AI312&gt;'Parámetros Proyección'!$G$12),0,D312*'Parámetros Proyección'!$G$12/(IF((H312/AI312&gt;'Parámetros Proyección'!$G$11),0,'Parámetros Proyección'!$G$11)+IF((N312/AI312&gt;'Parámetros Proyección'!$G$12),0,'Parámetros Proyección'!$G$12)+IF((T312/AI312&gt;'Parámetros Proyección'!$G$13),0,'Parámetros Proyección'!$G$13)+IF((Z312/AI312&gt;'Parámetros Proyección'!$G$14),0,'Parámetros Proyección'!$G$14)+IF((AF312/AI312&gt;'Parámetros Proyección'!$G$15),0,'Parámetros Proyección'!$G$15)))</f>
        <v/>
      </c>
      <c r="P312" s="35">
        <f>N312+O312</f>
        <v/>
      </c>
      <c r="Q312" s="35">
        <f>V311</f>
        <v/>
      </c>
      <c r="R312" s="35">
        <f>Q312*(1+'Parámetros Proyección'!$E$13)</f>
        <v/>
      </c>
      <c r="S312" s="35">
        <f>R312*'Parámetros Proyección'!$F$13</f>
        <v/>
      </c>
      <c r="T312" s="35">
        <f>R312+S312</f>
        <v/>
      </c>
      <c r="U312" s="35">
        <f>IF((T312/AI312&gt;'Parámetros Proyección'!$G$13),0,D312*'Parámetros Proyección'!$G$13/(IF((H312/AI312&gt;'Parámetros Proyección'!$G$11),0,'Parámetros Proyección'!$G$11)+IF((N312/AI312&gt;'Parámetros Proyección'!$G$12),0,'Parámetros Proyección'!$G$12)+IF((T312/AI312&gt;'Parámetros Proyección'!$G$13),0,'Parámetros Proyección'!$G$13)+IF((Z312/AI312&gt;'Parámetros Proyección'!$G$14),0,'Parámetros Proyección'!$G$14)+IF((AF312/AI312&gt;'Parámetros Proyección'!$G$15),0,'Parámetros Proyección'!$G$15)))</f>
        <v/>
      </c>
      <c r="V312" s="35">
        <f>T312+U312</f>
        <v/>
      </c>
      <c r="W312" s="35">
        <f>AB311</f>
        <v/>
      </c>
      <c r="X312" s="35">
        <f>W312*(1+'Parámetros Proyección'!$E$14)</f>
        <v/>
      </c>
      <c r="Y312" s="35">
        <f>X312*'Parámetros Proyección'!$F$14</f>
        <v/>
      </c>
      <c r="Z312" s="35">
        <f>X312+Y312</f>
        <v/>
      </c>
      <c r="AA312" s="35">
        <f>IF((Z312/AI312&gt;'Parámetros Proyección'!$G$14),0,D312*'Parámetros Proyección'!$G$14/(IF((H312/AI312&gt;'Parámetros Proyección'!$G$11),0,'Parámetros Proyección'!$G$11)+IF((N312/AI312&gt;'Parámetros Proyección'!$G$12),0,'Parámetros Proyección'!$G$12)+IF((T312/AI312&gt;'Parámetros Proyección'!$G$13),0,'Parámetros Proyección'!$G$13)+IF((Z312/AI312&gt;'Parámetros Proyección'!$G$14),0,'Parámetros Proyección'!$G$14)+IF((AF312/AI312&gt;'Parámetros Proyección'!$G$15),0,'Parámetros Proyección'!$G$15)))</f>
        <v/>
      </c>
      <c r="AB312" s="35">
        <f>Z312+AA312</f>
        <v/>
      </c>
      <c r="AC312" s="35">
        <f>AH311</f>
        <v/>
      </c>
      <c r="AD312" s="35">
        <f>AC312*(1+'Parámetros Proyección'!$E$15)</f>
        <v/>
      </c>
      <c r="AE312" s="35">
        <f>AD312*'Parámetros Proyección'!$F$15</f>
        <v/>
      </c>
      <c r="AF312" s="35">
        <f>AD312+AE312</f>
        <v/>
      </c>
      <c r="AG312" s="35">
        <f>IF((AF312/AI312&gt;'Parámetros Proyección'!$G$15),0,D312*'Parámetros Proyección'!$G$15/(IF((H312/AI312&gt;'Parámetros Proyección'!$G$11),0,'Parámetros Proyección'!$G$11)+IF((N312/AI312&gt;'Parámetros Proyección'!$G$12),0,'Parámetros Proyección'!$G$12)+IF((T312/AI312&gt;'Parámetros Proyección'!$G$13),0,'Parámetros Proyección'!$G$13)+IF((Z312/AI312&gt;'Parámetros Proyección'!$G$14),0,'Parámetros Proyección'!$G$14)+IF((AF312/AI312&gt;'Parámetros Proyección'!$G$15),0,'Parámetros Proyección'!$G$15)))</f>
        <v/>
      </c>
      <c r="AH312" s="35">
        <f>AF312+AG312</f>
        <v/>
      </c>
      <c r="AI312" s="35">
        <f>H312+N312+T312+Z312+AF312</f>
        <v/>
      </c>
      <c r="AJ312" s="33">
        <f>AF312/AI312</f>
        <v/>
      </c>
      <c r="AK312">
        <f>IF(AJ312&gt;'Parámetros Proyección'!$B$5,1,0)</f>
        <v/>
      </c>
      <c r="AL312" s="35">
        <f>G312+M312+S312+Y312+AE312</f>
        <v/>
      </c>
      <c r="AM312" s="35">
        <f>AM311+D312</f>
        <v/>
      </c>
      <c r="AN312" s="35">
        <f>AN311+AL312</f>
        <v/>
      </c>
      <c r="AO312" s="35">
        <f>J312+P312+V312+AB312+AH312</f>
        <v/>
      </c>
    </row>
    <row r="313">
      <c r="A313" t="n">
        <v>310</v>
      </c>
      <c r="B313" s="34">
        <f>EDATE(B312,1)</f>
        <v/>
      </c>
      <c r="C313">
        <f>YEAR(B313)</f>
        <v/>
      </c>
      <c r="D313" s="35">
        <f>'Parámetros Proyección'!$B$3*(1+'Parámetros Proyección'!$B$4)^(C313-YEAR('Parámetros Proyección'!$B$6))</f>
        <v/>
      </c>
      <c r="E313" s="35">
        <f>J312</f>
        <v/>
      </c>
      <c r="F313" s="35">
        <f>E313*(1+'Parámetros Proyección'!$E$11)</f>
        <v/>
      </c>
      <c r="G313" s="35">
        <f>F313*'Parámetros Proyección'!$F$11</f>
        <v/>
      </c>
      <c r="H313" s="35">
        <f>F313+G313</f>
        <v/>
      </c>
      <c r="I313" s="35">
        <f>IF((H313/AI313&gt;'Parámetros Proyección'!$G$11),0,D313*'Parámetros Proyección'!$G$11/(IF((H313/AI313&gt;'Parámetros Proyección'!$G$11),0,'Parámetros Proyección'!$G$11)+IF((N313/AI313&gt;'Parámetros Proyección'!$G$12),0,'Parámetros Proyección'!$G$12)+IF((T313/AI313&gt;'Parámetros Proyección'!$G$13),0,'Parámetros Proyección'!$G$13)+IF((Z313/AI313&gt;'Parámetros Proyección'!$G$14),0,'Parámetros Proyección'!$G$14)+IF((AF313/AI313&gt;'Parámetros Proyección'!$G$15),0,'Parámetros Proyección'!$G$15)))</f>
        <v/>
      </c>
      <c r="J313" s="35">
        <f>H313+I313</f>
        <v/>
      </c>
      <c r="K313" s="35">
        <f>P312</f>
        <v/>
      </c>
      <c r="L313" s="35">
        <f>K313*(1+'Parámetros Proyección'!$E$12)</f>
        <v/>
      </c>
      <c r="M313" s="35">
        <f>L313*'Parámetros Proyección'!$F$12</f>
        <v/>
      </c>
      <c r="N313" s="35">
        <f>L313+M313</f>
        <v/>
      </c>
      <c r="O313" s="35">
        <f>IF((N313/AI313&gt;'Parámetros Proyección'!$G$12),0,D313*'Parámetros Proyección'!$G$12/(IF((H313/AI313&gt;'Parámetros Proyección'!$G$11),0,'Parámetros Proyección'!$G$11)+IF((N313/AI313&gt;'Parámetros Proyección'!$G$12),0,'Parámetros Proyección'!$G$12)+IF((T313/AI313&gt;'Parámetros Proyección'!$G$13),0,'Parámetros Proyección'!$G$13)+IF((Z313/AI313&gt;'Parámetros Proyección'!$G$14),0,'Parámetros Proyección'!$G$14)+IF((AF313/AI313&gt;'Parámetros Proyección'!$G$15),0,'Parámetros Proyección'!$G$15)))</f>
        <v/>
      </c>
      <c r="P313" s="35">
        <f>N313+O313</f>
        <v/>
      </c>
      <c r="Q313" s="35">
        <f>V312</f>
        <v/>
      </c>
      <c r="R313" s="35">
        <f>Q313*(1+'Parámetros Proyección'!$E$13)</f>
        <v/>
      </c>
      <c r="S313" s="35">
        <f>R313*'Parámetros Proyección'!$F$13</f>
        <v/>
      </c>
      <c r="T313" s="35">
        <f>R313+S313</f>
        <v/>
      </c>
      <c r="U313" s="35">
        <f>IF((T313/AI313&gt;'Parámetros Proyección'!$G$13),0,D313*'Parámetros Proyección'!$G$13/(IF((H313/AI313&gt;'Parámetros Proyección'!$G$11),0,'Parámetros Proyección'!$G$11)+IF((N313/AI313&gt;'Parámetros Proyección'!$G$12),0,'Parámetros Proyección'!$G$12)+IF((T313/AI313&gt;'Parámetros Proyección'!$G$13),0,'Parámetros Proyección'!$G$13)+IF((Z313/AI313&gt;'Parámetros Proyección'!$G$14),0,'Parámetros Proyección'!$G$14)+IF((AF313/AI313&gt;'Parámetros Proyección'!$G$15),0,'Parámetros Proyección'!$G$15)))</f>
        <v/>
      </c>
      <c r="V313" s="35">
        <f>T313+U313</f>
        <v/>
      </c>
      <c r="W313" s="35">
        <f>AB312</f>
        <v/>
      </c>
      <c r="X313" s="35">
        <f>W313*(1+'Parámetros Proyección'!$E$14)</f>
        <v/>
      </c>
      <c r="Y313" s="35">
        <f>X313*'Parámetros Proyección'!$F$14</f>
        <v/>
      </c>
      <c r="Z313" s="35">
        <f>X313+Y313</f>
        <v/>
      </c>
      <c r="AA313" s="35">
        <f>IF((Z313/AI313&gt;'Parámetros Proyección'!$G$14),0,D313*'Parámetros Proyección'!$G$14/(IF((H313/AI313&gt;'Parámetros Proyección'!$G$11),0,'Parámetros Proyección'!$G$11)+IF((N313/AI313&gt;'Parámetros Proyección'!$G$12),0,'Parámetros Proyección'!$G$12)+IF((T313/AI313&gt;'Parámetros Proyección'!$G$13),0,'Parámetros Proyección'!$G$13)+IF((Z313/AI313&gt;'Parámetros Proyección'!$G$14),0,'Parámetros Proyección'!$G$14)+IF((AF313/AI313&gt;'Parámetros Proyección'!$G$15),0,'Parámetros Proyección'!$G$15)))</f>
        <v/>
      </c>
      <c r="AB313" s="35">
        <f>Z313+AA313</f>
        <v/>
      </c>
      <c r="AC313" s="35">
        <f>AH312</f>
        <v/>
      </c>
      <c r="AD313" s="35">
        <f>AC313*(1+'Parámetros Proyección'!$E$15)</f>
        <v/>
      </c>
      <c r="AE313" s="35">
        <f>AD313*'Parámetros Proyección'!$F$15</f>
        <v/>
      </c>
      <c r="AF313" s="35">
        <f>AD313+AE313</f>
        <v/>
      </c>
      <c r="AG313" s="35">
        <f>IF((AF313/AI313&gt;'Parámetros Proyección'!$G$15),0,D313*'Parámetros Proyección'!$G$15/(IF((H313/AI313&gt;'Parámetros Proyección'!$G$11),0,'Parámetros Proyección'!$G$11)+IF((N313/AI313&gt;'Parámetros Proyección'!$G$12),0,'Parámetros Proyección'!$G$12)+IF((T313/AI313&gt;'Parámetros Proyección'!$G$13),0,'Parámetros Proyección'!$G$13)+IF((Z313/AI313&gt;'Parámetros Proyección'!$G$14),0,'Parámetros Proyección'!$G$14)+IF((AF313/AI313&gt;'Parámetros Proyección'!$G$15),0,'Parámetros Proyección'!$G$15)))</f>
        <v/>
      </c>
      <c r="AH313" s="35">
        <f>AF313+AG313</f>
        <v/>
      </c>
      <c r="AI313" s="35">
        <f>H313+N313+T313+Z313+AF313</f>
        <v/>
      </c>
      <c r="AJ313" s="33">
        <f>AF313/AI313</f>
        <v/>
      </c>
      <c r="AK313">
        <f>IF(AJ313&gt;'Parámetros Proyección'!$B$5,1,0)</f>
        <v/>
      </c>
      <c r="AL313" s="35">
        <f>G313+M313+S313+Y313+AE313</f>
        <v/>
      </c>
      <c r="AM313" s="35">
        <f>AM312+D313</f>
        <v/>
      </c>
      <c r="AN313" s="35">
        <f>AN312+AL313</f>
        <v/>
      </c>
      <c r="AO313" s="35">
        <f>J313+P313+V313+AB313+AH313</f>
        <v/>
      </c>
    </row>
    <row r="314">
      <c r="A314" t="n">
        <v>311</v>
      </c>
      <c r="B314" s="34">
        <f>EDATE(B313,1)</f>
        <v/>
      </c>
      <c r="C314">
        <f>YEAR(B314)</f>
        <v/>
      </c>
      <c r="D314" s="35">
        <f>'Parámetros Proyección'!$B$3*(1+'Parámetros Proyección'!$B$4)^(C314-YEAR('Parámetros Proyección'!$B$6))</f>
        <v/>
      </c>
      <c r="E314" s="35">
        <f>J313</f>
        <v/>
      </c>
      <c r="F314" s="35">
        <f>E314*(1+'Parámetros Proyección'!$E$11)</f>
        <v/>
      </c>
      <c r="G314" s="35">
        <f>F314*'Parámetros Proyección'!$F$11</f>
        <v/>
      </c>
      <c r="H314" s="35">
        <f>F314+G314</f>
        <v/>
      </c>
      <c r="I314" s="35">
        <f>IF((H314/AI314&gt;'Parámetros Proyección'!$G$11),0,D314*'Parámetros Proyección'!$G$11/(IF((H314/AI314&gt;'Parámetros Proyección'!$G$11),0,'Parámetros Proyección'!$G$11)+IF((N314/AI314&gt;'Parámetros Proyección'!$G$12),0,'Parámetros Proyección'!$G$12)+IF((T314/AI314&gt;'Parámetros Proyección'!$G$13),0,'Parámetros Proyección'!$G$13)+IF((Z314/AI314&gt;'Parámetros Proyección'!$G$14),0,'Parámetros Proyección'!$G$14)+IF((AF314/AI314&gt;'Parámetros Proyección'!$G$15),0,'Parámetros Proyección'!$G$15)))</f>
        <v/>
      </c>
      <c r="J314" s="35">
        <f>H314+I314</f>
        <v/>
      </c>
      <c r="K314" s="35">
        <f>P313</f>
        <v/>
      </c>
      <c r="L314" s="35">
        <f>K314*(1+'Parámetros Proyección'!$E$12)</f>
        <v/>
      </c>
      <c r="M314" s="35">
        <f>L314*'Parámetros Proyección'!$F$12</f>
        <v/>
      </c>
      <c r="N314" s="35">
        <f>L314+M314</f>
        <v/>
      </c>
      <c r="O314" s="35">
        <f>IF((N314/AI314&gt;'Parámetros Proyección'!$G$12),0,D314*'Parámetros Proyección'!$G$12/(IF((H314/AI314&gt;'Parámetros Proyección'!$G$11),0,'Parámetros Proyección'!$G$11)+IF((N314/AI314&gt;'Parámetros Proyección'!$G$12),0,'Parámetros Proyección'!$G$12)+IF((T314/AI314&gt;'Parámetros Proyección'!$G$13),0,'Parámetros Proyección'!$G$13)+IF((Z314/AI314&gt;'Parámetros Proyección'!$G$14),0,'Parámetros Proyección'!$G$14)+IF((AF314/AI314&gt;'Parámetros Proyección'!$G$15),0,'Parámetros Proyección'!$G$15)))</f>
        <v/>
      </c>
      <c r="P314" s="35">
        <f>N314+O314</f>
        <v/>
      </c>
      <c r="Q314" s="35">
        <f>V313</f>
        <v/>
      </c>
      <c r="R314" s="35">
        <f>Q314*(1+'Parámetros Proyección'!$E$13)</f>
        <v/>
      </c>
      <c r="S314" s="35">
        <f>R314*'Parámetros Proyección'!$F$13</f>
        <v/>
      </c>
      <c r="T314" s="35">
        <f>R314+S314</f>
        <v/>
      </c>
      <c r="U314" s="35">
        <f>IF((T314/AI314&gt;'Parámetros Proyección'!$G$13),0,D314*'Parámetros Proyección'!$G$13/(IF((H314/AI314&gt;'Parámetros Proyección'!$G$11),0,'Parámetros Proyección'!$G$11)+IF((N314/AI314&gt;'Parámetros Proyección'!$G$12),0,'Parámetros Proyección'!$G$12)+IF((T314/AI314&gt;'Parámetros Proyección'!$G$13),0,'Parámetros Proyección'!$G$13)+IF((Z314/AI314&gt;'Parámetros Proyección'!$G$14),0,'Parámetros Proyección'!$G$14)+IF((AF314/AI314&gt;'Parámetros Proyección'!$G$15),0,'Parámetros Proyección'!$G$15)))</f>
        <v/>
      </c>
      <c r="V314" s="35">
        <f>T314+U314</f>
        <v/>
      </c>
      <c r="W314" s="35">
        <f>AB313</f>
        <v/>
      </c>
      <c r="X314" s="35">
        <f>W314*(1+'Parámetros Proyección'!$E$14)</f>
        <v/>
      </c>
      <c r="Y314" s="35">
        <f>X314*'Parámetros Proyección'!$F$14</f>
        <v/>
      </c>
      <c r="Z314" s="35">
        <f>X314+Y314</f>
        <v/>
      </c>
      <c r="AA314" s="35">
        <f>IF((Z314/AI314&gt;'Parámetros Proyección'!$G$14),0,D314*'Parámetros Proyección'!$G$14/(IF((H314/AI314&gt;'Parámetros Proyección'!$G$11),0,'Parámetros Proyección'!$G$11)+IF((N314/AI314&gt;'Parámetros Proyección'!$G$12),0,'Parámetros Proyección'!$G$12)+IF((T314/AI314&gt;'Parámetros Proyección'!$G$13),0,'Parámetros Proyección'!$G$13)+IF((Z314/AI314&gt;'Parámetros Proyección'!$G$14),0,'Parámetros Proyección'!$G$14)+IF((AF314/AI314&gt;'Parámetros Proyección'!$G$15),0,'Parámetros Proyección'!$G$15)))</f>
        <v/>
      </c>
      <c r="AB314" s="35">
        <f>Z314+AA314</f>
        <v/>
      </c>
      <c r="AC314" s="35">
        <f>AH313</f>
        <v/>
      </c>
      <c r="AD314" s="35">
        <f>AC314*(1+'Parámetros Proyección'!$E$15)</f>
        <v/>
      </c>
      <c r="AE314" s="35">
        <f>AD314*'Parámetros Proyección'!$F$15</f>
        <v/>
      </c>
      <c r="AF314" s="35">
        <f>AD314+AE314</f>
        <v/>
      </c>
      <c r="AG314" s="35">
        <f>IF((AF314/AI314&gt;'Parámetros Proyección'!$G$15),0,D314*'Parámetros Proyección'!$G$15/(IF((H314/AI314&gt;'Parámetros Proyección'!$G$11),0,'Parámetros Proyección'!$G$11)+IF((N314/AI314&gt;'Parámetros Proyección'!$G$12),0,'Parámetros Proyección'!$G$12)+IF((T314/AI314&gt;'Parámetros Proyección'!$G$13),0,'Parámetros Proyección'!$G$13)+IF((Z314/AI314&gt;'Parámetros Proyección'!$G$14),0,'Parámetros Proyección'!$G$14)+IF((AF314/AI314&gt;'Parámetros Proyección'!$G$15),0,'Parámetros Proyección'!$G$15)))</f>
        <v/>
      </c>
      <c r="AH314" s="35">
        <f>AF314+AG314</f>
        <v/>
      </c>
      <c r="AI314" s="35">
        <f>H314+N314+T314+Z314+AF314</f>
        <v/>
      </c>
      <c r="AJ314" s="33">
        <f>AF314/AI314</f>
        <v/>
      </c>
      <c r="AK314">
        <f>IF(AJ314&gt;'Parámetros Proyección'!$B$5,1,0)</f>
        <v/>
      </c>
      <c r="AL314" s="35">
        <f>G314+M314+S314+Y314+AE314</f>
        <v/>
      </c>
      <c r="AM314" s="35">
        <f>AM313+D314</f>
        <v/>
      </c>
      <c r="AN314" s="35">
        <f>AN313+AL314</f>
        <v/>
      </c>
      <c r="AO314" s="35">
        <f>J314+P314+V314+AB314+AH314</f>
        <v/>
      </c>
    </row>
    <row r="315">
      <c r="A315" t="n">
        <v>312</v>
      </c>
      <c r="B315" s="34">
        <f>EDATE(B314,1)</f>
        <v/>
      </c>
      <c r="C315">
        <f>YEAR(B315)</f>
        <v/>
      </c>
      <c r="D315" s="35">
        <f>'Parámetros Proyección'!$B$3*(1+'Parámetros Proyección'!$B$4)^(C315-YEAR('Parámetros Proyección'!$B$6))</f>
        <v/>
      </c>
      <c r="E315" s="35">
        <f>J314</f>
        <v/>
      </c>
      <c r="F315" s="35">
        <f>E315*(1+'Parámetros Proyección'!$E$11)</f>
        <v/>
      </c>
      <c r="G315" s="35">
        <f>F315*'Parámetros Proyección'!$F$11</f>
        <v/>
      </c>
      <c r="H315" s="35">
        <f>F315+G315</f>
        <v/>
      </c>
      <c r="I315" s="35">
        <f>IF((H315/AI315&gt;'Parámetros Proyección'!$G$11),0,D315*'Parámetros Proyección'!$G$11/(IF((H315/AI315&gt;'Parámetros Proyección'!$G$11),0,'Parámetros Proyección'!$G$11)+IF((N315/AI315&gt;'Parámetros Proyección'!$G$12),0,'Parámetros Proyección'!$G$12)+IF((T315/AI315&gt;'Parámetros Proyección'!$G$13),0,'Parámetros Proyección'!$G$13)+IF((Z315/AI315&gt;'Parámetros Proyección'!$G$14),0,'Parámetros Proyección'!$G$14)+IF((AF315/AI315&gt;'Parámetros Proyección'!$G$15),0,'Parámetros Proyección'!$G$15)))</f>
        <v/>
      </c>
      <c r="J315" s="35">
        <f>H315+I315</f>
        <v/>
      </c>
      <c r="K315" s="35">
        <f>P314</f>
        <v/>
      </c>
      <c r="L315" s="35">
        <f>K315*(1+'Parámetros Proyección'!$E$12)</f>
        <v/>
      </c>
      <c r="M315" s="35">
        <f>L315*'Parámetros Proyección'!$F$12</f>
        <v/>
      </c>
      <c r="N315" s="35">
        <f>L315+M315</f>
        <v/>
      </c>
      <c r="O315" s="35">
        <f>IF((N315/AI315&gt;'Parámetros Proyección'!$G$12),0,D315*'Parámetros Proyección'!$G$12/(IF((H315/AI315&gt;'Parámetros Proyección'!$G$11),0,'Parámetros Proyección'!$G$11)+IF((N315/AI315&gt;'Parámetros Proyección'!$G$12),0,'Parámetros Proyección'!$G$12)+IF((T315/AI315&gt;'Parámetros Proyección'!$G$13),0,'Parámetros Proyección'!$G$13)+IF((Z315/AI315&gt;'Parámetros Proyección'!$G$14),0,'Parámetros Proyección'!$G$14)+IF((AF315/AI315&gt;'Parámetros Proyección'!$G$15),0,'Parámetros Proyección'!$G$15)))</f>
        <v/>
      </c>
      <c r="P315" s="35">
        <f>N315+O315</f>
        <v/>
      </c>
      <c r="Q315" s="35">
        <f>V314</f>
        <v/>
      </c>
      <c r="R315" s="35">
        <f>Q315*(1+'Parámetros Proyección'!$E$13)</f>
        <v/>
      </c>
      <c r="S315" s="35">
        <f>R315*'Parámetros Proyección'!$F$13</f>
        <v/>
      </c>
      <c r="T315" s="35">
        <f>R315+S315</f>
        <v/>
      </c>
      <c r="U315" s="35">
        <f>IF((T315/AI315&gt;'Parámetros Proyección'!$G$13),0,D315*'Parámetros Proyección'!$G$13/(IF((H315/AI315&gt;'Parámetros Proyección'!$G$11),0,'Parámetros Proyección'!$G$11)+IF((N315/AI315&gt;'Parámetros Proyección'!$G$12),0,'Parámetros Proyección'!$G$12)+IF((T315/AI315&gt;'Parámetros Proyección'!$G$13),0,'Parámetros Proyección'!$G$13)+IF((Z315/AI315&gt;'Parámetros Proyección'!$G$14),0,'Parámetros Proyección'!$G$14)+IF((AF315/AI315&gt;'Parámetros Proyección'!$G$15),0,'Parámetros Proyección'!$G$15)))</f>
        <v/>
      </c>
      <c r="V315" s="35">
        <f>T315+U315</f>
        <v/>
      </c>
      <c r="W315" s="35">
        <f>AB314</f>
        <v/>
      </c>
      <c r="X315" s="35">
        <f>W315*(1+'Parámetros Proyección'!$E$14)</f>
        <v/>
      </c>
      <c r="Y315" s="35">
        <f>X315*'Parámetros Proyección'!$F$14</f>
        <v/>
      </c>
      <c r="Z315" s="35">
        <f>X315+Y315</f>
        <v/>
      </c>
      <c r="AA315" s="35">
        <f>IF((Z315/AI315&gt;'Parámetros Proyección'!$G$14),0,D315*'Parámetros Proyección'!$G$14/(IF((H315/AI315&gt;'Parámetros Proyección'!$G$11),0,'Parámetros Proyección'!$G$11)+IF((N315/AI315&gt;'Parámetros Proyección'!$G$12),0,'Parámetros Proyección'!$G$12)+IF((T315/AI315&gt;'Parámetros Proyección'!$G$13),0,'Parámetros Proyección'!$G$13)+IF((Z315/AI315&gt;'Parámetros Proyección'!$G$14),0,'Parámetros Proyección'!$G$14)+IF((AF315/AI315&gt;'Parámetros Proyección'!$G$15),0,'Parámetros Proyección'!$G$15)))</f>
        <v/>
      </c>
      <c r="AB315" s="35">
        <f>Z315+AA315</f>
        <v/>
      </c>
      <c r="AC315" s="35">
        <f>AH314</f>
        <v/>
      </c>
      <c r="AD315" s="35">
        <f>AC315*(1+'Parámetros Proyección'!$E$15)</f>
        <v/>
      </c>
      <c r="AE315" s="35">
        <f>AD315*'Parámetros Proyección'!$F$15</f>
        <v/>
      </c>
      <c r="AF315" s="35">
        <f>AD315+AE315</f>
        <v/>
      </c>
      <c r="AG315" s="35">
        <f>IF((AF315/AI315&gt;'Parámetros Proyección'!$G$15),0,D315*'Parámetros Proyección'!$G$15/(IF((H315/AI315&gt;'Parámetros Proyección'!$G$11),0,'Parámetros Proyección'!$G$11)+IF((N315/AI315&gt;'Parámetros Proyección'!$G$12),0,'Parámetros Proyección'!$G$12)+IF((T315/AI315&gt;'Parámetros Proyección'!$G$13),0,'Parámetros Proyección'!$G$13)+IF((Z315/AI315&gt;'Parámetros Proyección'!$G$14),0,'Parámetros Proyección'!$G$14)+IF((AF315/AI315&gt;'Parámetros Proyección'!$G$15),0,'Parámetros Proyección'!$G$15)))</f>
        <v/>
      </c>
      <c r="AH315" s="35">
        <f>AF315+AG315</f>
        <v/>
      </c>
      <c r="AI315" s="35">
        <f>H315+N315+T315+Z315+AF315</f>
        <v/>
      </c>
      <c r="AJ315" s="33">
        <f>AF315/AI315</f>
        <v/>
      </c>
      <c r="AK315">
        <f>IF(AJ315&gt;'Parámetros Proyección'!$B$5,1,0)</f>
        <v/>
      </c>
      <c r="AL315" s="35">
        <f>G315+M315+S315+Y315+AE315</f>
        <v/>
      </c>
      <c r="AM315" s="35">
        <f>AM314+D315</f>
        <v/>
      </c>
      <c r="AN315" s="35">
        <f>AN314+AL315</f>
        <v/>
      </c>
      <c r="AO315" s="35">
        <f>J315+P315+V315+AB315+AH315</f>
        <v/>
      </c>
    </row>
    <row r="316">
      <c r="A316" t="n">
        <v>313</v>
      </c>
      <c r="B316" s="34">
        <f>EDATE(B315,1)</f>
        <v/>
      </c>
      <c r="C316">
        <f>YEAR(B316)</f>
        <v/>
      </c>
      <c r="D316" s="35">
        <f>'Parámetros Proyección'!$B$3*(1+'Parámetros Proyección'!$B$4)^(C316-YEAR('Parámetros Proyección'!$B$6))</f>
        <v/>
      </c>
      <c r="E316" s="35">
        <f>J315</f>
        <v/>
      </c>
      <c r="F316" s="35">
        <f>E316*(1+'Parámetros Proyección'!$E$11)</f>
        <v/>
      </c>
      <c r="G316" s="35">
        <f>F316*'Parámetros Proyección'!$F$11</f>
        <v/>
      </c>
      <c r="H316" s="35">
        <f>F316+G316</f>
        <v/>
      </c>
      <c r="I316" s="35">
        <f>IF((H316/AI316&gt;'Parámetros Proyección'!$G$11),0,D316*'Parámetros Proyección'!$G$11/(IF((H316/AI316&gt;'Parámetros Proyección'!$G$11),0,'Parámetros Proyección'!$G$11)+IF((N316/AI316&gt;'Parámetros Proyección'!$G$12),0,'Parámetros Proyección'!$G$12)+IF((T316/AI316&gt;'Parámetros Proyección'!$G$13),0,'Parámetros Proyección'!$G$13)+IF((Z316/AI316&gt;'Parámetros Proyección'!$G$14),0,'Parámetros Proyección'!$G$14)+IF((AF316/AI316&gt;'Parámetros Proyección'!$G$15),0,'Parámetros Proyección'!$G$15)))</f>
        <v/>
      </c>
      <c r="J316" s="35">
        <f>H316+I316</f>
        <v/>
      </c>
      <c r="K316" s="35">
        <f>P315</f>
        <v/>
      </c>
      <c r="L316" s="35">
        <f>K316*(1+'Parámetros Proyección'!$E$12)</f>
        <v/>
      </c>
      <c r="M316" s="35">
        <f>L316*'Parámetros Proyección'!$F$12</f>
        <v/>
      </c>
      <c r="N316" s="35">
        <f>L316+M316</f>
        <v/>
      </c>
      <c r="O316" s="35">
        <f>IF((N316/AI316&gt;'Parámetros Proyección'!$G$12),0,D316*'Parámetros Proyección'!$G$12/(IF((H316/AI316&gt;'Parámetros Proyección'!$G$11),0,'Parámetros Proyección'!$G$11)+IF((N316/AI316&gt;'Parámetros Proyección'!$G$12),0,'Parámetros Proyección'!$G$12)+IF((T316/AI316&gt;'Parámetros Proyección'!$G$13),0,'Parámetros Proyección'!$G$13)+IF((Z316/AI316&gt;'Parámetros Proyección'!$G$14),0,'Parámetros Proyección'!$G$14)+IF((AF316/AI316&gt;'Parámetros Proyección'!$G$15),0,'Parámetros Proyección'!$G$15)))</f>
        <v/>
      </c>
      <c r="P316" s="35">
        <f>N316+O316</f>
        <v/>
      </c>
      <c r="Q316" s="35">
        <f>V315</f>
        <v/>
      </c>
      <c r="R316" s="35">
        <f>Q316*(1+'Parámetros Proyección'!$E$13)</f>
        <v/>
      </c>
      <c r="S316" s="35">
        <f>R316*'Parámetros Proyección'!$F$13</f>
        <v/>
      </c>
      <c r="T316" s="35">
        <f>R316+S316</f>
        <v/>
      </c>
      <c r="U316" s="35">
        <f>IF((T316/AI316&gt;'Parámetros Proyección'!$G$13),0,D316*'Parámetros Proyección'!$G$13/(IF((H316/AI316&gt;'Parámetros Proyección'!$G$11),0,'Parámetros Proyección'!$G$11)+IF((N316/AI316&gt;'Parámetros Proyección'!$G$12),0,'Parámetros Proyección'!$G$12)+IF((T316/AI316&gt;'Parámetros Proyección'!$G$13),0,'Parámetros Proyección'!$G$13)+IF((Z316/AI316&gt;'Parámetros Proyección'!$G$14),0,'Parámetros Proyección'!$G$14)+IF((AF316/AI316&gt;'Parámetros Proyección'!$G$15),0,'Parámetros Proyección'!$G$15)))</f>
        <v/>
      </c>
      <c r="V316" s="35">
        <f>T316+U316</f>
        <v/>
      </c>
      <c r="W316" s="35">
        <f>AB315</f>
        <v/>
      </c>
      <c r="X316" s="35">
        <f>W316*(1+'Parámetros Proyección'!$E$14)</f>
        <v/>
      </c>
      <c r="Y316" s="35">
        <f>X316*'Parámetros Proyección'!$F$14</f>
        <v/>
      </c>
      <c r="Z316" s="35">
        <f>X316+Y316</f>
        <v/>
      </c>
      <c r="AA316" s="35">
        <f>IF((Z316/AI316&gt;'Parámetros Proyección'!$G$14),0,D316*'Parámetros Proyección'!$G$14/(IF((H316/AI316&gt;'Parámetros Proyección'!$G$11),0,'Parámetros Proyección'!$G$11)+IF((N316/AI316&gt;'Parámetros Proyección'!$G$12),0,'Parámetros Proyección'!$G$12)+IF((T316/AI316&gt;'Parámetros Proyección'!$G$13),0,'Parámetros Proyección'!$G$13)+IF((Z316/AI316&gt;'Parámetros Proyección'!$G$14),0,'Parámetros Proyección'!$G$14)+IF((AF316/AI316&gt;'Parámetros Proyección'!$G$15),0,'Parámetros Proyección'!$G$15)))</f>
        <v/>
      </c>
      <c r="AB316" s="35">
        <f>Z316+AA316</f>
        <v/>
      </c>
      <c r="AC316" s="35">
        <f>AH315</f>
        <v/>
      </c>
      <c r="AD316" s="35">
        <f>AC316*(1+'Parámetros Proyección'!$E$15)</f>
        <v/>
      </c>
      <c r="AE316" s="35">
        <f>AD316*'Parámetros Proyección'!$F$15</f>
        <v/>
      </c>
      <c r="AF316" s="35">
        <f>AD316+AE316</f>
        <v/>
      </c>
      <c r="AG316" s="35">
        <f>IF((AF316/AI316&gt;'Parámetros Proyección'!$G$15),0,D316*'Parámetros Proyección'!$G$15/(IF((H316/AI316&gt;'Parámetros Proyección'!$G$11),0,'Parámetros Proyección'!$G$11)+IF((N316/AI316&gt;'Parámetros Proyección'!$G$12),0,'Parámetros Proyección'!$G$12)+IF((T316/AI316&gt;'Parámetros Proyección'!$G$13),0,'Parámetros Proyección'!$G$13)+IF((Z316/AI316&gt;'Parámetros Proyección'!$G$14),0,'Parámetros Proyección'!$G$14)+IF((AF316/AI316&gt;'Parámetros Proyección'!$G$15),0,'Parámetros Proyección'!$G$15)))</f>
        <v/>
      </c>
      <c r="AH316" s="35">
        <f>AF316+AG316</f>
        <v/>
      </c>
      <c r="AI316" s="35">
        <f>H316+N316+T316+Z316+AF316</f>
        <v/>
      </c>
      <c r="AJ316" s="33">
        <f>AF316/AI316</f>
        <v/>
      </c>
      <c r="AK316">
        <f>IF(AJ316&gt;'Parámetros Proyección'!$B$5,1,0)</f>
        <v/>
      </c>
      <c r="AL316" s="35">
        <f>G316+M316+S316+Y316+AE316</f>
        <v/>
      </c>
      <c r="AM316" s="35">
        <f>AM315+D316</f>
        <v/>
      </c>
      <c r="AN316" s="35">
        <f>AN315+AL316</f>
        <v/>
      </c>
      <c r="AO316" s="35">
        <f>J316+P316+V316+AB316+AH316</f>
        <v/>
      </c>
    </row>
    <row r="317">
      <c r="A317" t="n">
        <v>314</v>
      </c>
      <c r="B317" s="34">
        <f>EDATE(B316,1)</f>
        <v/>
      </c>
      <c r="C317">
        <f>YEAR(B317)</f>
        <v/>
      </c>
      <c r="D317" s="35">
        <f>'Parámetros Proyección'!$B$3*(1+'Parámetros Proyección'!$B$4)^(C317-YEAR('Parámetros Proyección'!$B$6))</f>
        <v/>
      </c>
      <c r="E317" s="35">
        <f>J316</f>
        <v/>
      </c>
      <c r="F317" s="35">
        <f>E317*(1+'Parámetros Proyección'!$E$11)</f>
        <v/>
      </c>
      <c r="G317" s="35">
        <f>F317*'Parámetros Proyección'!$F$11</f>
        <v/>
      </c>
      <c r="H317" s="35">
        <f>F317+G317</f>
        <v/>
      </c>
      <c r="I317" s="35">
        <f>IF((H317/AI317&gt;'Parámetros Proyección'!$G$11),0,D317*'Parámetros Proyección'!$G$11/(IF((H317/AI317&gt;'Parámetros Proyección'!$G$11),0,'Parámetros Proyección'!$G$11)+IF((N317/AI317&gt;'Parámetros Proyección'!$G$12),0,'Parámetros Proyección'!$G$12)+IF((T317/AI317&gt;'Parámetros Proyección'!$G$13),0,'Parámetros Proyección'!$G$13)+IF((Z317/AI317&gt;'Parámetros Proyección'!$G$14),0,'Parámetros Proyección'!$G$14)+IF((AF317/AI317&gt;'Parámetros Proyección'!$G$15),0,'Parámetros Proyección'!$G$15)))</f>
        <v/>
      </c>
      <c r="J317" s="35">
        <f>H317+I317</f>
        <v/>
      </c>
      <c r="K317" s="35">
        <f>P316</f>
        <v/>
      </c>
      <c r="L317" s="35">
        <f>K317*(1+'Parámetros Proyección'!$E$12)</f>
        <v/>
      </c>
      <c r="M317" s="35">
        <f>L317*'Parámetros Proyección'!$F$12</f>
        <v/>
      </c>
      <c r="N317" s="35">
        <f>L317+M317</f>
        <v/>
      </c>
      <c r="O317" s="35">
        <f>IF((N317/AI317&gt;'Parámetros Proyección'!$G$12),0,D317*'Parámetros Proyección'!$G$12/(IF((H317/AI317&gt;'Parámetros Proyección'!$G$11),0,'Parámetros Proyección'!$G$11)+IF((N317/AI317&gt;'Parámetros Proyección'!$G$12),0,'Parámetros Proyección'!$G$12)+IF((T317/AI317&gt;'Parámetros Proyección'!$G$13),0,'Parámetros Proyección'!$G$13)+IF((Z317/AI317&gt;'Parámetros Proyección'!$G$14),0,'Parámetros Proyección'!$G$14)+IF((AF317/AI317&gt;'Parámetros Proyección'!$G$15),0,'Parámetros Proyección'!$G$15)))</f>
        <v/>
      </c>
      <c r="P317" s="35">
        <f>N317+O317</f>
        <v/>
      </c>
      <c r="Q317" s="35">
        <f>V316</f>
        <v/>
      </c>
      <c r="R317" s="35">
        <f>Q317*(1+'Parámetros Proyección'!$E$13)</f>
        <v/>
      </c>
      <c r="S317" s="35">
        <f>R317*'Parámetros Proyección'!$F$13</f>
        <v/>
      </c>
      <c r="T317" s="35">
        <f>R317+S317</f>
        <v/>
      </c>
      <c r="U317" s="35">
        <f>IF((T317/AI317&gt;'Parámetros Proyección'!$G$13),0,D317*'Parámetros Proyección'!$G$13/(IF((H317/AI317&gt;'Parámetros Proyección'!$G$11),0,'Parámetros Proyección'!$G$11)+IF((N317/AI317&gt;'Parámetros Proyección'!$G$12),0,'Parámetros Proyección'!$G$12)+IF((T317/AI317&gt;'Parámetros Proyección'!$G$13),0,'Parámetros Proyección'!$G$13)+IF((Z317/AI317&gt;'Parámetros Proyección'!$G$14),0,'Parámetros Proyección'!$G$14)+IF((AF317/AI317&gt;'Parámetros Proyección'!$G$15),0,'Parámetros Proyección'!$G$15)))</f>
        <v/>
      </c>
      <c r="V317" s="35">
        <f>T317+U317</f>
        <v/>
      </c>
      <c r="W317" s="35">
        <f>AB316</f>
        <v/>
      </c>
      <c r="X317" s="35">
        <f>W317*(1+'Parámetros Proyección'!$E$14)</f>
        <v/>
      </c>
      <c r="Y317" s="35">
        <f>X317*'Parámetros Proyección'!$F$14</f>
        <v/>
      </c>
      <c r="Z317" s="35">
        <f>X317+Y317</f>
        <v/>
      </c>
      <c r="AA317" s="35">
        <f>IF((Z317/AI317&gt;'Parámetros Proyección'!$G$14),0,D317*'Parámetros Proyección'!$G$14/(IF((H317/AI317&gt;'Parámetros Proyección'!$G$11),0,'Parámetros Proyección'!$G$11)+IF((N317/AI317&gt;'Parámetros Proyección'!$G$12),0,'Parámetros Proyección'!$G$12)+IF((T317/AI317&gt;'Parámetros Proyección'!$G$13),0,'Parámetros Proyección'!$G$13)+IF((Z317/AI317&gt;'Parámetros Proyección'!$G$14),0,'Parámetros Proyección'!$G$14)+IF((AF317/AI317&gt;'Parámetros Proyección'!$G$15),0,'Parámetros Proyección'!$G$15)))</f>
        <v/>
      </c>
      <c r="AB317" s="35">
        <f>Z317+AA317</f>
        <v/>
      </c>
      <c r="AC317" s="35">
        <f>AH316</f>
        <v/>
      </c>
      <c r="AD317" s="35">
        <f>AC317*(1+'Parámetros Proyección'!$E$15)</f>
        <v/>
      </c>
      <c r="AE317" s="35">
        <f>AD317*'Parámetros Proyección'!$F$15</f>
        <v/>
      </c>
      <c r="AF317" s="35">
        <f>AD317+AE317</f>
        <v/>
      </c>
      <c r="AG317" s="35">
        <f>IF((AF317/AI317&gt;'Parámetros Proyección'!$G$15),0,D317*'Parámetros Proyección'!$G$15/(IF((H317/AI317&gt;'Parámetros Proyección'!$G$11),0,'Parámetros Proyección'!$G$11)+IF((N317/AI317&gt;'Parámetros Proyección'!$G$12),0,'Parámetros Proyección'!$G$12)+IF((T317/AI317&gt;'Parámetros Proyección'!$G$13),0,'Parámetros Proyección'!$G$13)+IF((Z317/AI317&gt;'Parámetros Proyección'!$G$14),0,'Parámetros Proyección'!$G$14)+IF((AF317/AI317&gt;'Parámetros Proyección'!$G$15),0,'Parámetros Proyección'!$G$15)))</f>
        <v/>
      </c>
      <c r="AH317" s="35">
        <f>AF317+AG317</f>
        <v/>
      </c>
      <c r="AI317" s="35">
        <f>H317+N317+T317+Z317+AF317</f>
        <v/>
      </c>
      <c r="AJ317" s="33">
        <f>AF317/AI317</f>
        <v/>
      </c>
      <c r="AK317">
        <f>IF(AJ317&gt;'Parámetros Proyección'!$B$5,1,0)</f>
        <v/>
      </c>
      <c r="AL317" s="35">
        <f>G317+M317+S317+Y317+AE317</f>
        <v/>
      </c>
      <c r="AM317" s="35">
        <f>AM316+D317</f>
        <v/>
      </c>
      <c r="AN317" s="35">
        <f>AN316+AL317</f>
        <v/>
      </c>
      <c r="AO317" s="35">
        <f>J317+P317+V317+AB317+AH317</f>
        <v/>
      </c>
    </row>
    <row r="318">
      <c r="A318" t="n">
        <v>315</v>
      </c>
      <c r="B318" s="34">
        <f>EDATE(B317,1)</f>
        <v/>
      </c>
      <c r="C318">
        <f>YEAR(B318)</f>
        <v/>
      </c>
      <c r="D318" s="35">
        <f>'Parámetros Proyección'!$B$3*(1+'Parámetros Proyección'!$B$4)^(C318-YEAR('Parámetros Proyección'!$B$6))</f>
        <v/>
      </c>
      <c r="E318" s="35">
        <f>J317</f>
        <v/>
      </c>
      <c r="F318" s="35">
        <f>E318*(1+'Parámetros Proyección'!$E$11)</f>
        <v/>
      </c>
      <c r="G318" s="35">
        <f>F318*'Parámetros Proyección'!$F$11</f>
        <v/>
      </c>
      <c r="H318" s="35">
        <f>F318+G318</f>
        <v/>
      </c>
      <c r="I318" s="35">
        <f>IF((H318/AI318&gt;'Parámetros Proyección'!$G$11),0,D318*'Parámetros Proyección'!$G$11/(IF((H318/AI318&gt;'Parámetros Proyección'!$G$11),0,'Parámetros Proyección'!$G$11)+IF((N318/AI318&gt;'Parámetros Proyección'!$G$12),0,'Parámetros Proyección'!$G$12)+IF((T318/AI318&gt;'Parámetros Proyección'!$G$13),0,'Parámetros Proyección'!$G$13)+IF((Z318/AI318&gt;'Parámetros Proyección'!$G$14),0,'Parámetros Proyección'!$G$14)+IF((AF318/AI318&gt;'Parámetros Proyección'!$G$15),0,'Parámetros Proyección'!$G$15)))</f>
        <v/>
      </c>
      <c r="J318" s="35">
        <f>H318+I318</f>
        <v/>
      </c>
      <c r="K318" s="35">
        <f>P317</f>
        <v/>
      </c>
      <c r="L318" s="35">
        <f>K318*(1+'Parámetros Proyección'!$E$12)</f>
        <v/>
      </c>
      <c r="M318" s="35">
        <f>L318*'Parámetros Proyección'!$F$12</f>
        <v/>
      </c>
      <c r="N318" s="35">
        <f>L318+M318</f>
        <v/>
      </c>
      <c r="O318" s="35">
        <f>IF((N318/AI318&gt;'Parámetros Proyección'!$G$12),0,D318*'Parámetros Proyección'!$G$12/(IF((H318/AI318&gt;'Parámetros Proyección'!$G$11),0,'Parámetros Proyección'!$G$11)+IF((N318/AI318&gt;'Parámetros Proyección'!$G$12),0,'Parámetros Proyección'!$G$12)+IF((T318/AI318&gt;'Parámetros Proyección'!$G$13),0,'Parámetros Proyección'!$G$13)+IF((Z318/AI318&gt;'Parámetros Proyección'!$G$14),0,'Parámetros Proyección'!$G$14)+IF((AF318/AI318&gt;'Parámetros Proyección'!$G$15),0,'Parámetros Proyección'!$G$15)))</f>
        <v/>
      </c>
      <c r="P318" s="35">
        <f>N318+O318</f>
        <v/>
      </c>
      <c r="Q318" s="35">
        <f>V317</f>
        <v/>
      </c>
      <c r="R318" s="35">
        <f>Q318*(1+'Parámetros Proyección'!$E$13)</f>
        <v/>
      </c>
      <c r="S318" s="35">
        <f>R318*'Parámetros Proyección'!$F$13</f>
        <v/>
      </c>
      <c r="T318" s="35">
        <f>R318+S318</f>
        <v/>
      </c>
      <c r="U318" s="35">
        <f>IF((T318/AI318&gt;'Parámetros Proyección'!$G$13),0,D318*'Parámetros Proyección'!$G$13/(IF((H318/AI318&gt;'Parámetros Proyección'!$G$11),0,'Parámetros Proyección'!$G$11)+IF((N318/AI318&gt;'Parámetros Proyección'!$G$12),0,'Parámetros Proyección'!$G$12)+IF((T318/AI318&gt;'Parámetros Proyección'!$G$13),0,'Parámetros Proyección'!$G$13)+IF((Z318/AI318&gt;'Parámetros Proyección'!$G$14),0,'Parámetros Proyección'!$G$14)+IF((AF318/AI318&gt;'Parámetros Proyección'!$G$15),0,'Parámetros Proyección'!$G$15)))</f>
        <v/>
      </c>
      <c r="V318" s="35">
        <f>T318+U318</f>
        <v/>
      </c>
      <c r="W318" s="35">
        <f>AB317</f>
        <v/>
      </c>
      <c r="X318" s="35">
        <f>W318*(1+'Parámetros Proyección'!$E$14)</f>
        <v/>
      </c>
      <c r="Y318" s="35">
        <f>X318*'Parámetros Proyección'!$F$14</f>
        <v/>
      </c>
      <c r="Z318" s="35">
        <f>X318+Y318</f>
        <v/>
      </c>
      <c r="AA318" s="35">
        <f>IF((Z318/AI318&gt;'Parámetros Proyección'!$G$14),0,D318*'Parámetros Proyección'!$G$14/(IF((H318/AI318&gt;'Parámetros Proyección'!$G$11),0,'Parámetros Proyección'!$G$11)+IF((N318/AI318&gt;'Parámetros Proyección'!$G$12),0,'Parámetros Proyección'!$G$12)+IF((T318/AI318&gt;'Parámetros Proyección'!$G$13),0,'Parámetros Proyección'!$G$13)+IF((Z318/AI318&gt;'Parámetros Proyección'!$G$14),0,'Parámetros Proyección'!$G$14)+IF((AF318/AI318&gt;'Parámetros Proyección'!$G$15),0,'Parámetros Proyección'!$G$15)))</f>
        <v/>
      </c>
      <c r="AB318" s="35">
        <f>Z318+AA318</f>
        <v/>
      </c>
      <c r="AC318" s="35">
        <f>AH317</f>
        <v/>
      </c>
      <c r="AD318" s="35">
        <f>AC318*(1+'Parámetros Proyección'!$E$15)</f>
        <v/>
      </c>
      <c r="AE318" s="35">
        <f>AD318*'Parámetros Proyección'!$F$15</f>
        <v/>
      </c>
      <c r="AF318" s="35">
        <f>AD318+AE318</f>
        <v/>
      </c>
      <c r="AG318" s="35">
        <f>IF((AF318/AI318&gt;'Parámetros Proyección'!$G$15),0,D318*'Parámetros Proyección'!$G$15/(IF((H318/AI318&gt;'Parámetros Proyección'!$G$11),0,'Parámetros Proyección'!$G$11)+IF((N318/AI318&gt;'Parámetros Proyección'!$G$12),0,'Parámetros Proyección'!$G$12)+IF((T318/AI318&gt;'Parámetros Proyección'!$G$13),0,'Parámetros Proyección'!$G$13)+IF((Z318/AI318&gt;'Parámetros Proyección'!$G$14),0,'Parámetros Proyección'!$G$14)+IF((AF318/AI318&gt;'Parámetros Proyección'!$G$15),0,'Parámetros Proyección'!$G$15)))</f>
        <v/>
      </c>
      <c r="AH318" s="35">
        <f>AF318+AG318</f>
        <v/>
      </c>
      <c r="AI318" s="35">
        <f>H318+N318+T318+Z318+AF318</f>
        <v/>
      </c>
      <c r="AJ318" s="33">
        <f>AF318/AI318</f>
        <v/>
      </c>
      <c r="AK318">
        <f>IF(AJ318&gt;'Parámetros Proyección'!$B$5,1,0)</f>
        <v/>
      </c>
      <c r="AL318" s="35">
        <f>G318+M318+S318+Y318+AE318</f>
        <v/>
      </c>
      <c r="AM318" s="35">
        <f>AM317+D318</f>
        <v/>
      </c>
      <c r="AN318" s="35">
        <f>AN317+AL318</f>
        <v/>
      </c>
      <c r="AO318" s="35">
        <f>J318+P318+V318+AB318+AH318</f>
        <v/>
      </c>
    </row>
    <row r="319">
      <c r="A319" t="n">
        <v>316</v>
      </c>
      <c r="B319" s="34">
        <f>EDATE(B318,1)</f>
        <v/>
      </c>
      <c r="C319">
        <f>YEAR(B319)</f>
        <v/>
      </c>
      <c r="D319" s="35">
        <f>'Parámetros Proyección'!$B$3*(1+'Parámetros Proyección'!$B$4)^(C319-YEAR('Parámetros Proyección'!$B$6))</f>
        <v/>
      </c>
      <c r="E319" s="35">
        <f>J318</f>
        <v/>
      </c>
      <c r="F319" s="35">
        <f>E319*(1+'Parámetros Proyección'!$E$11)</f>
        <v/>
      </c>
      <c r="G319" s="35">
        <f>F319*'Parámetros Proyección'!$F$11</f>
        <v/>
      </c>
      <c r="H319" s="35">
        <f>F319+G319</f>
        <v/>
      </c>
      <c r="I319" s="35">
        <f>IF((H319/AI319&gt;'Parámetros Proyección'!$G$11),0,D319*'Parámetros Proyección'!$G$11/(IF((H319/AI319&gt;'Parámetros Proyección'!$G$11),0,'Parámetros Proyección'!$G$11)+IF((N319/AI319&gt;'Parámetros Proyección'!$G$12),0,'Parámetros Proyección'!$G$12)+IF((T319/AI319&gt;'Parámetros Proyección'!$G$13),0,'Parámetros Proyección'!$G$13)+IF((Z319/AI319&gt;'Parámetros Proyección'!$G$14),0,'Parámetros Proyección'!$G$14)+IF((AF319/AI319&gt;'Parámetros Proyección'!$G$15),0,'Parámetros Proyección'!$G$15)))</f>
        <v/>
      </c>
      <c r="J319" s="35">
        <f>H319+I319</f>
        <v/>
      </c>
      <c r="K319" s="35">
        <f>P318</f>
        <v/>
      </c>
      <c r="L319" s="35">
        <f>K319*(1+'Parámetros Proyección'!$E$12)</f>
        <v/>
      </c>
      <c r="M319" s="35">
        <f>L319*'Parámetros Proyección'!$F$12</f>
        <v/>
      </c>
      <c r="N319" s="35">
        <f>L319+M319</f>
        <v/>
      </c>
      <c r="O319" s="35">
        <f>IF((N319/AI319&gt;'Parámetros Proyección'!$G$12),0,D319*'Parámetros Proyección'!$G$12/(IF((H319/AI319&gt;'Parámetros Proyección'!$G$11),0,'Parámetros Proyección'!$G$11)+IF((N319/AI319&gt;'Parámetros Proyección'!$G$12),0,'Parámetros Proyección'!$G$12)+IF((T319/AI319&gt;'Parámetros Proyección'!$G$13),0,'Parámetros Proyección'!$G$13)+IF((Z319/AI319&gt;'Parámetros Proyección'!$G$14),0,'Parámetros Proyección'!$G$14)+IF((AF319/AI319&gt;'Parámetros Proyección'!$G$15),0,'Parámetros Proyección'!$G$15)))</f>
        <v/>
      </c>
      <c r="P319" s="35">
        <f>N319+O319</f>
        <v/>
      </c>
      <c r="Q319" s="35">
        <f>V318</f>
        <v/>
      </c>
      <c r="R319" s="35">
        <f>Q319*(1+'Parámetros Proyección'!$E$13)</f>
        <v/>
      </c>
      <c r="S319" s="35">
        <f>R319*'Parámetros Proyección'!$F$13</f>
        <v/>
      </c>
      <c r="T319" s="35">
        <f>R319+S319</f>
        <v/>
      </c>
      <c r="U319" s="35">
        <f>IF((T319/AI319&gt;'Parámetros Proyección'!$G$13),0,D319*'Parámetros Proyección'!$G$13/(IF((H319/AI319&gt;'Parámetros Proyección'!$G$11),0,'Parámetros Proyección'!$G$11)+IF((N319/AI319&gt;'Parámetros Proyección'!$G$12),0,'Parámetros Proyección'!$G$12)+IF((T319/AI319&gt;'Parámetros Proyección'!$G$13),0,'Parámetros Proyección'!$G$13)+IF((Z319/AI319&gt;'Parámetros Proyección'!$G$14),0,'Parámetros Proyección'!$G$14)+IF((AF319/AI319&gt;'Parámetros Proyección'!$G$15),0,'Parámetros Proyección'!$G$15)))</f>
        <v/>
      </c>
      <c r="V319" s="35">
        <f>T319+U319</f>
        <v/>
      </c>
      <c r="W319" s="35">
        <f>AB318</f>
        <v/>
      </c>
      <c r="X319" s="35">
        <f>W319*(1+'Parámetros Proyección'!$E$14)</f>
        <v/>
      </c>
      <c r="Y319" s="35">
        <f>X319*'Parámetros Proyección'!$F$14</f>
        <v/>
      </c>
      <c r="Z319" s="35">
        <f>X319+Y319</f>
        <v/>
      </c>
      <c r="AA319" s="35">
        <f>IF((Z319/AI319&gt;'Parámetros Proyección'!$G$14),0,D319*'Parámetros Proyección'!$G$14/(IF((H319/AI319&gt;'Parámetros Proyección'!$G$11),0,'Parámetros Proyección'!$G$11)+IF((N319/AI319&gt;'Parámetros Proyección'!$G$12),0,'Parámetros Proyección'!$G$12)+IF((T319/AI319&gt;'Parámetros Proyección'!$G$13),0,'Parámetros Proyección'!$G$13)+IF((Z319/AI319&gt;'Parámetros Proyección'!$G$14),0,'Parámetros Proyección'!$G$14)+IF((AF319/AI319&gt;'Parámetros Proyección'!$G$15),0,'Parámetros Proyección'!$G$15)))</f>
        <v/>
      </c>
      <c r="AB319" s="35">
        <f>Z319+AA319</f>
        <v/>
      </c>
      <c r="AC319" s="35">
        <f>AH318</f>
        <v/>
      </c>
      <c r="AD319" s="35">
        <f>AC319*(1+'Parámetros Proyección'!$E$15)</f>
        <v/>
      </c>
      <c r="AE319" s="35">
        <f>AD319*'Parámetros Proyección'!$F$15</f>
        <v/>
      </c>
      <c r="AF319" s="35">
        <f>AD319+AE319</f>
        <v/>
      </c>
      <c r="AG319" s="35">
        <f>IF((AF319/AI319&gt;'Parámetros Proyección'!$G$15),0,D319*'Parámetros Proyección'!$G$15/(IF((H319/AI319&gt;'Parámetros Proyección'!$G$11),0,'Parámetros Proyección'!$G$11)+IF((N319/AI319&gt;'Parámetros Proyección'!$G$12),0,'Parámetros Proyección'!$G$12)+IF((T319/AI319&gt;'Parámetros Proyección'!$G$13),0,'Parámetros Proyección'!$G$13)+IF((Z319/AI319&gt;'Parámetros Proyección'!$G$14),0,'Parámetros Proyección'!$G$14)+IF((AF319/AI319&gt;'Parámetros Proyección'!$G$15),0,'Parámetros Proyección'!$G$15)))</f>
        <v/>
      </c>
      <c r="AH319" s="35">
        <f>AF319+AG319</f>
        <v/>
      </c>
      <c r="AI319" s="35">
        <f>H319+N319+T319+Z319+AF319</f>
        <v/>
      </c>
      <c r="AJ319" s="33">
        <f>AF319/AI319</f>
        <v/>
      </c>
      <c r="AK319">
        <f>IF(AJ319&gt;'Parámetros Proyección'!$B$5,1,0)</f>
        <v/>
      </c>
      <c r="AL319" s="35">
        <f>G319+M319+S319+Y319+AE319</f>
        <v/>
      </c>
      <c r="AM319" s="35">
        <f>AM318+D319</f>
        <v/>
      </c>
      <c r="AN319" s="35">
        <f>AN318+AL319</f>
        <v/>
      </c>
      <c r="AO319" s="35">
        <f>J319+P319+V319+AB319+AH319</f>
        <v/>
      </c>
    </row>
    <row r="320">
      <c r="A320" t="n">
        <v>317</v>
      </c>
      <c r="B320" s="34">
        <f>EDATE(B319,1)</f>
        <v/>
      </c>
      <c r="C320">
        <f>YEAR(B320)</f>
        <v/>
      </c>
      <c r="D320" s="35">
        <f>'Parámetros Proyección'!$B$3*(1+'Parámetros Proyección'!$B$4)^(C320-YEAR('Parámetros Proyección'!$B$6))</f>
        <v/>
      </c>
      <c r="E320" s="35">
        <f>J319</f>
        <v/>
      </c>
      <c r="F320" s="35">
        <f>E320*(1+'Parámetros Proyección'!$E$11)</f>
        <v/>
      </c>
      <c r="G320" s="35">
        <f>F320*'Parámetros Proyección'!$F$11</f>
        <v/>
      </c>
      <c r="H320" s="35">
        <f>F320+G320</f>
        <v/>
      </c>
      <c r="I320" s="35">
        <f>IF((H320/AI320&gt;'Parámetros Proyección'!$G$11),0,D320*'Parámetros Proyección'!$G$11/(IF((H320/AI320&gt;'Parámetros Proyección'!$G$11),0,'Parámetros Proyección'!$G$11)+IF((N320/AI320&gt;'Parámetros Proyección'!$G$12),0,'Parámetros Proyección'!$G$12)+IF((T320/AI320&gt;'Parámetros Proyección'!$G$13),0,'Parámetros Proyección'!$G$13)+IF((Z320/AI320&gt;'Parámetros Proyección'!$G$14),0,'Parámetros Proyección'!$G$14)+IF((AF320/AI320&gt;'Parámetros Proyección'!$G$15),0,'Parámetros Proyección'!$G$15)))</f>
        <v/>
      </c>
      <c r="J320" s="35">
        <f>H320+I320</f>
        <v/>
      </c>
      <c r="K320" s="35">
        <f>P319</f>
        <v/>
      </c>
      <c r="L320" s="35">
        <f>K320*(1+'Parámetros Proyección'!$E$12)</f>
        <v/>
      </c>
      <c r="M320" s="35">
        <f>L320*'Parámetros Proyección'!$F$12</f>
        <v/>
      </c>
      <c r="N320" s="35">
        <f>L320+M320</f>
        <v/>
      </c>
      <c r="O320" s="35">
        <f>IF((N320/AI320&gt;'Parámetros Proyección'!$G$12),0,D320*'Parámetros Proyección'!$G$12/(IF((H320/AI320&gt;'Parámetros Proyección'!$G$11),0,'Parámetros Proyección'!$G$11)+IF((N320/AI320&gt;'Parámetros Proyección'!$G$12),0,'Parámetros Proyección'!$G$12)+IF((T320/AI320&gt;'Parámetros Proyección'!$G$13),0,'Parámetros Proyección'!$G$13)+IF((Z320/AI320&gt;'Parámetros Proyección'!$G$14),0,'Parámetros Proyección'!$G$14)+IF((AF320/AI320&gt;'Parámetros Proyección'!$G$15),0,'Parámetros Proyección'!$G$15)))</f>
        <v/>
      </c>
      <c r="P320" s="35">
        <f>N320+O320</f>
        <v/>
      </c>
      <c r="Q320" s="35">
        <f>V319</f>
        <v/>
      </c>
      <c r="R320" s="35">
        <f>Q320*(1+'Parámetros Proyección'!$E$13)</f>
        <v/>
      </c>
      <c r="S320" s="35">
        <f>R320*'Parámetros Proyección'!$F$13</f>
        <v/>
      </c>
      <c r="T320" s="35">
        <f>R320+S320</f>
        <v/>
      </c>
      <c r="U320" s="35">
        <f>IF((T320/AI320&gt;'Parámetros Proyección'!$G$13),0,D320*'Parámetros Proyección'!$G$13/(IF((H320/AI320&gt;'Parámetros Proyección'!$G$11),0,'Parámetros Proyección'!$G$11)+IF((N320/AI320&gt;'Parámetros Proyección'!$G$12),0,'Parámetros Proyección'!$G$12)+IF((T320/AI320&gt;'Parámetros Proyección'!$G$13),0,'Parámetros Proyección'!$G$13)+IF((Z320/AI320&gt;'Parámetros Proyección'!$G$14),0,'Parámetros Proyección'!$G$14)+IF((AF320/AI320&gt;'Parámetros Proyección'!$G$15),0,'Parámetros Proyección'!$G$15)))</f>
        <v/>
      </c>
      <c r="V320" s="35">
        <f>T320+U320</f>
        <v/>
      </c>
      <c r="W320" s="35">
        <f>AB319</f>
        <v/>
      </c>
      <c r="X320" s="35">
        <f>W320*(1+'Parámetros Proyección'!$E$14)</f>
        <v/>
      </c>
      <c r="Y320" s="35">
        <f>X320*'Parámetros Proyección'!$F$14</f>
        <v/>
      </c>
      <c r="Z320" s="35">
        <f>X320+Y320</f>
        <v/>
      </c>
      <c r="AA320" s="35">
        <f>IF((Z320/AI320&gt;'Parámetros Proyección'!$G$14),0,D320*'Parámetros Proyección'!$G$14/(IF((H320/AI320&gt;'Parámetros Proyección'!$G$11),0,'Parámetros Proyección'!$G$11)+IF((N320/AI320&gt;'Parámetros Proyección'!$G$12),0,'Parámetros Proyección'!$G$12)+IF((T320/AI320&gt;'Parámetros Proyección'!$G$13),0,'Parámetros Proyección'!$G$13)+IF((Z320/AI320&gt;'Parámetros Proyección'!$G$14),0,'Parámetros Proyección'!$G$14)+IF((AF320/AI320&gt;'Parámetros Proyección'!$G$15),0,'Parámetros Proyección'!$G$15)))</f>
        <v/>
      </c>
      <c r="AB320" s="35">
        <f>Z320+AA320</f>
        <v/>
      </c>
      <c r="AC320" s="35">
        <f>AH319</f>
        <v/>
      </c>
      <c r="AD320" s="35">
        <f>AC320*(1+'Parámetros Proyección'!$E$15)</f>
        <v/>
      </c>
      <c r="AE320" s="35">
        <f>AD320*'Parámetros Proyección'!$F$15</f>
        <v/>
      </c>
      <c r="AF320" s="35">
        <f>AD320+AE320</f>
        <v/>
      </c>
      <c r="AG320" s="35">
        <f>IF((AF320/AI320&gt;'Parámetros Proyección'!$G$15),0,D320*'Parámetros Proyección'!$G$15/(IF((H320/AI320&gt;'Parámetros Proyección'!$G$11),0,'Parámetros Proyección'!$G$11)+IF((N320/AI320&gt;'Parámetros Proyección'!$G$12),0,'Parámetros Proyección'!$G$12)+IF((T320/AI320&gt;'Parámetros Proyección'!$G$13),0,'Parámetros Proyección'!$G$13)+IF((Z320/AI320&gt;'Parámetros Proyección'!$G$14),0,'Parámetros Proyección'!$G$14)+IF((AF320/AI320&gt;'Parámetros Proyección'!$G$15),0,'Parámetros Proyección'!$G$15)))</f>
        <v/>
      </c>
      <c r="AH320" s="35">
        <f>AF320+AG320</f>
        <v/>
      </c>
      <c r="AI320" s="35">
        <f>H320+N320+T320+Z320+AF320</f>
        <v/>
      </c>
      <c r="AJ320" s="33">
        <f>AF320/AI320</f>
        <v/>
      </c>
      <c r="AK320">
        <f>IF(AJ320&gt;'Parámetros Proyección'!$B$5,1,0)</f>
        <v/>
      </c>
      <c r="AL320" s="35">
        <f>G320+M320+S320+Y320+AE320</f>
        <v/>
      </c>
      <c r="AM320" s="35">
        <f>AM319+D320</f>
        <v/>
      </c>
      <c r="AN320" s="35">
        <f>AN319+AL320</f>
        <v/>
      </c>
      <c r="AO320" s="35">
        <f>J320+P320+V320+AB320+AH320</f>
        <v/>
      </c>
    </row>
    <row r="321">
      <c r="A321" t="n">
        <v>318</v>
      </c>
      <c r="B321" s="34">
        <f>EDATE(B320,1)</f>
        <v/>
      </c>
      <c r="C321">
        <f>YEAR(B321)</f>
        <v/>
      </c>
      <c r="D321" s="35">
        <f>'Parámetros Proyección'!$B$3*(1+'Parámetros Proyección'!$B$4)^(C321-YEAR('Parámetros Proyección'!$B$6))</f>
        <v/>
      </c>
      <c r="E321" s="35">
        <f>J320</f>
        <v/>
      </c>
      <c r="F321" s="35">
        <f>E321*(1+'Parámetros Proyección'!$E$11)</f>
        <v/>
      </c>
      <c r="G321" s="35">
        <f>F321*'Parámetros Proyección'!$F$11</f>
        <v/>
      </c>
      <c r="H321" s="35">
        <f>F321+G321</f>
        <v/>
      </c>
      <c r="I321" s="35">
        <f>IF((H321/AI321&gt;'Parámetros Proyección'!$G$11),0,D321*'Parámetros Proyección'!$G$11/(IF((H321/AI321&gt;'Parámetros Proyección'!$G$11),0,'Parámetros Proyección'!$G$11)+IF((N321/AI321&gt;'Parámetros Proyección'!$G$12),0,'Parámetros Proyección'!$G$12)+IF((T321/AI321&gt;'Parámetros Proyección'!$G$13),0,'Parámetros Proyección'!$G$13)+IF((Z321/AI321&gt;'Parámetros Proyección'!$G$14),0,'Parámetros Proyección'!$G$14)+IF((AF321/AI321&gt;'Parámetros Proyección'!$G$15),0,'Parámetros Proyección'!$G$15)))</f>
        <v/>
      </c>
      <c r="J321" s="35">
        <f>H321+I321</f>
        <v/>
      </c>
      <c r="K321" s="35">
        <f>P320</f>
        <v/>
      </c>
      <c r="L321" s="35">
        <f>K321*(1+'Parámetros Proyección'!$E$12)</f>
        <v/>
      </c>
      <c r="M321" s="35">
        <f>L321*'Parámetros Proyección'!$F$12</f>
        <v/>
      </c>
      <c r="N321" s="35">
        <f>L321+M321</f>
        <v/>
      </c>
      <c r="O321" s="35">
        <f>IF((N321/AI321&gt;'Parámetros Proyección'!$G$12),0,D321*'Parámetros Proyección'!$G$12/(IF((H321/AI321&gt;'Parámetros Proyección'!$G$11),0,'Parámetros Proyección'!$G$11)+IF((N321/AI321&gt;'Parámetros Proyección'!$G$12),0,'Parámetros Proyección'!$G$12)+IF((T321/AI321&gt;'Parámetros Proyección'!$G$13),0,'Parámetros Proyección'!$G$13)+IF((Z321/AI321&gt;'Parámetros Proyección'!$G$14),0,'Parámetros Proyección'!$G$14)+IF((AF321/AI321&gt;'Parámetros Proyección'!$G$15),0,'Parámetros Proyección'!$G$15)))</f>
        <v/>
      </c>
      <c r="P321" s="35">
        <f>N321+O321</f>
        <v/>
      </c>
      <c r="Q321" s="35">
        <f>V320</f>
        <v/>
      </c>
      <c r="R321" s="35">
        <f>Q321*(1+'Parámetros Proyección'!$E$13)</f>
        <v/>
      </c>
      <c r="S321" s="35">
        <f>R321*'Parámetros Proyección'!$F$13</f>
        <v/>
      </c>
      <c r="T321" s="35">
        <f>R321+S321</f>
        <v/>
      </c>
      <c r="U321" s="35">
        <f>IF((T321/AI321&gt;'Parámetros Proyección'!$G$13),0,D321*'Parámetros Proyección'!$G$13/(IF((H321/AI321&gt;'Parámetros Proyección'!$G$11),0,'Parámetros Proyección'!$G$11)+IF((N321/AI321&gt;'Parámetros Proyección'!$G$12),0,'Parámetros Proyección'!$G$12)+IF((T321/AI321&gt;'Parámetros Proyección'!$G$13),0,'Parámetros Proyección'!$G$13)+IF((Z321/AI321&gt;'Parámetros Proyección'!$G$14),0,'Parámetros Proyección'!$G$14)+IF((AF321/AI321&gt;'Parámetros Proyección'!$G$15),0,'Parámetros Proyección'!$G$15)))</f>
        <v/>
      </c>
      <c r="V321" s="35">
        <f>T321+U321</f>
        <v/>
      </c>
      <c r="W321" s="35">
        <f>AB320</f>
        <v/>
      </c>
      <c r="X321" s="35">
        <f>W321*(1+'Parámetros Proyección'!$E$14)</f>
        <v/>
      </c>
      <c r="Y321" s="35">
        <f>X321*'Parámetros Proyección'!$F$14</f>
        <v/>
      </c>
      <c r="Z321" s="35">
        <f>X321+Y321</f>
        <v/>
      </c>
      <c r="AA321" s="35">
        <f>IF((Z321/AI321&gt;'Parámetros Proyección'!$G$14),0,D321*'Parámetros Proyección'!$G$14/(IF((H321/AI321&gt;'Parámetros Proyección'!$G$11),0,'Parámetros Proyección'!$G$11)+IF((N321/AI321&gt;'Parámetros Proyección'!$G$12),0,'Parámetros Proyección'!$G$12)+IF((T321/AI321&gt;'Parámetros Proyección'!$G$13),0,'Parámetros Proyección'!$G$13)+IF((Z321/AI321&gt;'Parámetros Proyección'!$G$14),0,'Parámetros Proyección'!$G$14)+IF((AF321/AI321&gt;'Parámetros Proyección'!$G$15),0,'Parámetros Proyección'!$G$15)))</f>
        <v/>
      </c>
      <c r="AB321" s="35">
        <f>Z321+AA321</f>
        <v/>
      </c>
      <c r="AC321" s="35">
        <f>AH320</f>
        <v/>
      </c>
      <c r="AD321" s="35">
        <f>AC321*(1+'Parámetros Proyección'!$E$15)</f>
        <v/>
      </c>
      <c r="AE321" s="35">
        <f>AD321*'Parámetros Proyección'!$F$15</f>
        <v/>
      </c>
      <c r="AF321" s="35">
        <f>AD321+AE321</f>
        <v/>
      </c>
      <c r="AG321" s="35">
        <f>IF((AF321/AI321&gt;'Parámetros Proyección'!$G$15),0,D321*'Parámetros Proyección'!$G$15/(IF((H321/AI321&gt;'Parámetros Proyección'!$G$11),0,'Parámetros Proyección'!$G$11)+IF((N321/AI321&gt;'Parámetros Proyección'!$G$12),0,'Parámetros Proyección'!$G$12)+IF((T321/AI321&gt;'Parámetros Proyección'!$G$13),0,'Parámetros Proyección'!$G$13)+IF((Z321/AI321&gt;'Parámetros Proyección'!$G$14),0,'Parámetros Proyección'!$G$14)+IF((AF321/AI321&gt;'Parámetros Proyección'!$G$15),0,'Parámetros Proyección'!$G$15)))</f>
        <v/>
      </c>
      <c r="AH321" s="35">
        <f>AF321+AG321</f>
        <v/>
      </c>
      <c r="AI321" s="35">
        <f>H321+N321+T321+Z321+AF321</f>
        <v/>
      </c>
      <c r="AJ321" s="33">
        <f>AF321/AI321</f>
        <v/>
      </c>
      <c r="AK321">
        <f>IF(AJ321&gt;'Parámetros Proyección'!$B$5,1,0)</f>
        <v/>
      </c>
      <c r="AL321" s="35">
        <f>G321+M321+S321+Y321+AE321</f>
        <v/>
      </c>
      <c r="AM321" s="35">
        <f>AM320+D321</f>
        <v/>
      </c>
      <c r="AN321" s="35">
        <f>AN320+AL321</f>
        <v/>
      </c>
      <c r="AO321" s="35">
        <f>J321+P321+V321+AB321+AH321</f>
        <v/>
      </c>
    </row>
    <row r="322">
      <c r="A322" t="n">
        <v>319</v>
      </c>
      <c r="B322" s="34">
        <f>EDATE(B321,1)</f>
        <v/>
      </c>
      <c r="C322">
        <f>YEAR(B322)</f>
        <v/>
      </c>
      <c r="D322" s="35">
        <f>'Parámetros Proyección'!$B$3*(1+'Parámetros Proyección'!$B$4)^(C322-YEAR('Parámetros Proyección'!$B$6))</f>
        <v/>
      </c>
      <c r="E322" s="35">
        <f>J321</f>
        <v/>
      </c>
      <c r="F322" s="35">
        <f>E322*(1+'Parámetros Proyección'!$E$11)</f>
        <v/>
      </c>
      <c r="G322" s="35">
        <f>F322*'Parámetros Proyección'!$F$11</f>
        <v/>
      </c>
      <c r="H322" s="35">
        <f>F322+G322</f>
        <v/>
      </c>
      <c r="I322" s="35">
        <f>IF((H322/AI322&gt;'Parámetros Proyección'!$G$11),0,D322*'Parámetros Proyección'!$G$11/(IF((H322/AI322&gt;'Parámetros Proyección'!$G$11),0,'Parámetros Proyección'!$G$11)+IF((N322/AI322&gt;'Parámetros Proyección'!$G$12),0,'Parámetros Proyección'!$G$12)+IF((T322/AI322&gt;'Parámetros Proyección'!$G$13),0,'Parámetros Proyección'!$G$13)+IF((Z322/AI322&gt;'Parámetros Proyección'!$G$14),0,'Parámetros Proyección'!$G$14)+IF((AF322/AI322&gt;'Parámetros Proyección'!$G$15),0,'Parámetros Proyección'!$G$15)))</f>
        <v/>
      </c>
      <c r="J322" s="35">
        <f>H322+I322</f>
        <v/>
      </c>
      <c r="K322" s="35">
        <f>P321</f>
        <v/>
      </c>
      <c r="L322" s="35">
        <f>K322*(1+'Parámetros Proyección'!$E$12)</f>
        <v/>
      </c>
      <c r="M322" s="35">
        <f>L322*'Parámetros Proyección'!$F$12</f>
        <v/>
      </c>
      <c r="N322" s="35">
        <f>L322+M322</f>
        <v/>
      </c>
      <c r="O322" s="35">
        <f>IF((N322/AI322&gt;'Parámetros Proyección'!$G$12),0,D322*'Parámetros Proyección'!$G$12/(IF((H322/AI322&gt;'Parámetros Proyección'!$G$11),0,'Parámetros Proyección'!$G$11)+IF((N322/AI322&gt;'Parámetros Proyección'!$G$12),0,'Parámetros Proyección'!$G$12)+IF((T322/AI322&gt;'Parámetros Proyección'!$G$13),0,'Parámetros Proyección'!$G$13)+IF((Z322/AI322&gt;'Parámetros Proyección'!$G$14),0,'Parámetros Proyección'!$G$14)+IF((AF322/AI322&gt;'Parámetros Proyección'!$G$15),0,'Parámetros Proyección'!$G$15)))</f>
        <v/>
      </c>
      <c r="P322" s="35">
        <f>N322+O322</f>
        <v/>
      </c>
      <c r="Q322" s="35">
        <f>V321</f>
        <v/>
      </c>
      <c r="R322" s="35">
        <f>Q322*(1+'Parámetros Proyección'!$E$13)</f>
        <v/>
      </c>
      <c r="S322" s="35">
        <f>R322*'Parámetros Proyección'!$F$13</f>
        <v/>
      </c>
      <c r="T322" s="35">
        <f>R322+S322</f>
        <v/>
      </c>
      <c r="U322" s="35">
        <f>IF((T322/AI322&gt;'Parámetros Proyección'!$G$13),0,D322*'Parámetros Proyección'!$G$13/(IF((H322/AI322&gt;'Parámetros Proyección'!$G$11),0,'Parámetros Proyección'!$G$11)+IF((N322/AI322&gt;'Parámetros Proyección'!$G$12),0,'Parámetros Proyección'!$G$12)+IF((T322/AI322&gt;'Parámetros Proyección'!$G$13),0,'Parámetros Proyección'!$G$13)+IF((Z322/AI322&gt;'Parámetros Proyección'!$G$14),0,'Parámetros Proyección'!$G$14)+IF((AF322/AI322&gt;'Parámetros Proyección'!$G$15),0,'Parámetros Proyección'!$G$15)))</f>
        <v/>
      </c>
      <c r="V322" s="35">
        <f>T322+U322</f>
        <v/>
      </c>
      <c r="W322" s="35">
        <f>AB321</f>
        <v/>
      </c>
      <c r="X322" s="35">
        <f>W322*(1+'Parámetros Proyección'!$E$14)</f>
        <v/>
      </c>
      <c r="Y322" s="35">
        <f>X322*'Parámetros Proyección'!$F$14</f>
        <v/>
      </c>
      <c r="Z322" s="35">
        <f>X322+Y322</f>
        <v/>
      </c>
      <c r="AA322" s="35">
        <f>IF((Z322/AI322&gt;'Parámetros Proyección'!$G$14),0,D322*'Parámetros Proyección'!$G$14/(IF((H322/AI322&gt;'Parámetros Proyección'!$G$11),0,'Parámetros Proyección'!$G$11)+IF((N322/AI322&gt;'Parámetros Proyección'!$G$12),0,'Parámetros Proyección'!$G$12)+IF((T322/AI322&gt;'Parámetros Proyección'!$G$13),0,'Parámetros Proyección'!$G$13)+IF((Z322/AI322&gt;'Parámetros Proyección'!$G$14),0,'Parámetros Proyección'!$G$14)+IF((AF322/AI322&gt;'Parámetros Proyección'!$G$15),0,'Parámetros Proyección'!$G$15)))</f>
        <v/>
      </c>
      <c r="AB322" s="35">
        <f>Z322+AA322</f>
        <v/>
      </c>
      <c r="AC322" s="35">
        <f>AH321</f>
        <v/>
      </c>
      <c r="AD322" s="35">
        <f>AC322*(1+'Parámetros Proyección'!$E$15)</f>
        <v/>
      </c>
      <c r="AE322" s="35">
        <f>AD322*'Parámetros Proyección'!$F$15</f>
        <v/>
      </c>
      <c r="AF322" s="35">
        <f>AD322+AE322</f>
        <v/>
      </c>
      <c r="AG322" s="35">
        <f>IF((AF322/AI322&gt;'Parámetros Proyección'!$G$15),0,D322*'Parámetros Proyección'!$G$15/(IF((H322/AI322&gt;'Parámetros Proyección'!$G$11),0,'Parámetros Proyección'!$G$11)+IF((N322/AI322&gt;'Parámetros Proyección'!$G$12),0,'Parámetros Proyección'!$G$12)+IF((T322/AI322&gt;'Parámetros Proyección'!$G$13),0,'Parámetros Proyección'!$G$13)+IF((Z322/AI322&gt;'Parámetros Proyección'!$G$14),0,'Parámetros Proyección'!$G$14)+IF((AF322/AI322&gt;'Parámetros Proyección'!$G$15),0,'Parámetros Proyección'!$G$15)))</f>
        <v/>
      </c>
      <c r="AH322" s="35">
        <f>AF322+AG322</f>
        <v/>
      </c>
      <c r="AI322" s="35">
        <f>H322+N322+T322+Z322+AF322</f>
        <v/>
      </c>
      <c r="AJ322" s="33">
        <f>AF322/AI322</f>
        <v/>
      </c>
      <c r="AK322">
        <f>IF(AJ322&gt;'Parámetros Proyección'!$B$5,1,0)</f>
        <v/>
      </c>
      <c r="AL322" s="35">
        <f>G322+M322+S322+Y322+AE322</f>
        <v/>
      </c>
      <c r="AM322" s="35">
        <f>AM321+D322</f>
        <v/>
      </c>
      <c r="AN322" s="35">
        <f>AN321+AL322</f>
        <v/>
      </c>
      <c r="AO322" s="35">
        <f>J322+P322+V322+AB322+AH322</f>
        <v/>
      </c>
    </row>
    <row r="323">
      <c r="A323" t="n">
        <v>320</v>
      </c>
      <c r="B323" s="34">
        <f>EDATE(B322,1)</f>
        <v/>
      </c>
      <c r="C323">
        <f>YEAR(B323)</f>
        <v/>
      </c>
      <c r="D323" s="35">
        <f>'Parámetros Proyección'!$B$3*(1+'Parámetros Proyección'!$B$4)^(C323-YEAR('Parámetros Proyección'!$B$6))</f>
        <v/>
      </c>
      <c r="E323" s="35">
        <f>J322</f>
        <v/>
      </c>
      <c r="F323" s="35">
        <f>E323*(1+'Parámetros Proyección'!$E$11)</f>
        <v/>
      </c>
      <c r="G323" s="35">
        <f>F323*'Parámetros Proyección'!$F$11</f>
        <v/>
      </c>
      <c r="H323" s="35">
        <f>F323+G323</f>
        <v/>
      </c>
      <c r="I323" s="35">
        <f>IF((H323/AI323&gt;'Parámetros Proyección'!$G$11),0,D323*'Parámetros Proyección'!$G$11/(IF((H323/AI323&gt;'Parámetros Proyección'!$G$11),0,'Parámetros Proyección'!$G$11)+IF((N323/AI323&gt;'Parámetros Proyección'!$G$12),0,'Parámetros Proyección'!$G$12)+IF((T323/AI323&gt;'Parámetros Proyección'!$G$13),0,'Parámetros Proyección'!$G$13)+IF((Z323/AI323&gt;'Parámetros Proyección'!$G$14),0,'Parámetros Proyección'!$G$14)+IF((AF323/AI323&gt;'Parámetros Proyección'!$G$15),0,'Parámetros Proyección'!$G$15)))</f>
        <v/>
      </c>
      <c r="J323" s="35">
        <f>H323+I323</f>
        <v/>
      </c>
      <c r="K323" s="35">
        <f>P322</f>
        <v/>
      </c>
      <c r="L323" s="35">
        <f>K323*(1+'Parámetros Proyección'!$E$12)</f>
        <v/>
      </c>
      <c r="M323" s="35">
        <f>L323*'Parámetros Proyección'!$F$12</f>
        <v/>
      </c>
      <c r="N323" s="35">
        <f>L323+M323</f>
        <v/>
      </c>
      <c r="O323" s="35">
        <f>IF((N323/AI323&gt;'Parámetros Proyección'!$G$12),0,D323*'Parámetros Proyección'!$G$12/(IF((H323/AI323&gt;'Parámetros Proyección'!$G$11),0,'Parámetros Proyección'!$G$11)+IF((N323/AI323&gt;'Parámetros Proyección'!$G$12),0,'Parámetros Proyección'!$G$12)+IF((T323/AI323&gt;'Parámetros Proyección'!$G$13),0,'Parámetros Proyección'!$G$13)+IF((Z323/AI323&gt;'Parámetros Proyección'!$G$14),0,'Parámetros Proyección'!$G$14)+IF((AF323/AI323&gt;'Parámetros Proyección'!$G$15),0,'Parámetros Proyección'!$G$15)))</f>
        <v/>
      </c>
      <c r="P323" s="35">
        <f>N323+O323</f>
        <v/>
      </c>
      <c r="Q323" s="35">
        <f>V322</f>
        <v/>
      </c>
      <c r="R323" s="35">
        <f>Q323*(1+'Parámetros Proyección'!$E$13)</f>
        <v/>
      </c>
      <c r="S323" s="35">
        <f>R323*'Parámetros Proyección'!$F$13</f>
        <v/>
      </c>
      <c r="T323" s="35">
        <f>R323+S323</f>
        <v/>
      </c>
      <c r="U323" s="35">
        <f>IF((T323/AI323&gt;'Parámetros Proyección'!$G$13),0,D323*'Parámetros Proyección'!$G$13/(IF((H323/AI323&gt;'Parámetros Proyección'!$G$11),0,'Parámetros Proyección'!$G$11)+IF((N323/AI323&gt;'Parámetros Proyección'!$G$12),0,'Parámetros Proyección'!$G$12)+IF((T323/AI323&gt;'Parámetros Proyección'!$G$13),0,'Parámetros Proyección'!$G$13)+IF((Z323/AI323&gt;'Parámetros Proyección'!$G$14),0,'Parámetros Proyección'!$G$14)+IF((AF323/AI323&gt;'Parámetros Proyección'!$G$15),0,'Parámetros Proyección'!$G$15)))</f>
        <v/>
      </c>
      <c r="V323" s="35">
        <f>T323+U323</f>
        <v/>
      </c>
      <c r="W323" s="35">
        <f>AB322</f>
        <v/>
      </c>
      <c r="X323" s="35">
        <f>W323*(1+'Parámetros Proyección'!$E$14)</f>
        <v/>
      </c>
      <c r="Y323" s="35">
        <f>X323*'Parámetros Proyección'!$F$14</f>
        <v/>
      </c>
      <c r="Z323" s="35">
        <f>X323+Y323</f>
        <v/>
      </c>
      <c r="AA323" s="35">
        <f>IF((Z323/AI323&gt;'Parámetros Proyección'!$G$14),0,D323*'Parámetros Proyección'!$G$14/(IF((H323/AI323&gt;'Parámetros Proyección'!$G$11),0,'Parámetros Proyección'!$G$11)+IF((N323/AI323&gt;'Parámetros Proyección'!$G$12),0,'Parámetros Proyección'!$G$12)+IF((T323/AI323&gt;'Parámetros Proyección'!$G$13),0,'Parámetros Proyección'!$G$13)+IF((Z323/AI323&gt;'Parámetros Proyección'!$G$14),0,'Parámetros Proyección'!$G$14)+IF((AF323/AI323&gt;'Parámetros Proyección'!$G$15),0,'Parámetros Proyección'!$G$15)))</f>
        <v/>
      </c>
      <c r="AB323" s="35">
        <f>Z323+AA323</f>
        <v/>
      </c>
      <c r="AC323" s="35">
        <f>AH322</f>
        <v/>
      </c>
      <c r="AD323" s="35">
        <f>AC323*(1+'Parámetros Proyección'!$E$15)</f>
        <v/>
      </c>
      <c r="AE323" s="35">
        <f>AD323*'Parámetros Proyección'!$F$15</f>
        <v/>
      </c>
      <c r="AF323" s="35">
        <f>AD323+AE323</f>
        <v/>
      </c>
      <c r="AG323" s="35">
        <f>IF((AF323/AI323&gt;'Parámetros Proyección'!$G$15),0,D323*'Parámetros Proyección'!$G$15/(IF((H323/AI323&gt;'Parámetros Proyección'!$G$11),0,'Parámetros Proyección'!$G$11)+IF((N323/AI323&gt;'Parámetros Proyección'!$G$12),0,'Parámetros Proyección'!$G$12)+IF((T323/AI323&gt;'Parámetros Proyección'!$G$13),0,'Parámetros Proyección'!$G$13)+IF((Z323/AI323&gt;'Parámetros Proyección'!$G$14),0,'Parámetros Proyección'!$G$14)+IF((AF323/AI323&gt;'Parámetros Proyección'!$G$15),0,'Parámetros Proyección'!$G$15)))</f>
        <v/>
      </c>
      <c r="AH323" s="35">
        <f>AF323+AG323</f>
        <v/>
      </c>
      <c r="AI323" s="35">
        <f>H323+N323+T323+Z323+AF323</f>
        <v/>
      </c>
      <c r="AJ323" s="33">
        <f>AF323/AI323</f>
        <v/>
      </c>
      <c r="AK323">
        <f>IF(AJ323&gt;'Parámetros Proyección'!$B$5,1,0)</f>
        <v/>
      </c>
      <c r="AL323" s="35">
        <f>G323+M323+S323+Y323+AE323</f>
        <v/>
      </c>
      <c r="AM323" s="35">
        <f>AM322+D323</f>
        <v/>
      </c>
      <c r="AN323" s="35">
        <f>AN322+AL323</f>
        <v/>
      </c>
      <c r="AO323" s="35">
        <f>J323+P323+V323+AB323+AH323</f>
        <v/>
      </c>
    </row>
    <row r="324">
      <c r="A324" t="n">
        <v>321</v>
      </c>
      <c r="B324" s="34">
        <f>EDATE(B323,1)</f>
        <v/>
      </c>
      <c r="C324">
        <f>YEAR(B324)</f>
        <v/>
      </c>
      <c r="D324" s="35">
        <f>'Parámetros Proyección'!$B$3*(1+'Parámetros Proyección'!$B$4)^(C324-YEAR('Parámetros Proyección'!$B$6))</f>
        <v/>
      </c>
      <c r="E324" s="35">
        <f>J323</f>
        <v/>
      </c>
      <c r="F324" s="35">
        <f>E324*(1+'Parámetros Proyección'!$E$11)</f>
        <v/>
      </c>
      <c r="G324" s="35">
        <f>F324*'Parámetros Proyección'!$F$11</f>
        <v/>
      </c>
      <c r="H324" s="35">
        <f>F324+G324</f>
        <v/>
      </c>
      <c r="I324" s="35">
        <f>IF((H324/AI324&gt;'Parámetros Proyección'!$G$11),0,D324*'Parámetros Proyección'!$G$11/(IF((H324/AI324&gt;'Parámetros Proyección'!$G$11),0,'Parámetros Proyección'!$G$11)+IF((N324/AI324&gt;'Parámetros Proyección'!$G$12),0,'Parámetros Proyección'!$G$12)+IF((T324/AI324&gt;'Parámetros Proyección'!$G$13),0,'Parámetros Proyección'!$G$13)+IF((Z324/AI324&gt;'Parámetros Proyección'!$G$14),0,'Parámetros Proyección'!$G$14)+IF((AF324/AI324&gt;'Parámetros Proyección'!$G$15),0,'Parámetros Proyección'!$G$15)))</f>
        <v/>
      </c>
      <c r="J324" s="35">
        <f>H324+I324</f>
        <v/>
      </c>
      <c r="K324" s="35">
        <f>P323</f>
        <v/>
      </c>
      <c r="L324" s="35">
        <f>K324*(1+'Parámetros Proyección'!$E$12)</f>
        <v/>
      </c>
      <c r="M324" s="35">
        <f>L324*'Parámetros Proyección'!$F$12</f>
        <v/>
      </c>
      <c r="N324" s="35">
        <f>L324+M324</f>
        <v/>
      </c>
      <c r="O324" s="35">
        <f>IF((N324/AI324&gt;'Parámetros Proyección'!$G$12),0,D324*'Parámetros Proyección'!$G$12/(IF((H324/AI324&gt;'Parámetros Proyección'!$G$11),0,'Parámetros Proyección'!$G$11)+IF((N324/AI324&gt;'Parámetros Proyección'!$G$12),0,'Parámetros Proyección'!$G$12)+IF((T324/AI324&gt;'Parámetros Proyección'!$G$13),0,'Parámetros Proyección'!$G$13)+IF((Z324/AI324&gt;'Parámetros Proyección'!$G$14),0,'Parámetros Proyección'!$G$14)+IF((AF324/AI324&gt;'Parámetros Proyección'!$G$15),0,'Parámetros Proyección'!$G$15)))</f>
        <v/>
      </c>
      <c r="P324" s="35">
        <f>N324+O324</f>
        <v/>
      </c>
      <c r="Q324" s="35">
        <f>V323</f>
        <v/>
      </c>
      <c r="R324" s="35">
        <f>Q324*(1+'Parámetros Proyección'!$E$13)</f>
        <v/>
      </c>
      <c r="S324" s="35">
        <f>R324*'Parámetros Proyección'!$F$13</f>
        <v/>
      </c>
      <c r="T324" s="35">
        <f>R324+S324</f>
        <v/>
      </c>
      <c r="U324" s="35">
        <f>IF((T324/AI324&gt;'Parámetros Proyección'!$G$13),0,D324*'Parámetros Proyección'!$G$13/(IF((H324/AI324&gt;'Parámetros Proyección'!$G$11),0,'Parámetros Proyección'!$G$11)+IF((N324/AI324&gt;'Parámetros Proyección'!$G$12),0,'Parámetros Proyección'!$G$12)+IF((T324/AI324&gt;'Parámetros Proyección'!$G$13),0,'Parámetros Proyección'!$G$13)+IF((Z324/AI324&gt;'Parámetros Proyección'!$G$14),0,'Parámetros Proyección'!$G$14)+IF((AF324/AI324&gt;'Parámetros Proyección'!$G$15),0,'Parámetros Proyección'!$G$15)))</f>
        <v/>
      </c>
      <c r="V324" s="35">
        <f>T324+U324</f>
        <v/>
      </c>
      <c r="W324" s="35">
        <f>AB323</f>
        <v/>
      </c>
      <c r="X324" s="35">
        <f>W324*(1+'Parámetros Proyección'!$E$14)</f>
        <v/>
      </c>
      <c r="Y324" s="35">
        <f>X324*'Parámetros Proyección'!$F$14</f>
        <v/>
      </c>
      <c r="Z324" s="35">
        <f>X324+Y324</f>
        <v/>
      </c>
      <c r="AA324" s="35">
        <f>IF((Z324/AI324&gt;'Parámetros Proyección'!$G$14),0,D324*'Parámetros Proyección'!$G$14/(IF((H324/AI324&gt;'Parámetros Proyección'!$G$11),0,'Parámetros Proyección'!$G$11)+IF((N324/AI324&gt;'Parámetros Proyección'!$G$12),0,'Parámetros Proyección'!$G$12)+IF((T324/AI324&gt;'Parámetros Proyección'!$G$13),0,'Parámetros Proyección'!$G$13)+IF((Z324/AI324&gt;'Parámetros Proyección'!$G$14),0,'Parámetros Proyección'!$G$14)+IF((AF324/AI324&gt;'Parámetros Proyección'!$G$15),0,'Parámetros Proyección'!$G$15)))</f>
        <v/>
      </c>
      <c r="AB324" s="35">
        <f>Z324+AA324</f>
        <v/>
      </c>
      <c r="AC324" s="35">
        <f>AH323</f>
        <v/>
      </c>
      <c r="AD324" s="35">
        <f>AC324*(1+'Parámetros Proyección'!$E$15)</f>
        <v/>
      </c>
      <c r="AE324" s="35">
        <f>AD324*'Parámetros Proyección'!$F$15</f>
        <v/>
      </c>
      <c r="AF324" s="35">
        <f>AD324+AE324</f>
        <v/>
      </c>
      <c r="AG324" s="35">
        <f>IF((AF324/AI324&gt;'Parámetros Proyección'!$G$15),0,D324*'Parámetros Proyección'!$G$15/(IF((H324/AI324&gt;'Parámetros Proyección'!$G$11),0,'Parámetros Proyección'!$G$11)+IF((N324/AI324&gt;'Parámetros Proyección'!$G$12),0,'Parámetros Proyección'!$G$12)+IF((T324/AI324&gt;'Parámetros Proyección'!$G$13),0,'Parámetros Proyección'!$G$13)+IF((Z324/AI324&gt;'Parámetros Proyección'!$G$14),0,'Parámetros Proyección'!$G$14)+IF((AF324/AI324&gt;'Parámetros Proyección'!$G$15),0,'Parámetros Proyección'!$G$15)))</f>
        <v/>
      </c>
      <c r="AH324" s="35">
        <f>AF324+AG324</f>
        <v/>
      </c>
      <c r="AI324" s="35">
        <f>H324+N324+T324+Z324+AF324</f>
        <v/>
      </c>
      <c r="AJ324" s="33">
        <f>AF324/AI324</f>
        <v/>
      </c>
      <c r="AK324">
        <f>IF(AJ324&gt;'Parámetros Proyección'!$B$5,1,0)</f>
        <v/>
      </c>
      <c r="AL324" s="35">
        <f>G324+M324+S324+Y324+AE324</f>
        <v/>
      </c>
      <c r="AM324" s="35">
        <f>AM323+D324</f>
        <v/>
      </c>
      <c r="AN324" s="35">
        <f>AN323+AL324</f>
        <v/>
      </c>
      <c r="AO324" s="35">
        <f>J324+P324+V324+AB324+AH324</f>
        <v/>
      </c>
    </row>
    <row r="325">
      <c r="A325" t="n">
        <v>322</v>
      </c>
      <c r="B325" s="34">
        <f>EDATE(B324,1)</f>
        <v/>
      </c>
      <c r="C325">
        <f>YEAR(B325)</f>
        <v/>
      </c>
      <c r="D325" s="35">
        <f>'Parámetros Proyección'!$B$3*(1+'Parámetros Proyección'!$B$4)^(C325-YEAR('Parámetros Proyección'!$B$6))</f>
        <v/>
      </c>
      <c r="E325" s="35">
        <f>J324</f>
        <v/>
      </c>
      <c r="F325" s="35">
        <f>E325*(1+'Parámetros Proyección'!$E$11)</f>
        <v/>
      </c>
      <c r="G325" s="35">
        <f>F325*'Parámetros Proyección'!$F$11</f>
        <v/>
      </c>
      <c r="H325" s="35">
        <f>F325+G325</f>
        <v/>
      </c>
      <c r="I325" s="35">
        <f>IF((H325/AI325&gt;'Parámetros Proyección'!$G$11),0,D325*'Parámetros Proyección'!$G$11/(IF((H325/AI325&gt;'Parámetros Proyección'!$G$11),0,'Parámetros Proyección'!$G$11)+IF((N325/AI325&gt;'Parámetros Proyección'!$G$12),0,'Parámetros Proyección'!$G$12)+IF((T325/AI325&gt;'Parámetros Proyección'!$G$13),0,'Parámetros Proyección'!$G$13)+IF((Z325/AI325&gt;'Parámetros Proyección'!$G$14),0,'Parámetros Proyección'!$G$14)+IF((AF325/AI325&gt;'Parámetros Proyección'!$G$15),0,'Parámetros Proyección'!$G$15)))</f>
        <v/>
      </c>
      <c r="J325" s="35">
        <f>H325+I325</f>
        <v/>
      </c>
      <c r="K325" s="35">
        <f>P324</f>
        <v/>
      </c>
      <c r="L325" s="35">
        <f>K325*(1+'Parámetros Proyección'!$E$12)</f>
        <v/>
      </c>
      <c r="M325" s="35">
        <f>L325*'Parámetros Proyección'!$F$12</f>
        <v/>
      </c>
      <c r="N325" s="35">
        <f>L325+M325</f>
        <v/>
      </c>
      <c r="O325" s="35">
        <f>IF((N325/AI325&gt;'Parámetros Proyección'!$G$12),0,D325*'Parámetros Proyección'!$G$12/(IF((H325/AI325&gt;'Parámetros Proyección'!$G$11),0,'Parámetros Proyección'!$G$11)+IF((N325/AI325&gt;'Parámetros Proyección'!$G$12),0,'Parámetros Proyección'!$G$12)+IF((T325/AI325&gt;'Parámetros Proyección'!$G$13),0,'Parámetros Proyección'!$G$13)+IF((Z325/AI325&gt;'Parámetros Proyección'!$G$14),0,'Parámetros Proyección'!$G$14)+IF((AF325/AI325&gt;'Parámetros Proyección'!$G$15),0,'Parámetros Proyección'!$G$15)))</f>
        <v/>
      </c>
      <c r="P325" s="35">
        <f>N325+O325</f>
        <v/>
      </c>
      <c r="Q325" s="35">
        <f>V324</f>
        <v/>
      </c>
      <c r="R325" s="35">
        <f>Q325*(1+'Parámetros Proyección'!$E$13)</f>
        <v/>
      </c>
      <c r="S325" s="35">
        <f>R325*'Parámetros Proyección'!$F$13</f>
        <v/>
      </c>
      <c r="T325" s="35">
        <f>R325+S325</f>
        <v/>
      </c>
      <c r="U325" s="35">
        <f>IF((T325/AI325&gt;'Parámetros Proyección'!$G$13),0,D325*'Parámetros Proyección'!$G$13/(IF((H325/AI325&gt;'Parámetros Proyección'!$G$11),0,'Parámetros Proyección'!$G$11)+IF((N325/AI325&gt;'Parámetros Proyección'!$G$12),0,'Parámetros Proyección'!$G$12)+IF((T325/AI325&gt;'Parámetros Proyección'!$G$13),0,'Parámetros Proyección'!$G$13)+IF((Z325/AI325&gt;'Parámetros Proyección'!$G$14),0,'Parámetros Proyección'!$G$14)+IF((AF325/AI325&gt;'Parámetros Proyección'!$G$15),0,'Parámetros Proyección'!$G$15)))</f>
        <v/>
      </c>
      <c r="V325" s="35">
        <f>T325+U325</f>
        <v/>
      </c>
      <c r="W325" s="35">
        <f>AB324</f>
        <v/>
      </c>
      <c r="X325" s="35">
        <f>W325*(1+'Parámetros Proyección'!$E$14)</f>
        <v/>
      </c>
      <c r="Y325" s="35">
        <f>X325*'Parámetros Proyección'!$F$14</f>
        <v/>
      </c>
      <c r="Z325" s="35">
        <f>X325+Y325</f>
        <v/>
      </c>
      <c r="AA325" s="35">
        <f>IF((Z325/AI325&gt;'Parámetros Proyección'!$G$14),0,D325*'Parámetros Proyección'!$G$14/(IF((H325/AI325&gt;'Parámetros Proyección'!$G$11),0,'Parámetros Proyección'!$G$11)+IF((N325/AI325&gt;'Parámetros Proyección'!$G$12),0,'Parámetros Proyección'!$G$12)+IF((T325/AI325&gt;'Parámetros Proyección'!$G$13),0,'Parámetros Proyección'!$G$13)+IF((Z325/AI325&gt;'Parámetros Proyección'!$G$14),0,'Parámetros Proyección'!$G$14)+IF((AF325/AI325&gt;'Parámetros Proyección'!$G$15),0,'Parámetros Proyección'!$G$15)))</f>
        <v/>
      </c>
      <c r="AB325" s="35">
        <f>Z325+AA325</f>
        <v/>
      </c>
      <c r="AC325" s="35">
        <f>AH324</f>
        <v/>
      </c>
      <c r="AD325" s="35">
        <f>AC325*(1+'Parámetros Proyección'!$E$15)</f>
        <v/>
      </c>
      <c r="AE325" s="35">
        <f>AD325*'Parámetros Proyección'!$F$15</f>
        <v/>
      </c>
      <c r="AF325" s="35">
        <f>AD325+AE325</f>
        <v/>
      </c>
      <c r="AG325" s="35">
        <f>IF((AF325/AI325&gt;'Parámetros Proyección'!$G$15),0,D325*'Parámetros Proyección'!$G$15/(IF((H325/AI325&gt;'Parámetros Proyección'!$G$11),0,'Parámetros Proyección'!$G$11)+IF((N325/AI325&gt;'Parámetros Proyección'!$G$12),0,'Parámetros Proyección'!$G$12)+IF((T325/AI325&gt;'Parámetros Proyección'!$G$13),0,'Parámetros Proyección'!$G$13)+IF((Z325/AI325&gt;'Parámetros Proyección'!$G$14),0,'Parámetros Proyección'!$G$14)+IF((AF325/AI325&gt;'Parámetros Proyección'!$G$15),0,'Parámetros Proyección'!$G$15)))</f>
        <v/>
      </c>
      <c r="AH325" s="35">
        <f>AF325+AG325</f>
        <v/>
      </c>
      <c r="AI325" s="35">
        <f>H325+N325+T325+Z325+AF325</f>
        <v/>
      </c>
      <c r="AJ325" s="33">
        <f>AF325/AI325</f>
        <v/>
      </c>
      <c r="AK325">
        <f>IF(AJ325&gt;'Parámetros Proyección'!$B$5,1,0)</f>
        <v/>
      </c>
      <c r="AL325" s="35">
        <f>G325+M325+S325+Y325+AE325</f>
        <v/>
      </c>
      <c r="AM325" s="35">
        <f>AM324+D325</f>
        <v/>
      </c>
      <c r="AN325" s="35">
        <f>AN324+AL325</f>
        <v/>
      </c>
      <c r="AO325" s="35">
        <f>J325+P325+V325+AB325+AH325</f>
        <v/>
      </c>
    </row>
    <row r="326">
      <c r="A326" t="n">
        <v>323</v>
      </c>
      <c r="B326" s="34">
        <f>EDATE(B325,1)</f>
        <v/>
      </c>
      <c r="C326">
        <f>YEAR(B326)</f>
        <v/>
      </c>
      <c r="D326" s="35">
        <f>'Parámetros Proyección'!$B$3*(1+'Parámetros Proyección'!$B$4)^(C326-YEAR('Parámetros Proyección'!$B$6))</f>
        <v/>
      </c>
      <c r="E326" s="35">
        <f>J325</f>
        <v/>
      </c>
      <c r="F326" s="35">
        <f>E326*(1+'Parámetros Proyección'!$E$11)</f>
        <v/>
      </c>
      <c r="G326" s="35">
        <f>F326*'Parámetros Proyección'!$F$11</f>
        <v/>
      </c>
      <c r="H326" s="35">
        <f>F326+G326</f>
        <v/>
      </c>
      <c r="I326" s="35">
        <f>IF((H326/AI326&gt;'Parámetros Proyección'!$G$11),0,D326*'Parámetros Proyección'!$G$11/(IF((H326/AI326&gt;'Parámetros Proyección'!$G$11),0,'Parámetros Proyección'!$G$11)+IF((N326/AI326&gt;'Parámetros Proyección'!$G$12),0,'Parámetros Proyección'!$G$12)+IF((T326/AI326&gt;'Parámetros Proyección'!$G$13),0,'Parámetros Proyección'!$G$13)+IF((Z326/AI326&gt;'Parámetros Proyección'!$G$14),0,'Parámetros Proyección'!$G$14)+IF((AF326/AI326&gt;'Parámetros Proyección'!$G$15),0,'Parámetros Proyección'!$G$15)))</f>
        <v/>
      </c>
      <c r="J326" s="35">
        <f>H326+I326</f>
        <v/>
      </c>
      <c r="K326" s="35">
        <f>P325</f>
        <v/>
      </c>
      <c r="L326" s="35">
        <f>K326*(1+'Parámetros Proyección'!$E$12)</f>
        <v/>
      </c>
      <c r="M326" s="35">
        <f>L326*'Parámetros Proyección'!$F$12</f>
        <v/>
      </c>
      <c r="N326" s="35">
        <f>L326+M326</f>
        <v/>
      </c>
      <c r="O326" s="35">
        <f>IF((N326/AI326&gt;'Parámetros Proyección'!$G$12),0,D326*'Parámetros Proyección'!$G$12/(IF((H326/AI326&gt;'Parámetros Proyección'!$G$11),0,'Parámetros Proyección'!$G$11)+IF((N326/AI326&gt;'Parámetros Proyección'!$G$12),0,'Parámetros Proyección'!$G$12)+IF((T326/AI326&gt;'Parámetros Proyección'!$G$13),0,'Parámetros Proyección'!$G$13)+IF((Z326/AI326&gt;'Parámetros Proyección'!$G$14),0,'Parámetros Proyección'!$G$14)+IF((AF326/AI326&gt;'Parámetros Proyección'!$G$15),0,'Parámetros Proyección'!$G$15)))</f>
        <v/>
      </c>
      <c r="P326" s="35">
        <f>N326+O326</f>
        <v/>
      </c>
      <c r="Q326" s="35">
        <f>V325</f>
        <v/>
      </c>
      <c r="R326" s="35">
        <f>Q326*(1+'Parámetros Proyección'!$E$13)</f>
        <v/>
      </c>
      <c r="S326" s="35">
        <f>R326*'Parámetros Proyección'!$F$13</f>
        <v/>
      </c>
      <c r="T326" s="35">
        <f>R326+S326</f>
        <v/>
      </c>
      <c r="U326" s="35">
        <f>IF((T326/AI326&gt;'Parámetros Proyección'!$G$13),0,D326*'Parámetros Proyección'!$G$13/(IF((H326/AI326&gt;'Parámetros Proyección'!$G$11),0,'Parámetros Proyección'!$G$11)+IF((N326/AI326&gt;'Parámetros Proyección'!$G$12),0,'Parámetros Proyección'!$G$12)+IF((T326/AI326&gt;'Parámetros Proyección'!$G$13),0,'Parámetros Proyección'!$G$13)+IF((Z326/AI326&gt;'Parámetros Proyección'!$G$14),0,'Parámetros Proyección'!$G$14)+IF((AF326/AI326&gt;'Parámetros Proyección'!$G$15),0,'Parámetros Proyección'!$G$15)))</f>
        <v/>
      </c>
      <c r="V326" s="35">
        <f>T326+U326</f>
        <v/>
      </c>
      <c r="W326" s="35">
        <f>AB325</f>
        <v/>
      </c>
      <c r="X326" s="35">
        <f>W326*(1+'Parámetros Proyección'!$E$14)</f>
        <v/>
      </c>
      <c r="Y326" s="35">
        <f>X326*'Parámetros Proyección'!$F$14</f>
        <v/>
      </c>
      <c r="Z326" s="35">
        <f>X326+Y326</f>
        <v/>
      </c>
      <c r="AA326" s="35">
        <f>IF((Z326/AI326&gt;'Parámetros Proyección'!$G$14),0,D326*'Parámetros Proyección'!$G$14/(IF((H326/AI326&gt;'Parámetros Proyección'!$G$11),0,'Parámetros Proyección'!$G$11)+IF((N326/AI326&gt;'Parámetros Proyección'!$G$12),0,'Parámetros Proyección'!$G$12)+IF((T326/AI326&gt;'Parámetros Proyección'!$G$13),0,'Parámetros Proyección'!$G$13)+IF((Z326/AI326&gt;'Parámetros Proyección'!$G$14),0,'Parámetros Proyección'!$G$14)+IF((AF326/AI326&gt;'Parámetros Proyección'!$G$15),0,'Parámetros Proyección'!$G$15)))</f>
        <v/>
      </c>
      <c r="AB326" s="35">
        <f>Z326+AA326</f>
        <v/>
      </c>
      <c r="AC326" s="35">
        <f>AH325</f>
        <v/>
      </c>
      <c r="AD326" s="35">
        <f>AC326*(1+'Parámetros Proyección'!$E$15)</f>
        <v/>
      </c>
      <c r="AE326" s="35">
        <f>AD326*'Parámetros Proyección'!$F$15</f>
        <v/>
      </c>
      <c r="AF326" s="35">
        <f>AD326+AE326</f>
        <v/>
      </c>
      <c r="AG326" s="35">
        <f>IF((AF326/AI326&gt;'Parámetros Proyección'!$G$15),0,D326*'Parámetros Proyección'!$G$15/(IF((H326/AI326&gt;'Parámetros Proyección'!$G$11),0,'Parámetros Proyección'!$G$11)+IF((N326/AI326&gt;'Parámetros Proyección'!$G$12),0,'Parámetros Proyección'!$G$12)+IF((T326/AI326&gt;'Parámetros Proyección'!$G$13),0,'Parámetros Proyección'!$G$13)+IF((Z326/AI326&gt;'Parámetros Proyección'!$G$14),0,'Parámetros Proyección'!$G$14)+IF((AF326/AI326&gt;'Parámetros Proyección'!$G$15),0,'Parámetros Proyección'!$G$15)))</f>
        <v/>
      </c>
      <c r="AH326" s="35">
        <f>AF326+AG326</f>
        <v/>
      </c>
      <c r="AI326" s="35">
        <f>H326+N326+T326+Z326+AF326</f>
        <v/>
      </c>
      <c r="AJ326" s="33">
        <f>AF326/AI326</f>
        <v/>
      </c>
      <c r="AK326">
        <f>IF(AJ326&gt;'Parámetros Proyección'!$B$5,1,0)</f>
        <v/>
      </c>
      <c r="AL326" s="35">
        <f>G326+M326+S326+Y326+AE326</f>
        <v/>
      </c>
      <c r="AM326" s="35">
        <f>AM325+D326</f>
        <v/>
      </c>
      <c r="AN326" s="35">
        <f>AN325+AL326</f>
        <v/>
      </c>
      <c r="AO326" s="35">
        <f>J326+P326+V326+AB326+AH326</f>
        <v/>
      </c>
    </row>
    <row r="327">
      <c r="A327" t="n">
        <v>324</v>
      </c>
      <c r="B327" s="34">
        <f>EDATE(B326,1)</f>
        <v/>
      </c>
      <c r="C327">
        <f>YEAR(B327)</f>
        <v/>
      </c>
      <c r="D327" s="35">
        <f>'Parámetros Proyección'!$B$3*(1+'Parámetros Proyección'!$B$4)^(C327-YEAR('Parámetros Proyección'!$B$6))</f>
        <v/>
      </c>
      <c r="E327" s="35">
        <f>J326</f>
        <v/>
      </c>
      <c r="F327" s="35">
        <f>E327*(1+'Parámetros Proyección'!$E$11)</f>
        <v/>
      </c>
      <c r="G327" s="35">
        <f>F327*'Parámetros Proyección'!$F$11</f>
        <v/>
      </c>
      <c r="H327" s="35">
        <f>F327+G327</f>
        <v/>
      </c>
      <c r="I327" s="35">
        <f>IF((H327/AI327&gt;'Parámetros Proyección'!$G$11),0,D327*'Parámetros Proyección'!$G$11/(IF((H327/AI327&gt;'Parámetros Proyección'!$G$11),0,'Parámetros Proyección'!$G$11)+IF((N327/AI327&gt;'Parámetros Proyección'!$G$12),0,'Parámetros Proyección'!$G$12)+IF((T327/AI327&gt;'Parámetros Proyección'!$G$13),0,'Parámetros Proyección'!$G$13)+IF((Z327/AI327&gt;'Parámetros Proyección'!$G$14),0,'Parámetros Proyección'!$G$14)+IF((AF327/AI327&gt;'Parámetros Proyección'!$G$15),0,'Parámetros Proyección'!$G$15)))</f>
        <v/>
      </c>
      <c r="J327" s="35">
        <f>H327+I327</f>
        <v/>
      </c>
      <c r="K327" s="35">
        <f>P326</f>
        <v/>
      </c>
      <c r="L327" s="35">
        <f>K327*(1+'Parámetros Proyección'!$E$12)</f>
        <v/>
      </c>
      <c r="M327" s="35">
        <f>L327*'Parámetros Proyección'!$F$12</f>
        <v/>
      </c>
      <c r="N327" s="35">
        <f>L327+M327</f>
        <v/>
      </c>
      <c r="O327" s="35">
        <f>IF((N327/AI327&gt;'Parámetros Proyección'!$G$12),0,D327*'Parámetros Proyección'!$G$12/(IF((H327/AI327&gt;'Parámetros Proyección'!$G$11),0,'Parámetros Proyección'!$G$11)+IF((N327/AI327&gt;'Parámetros Proyección'!$G$12),0,'Parámetros Proyección'!$G$12)+IF((T327/AI327&gt;'Parámetros Proyección'!$G$13),0,'Parámetros Proyección'!$G$13)+IF((Z327/AI327&gt;'Parámetros Proyección'!$G$14),0,'Parámetros Proyección'!$G$14)+IF((AF327/AI327&gt;'Parámetros Proyección'!$G$15),0,'Parámetros Proyección'!$G$15)))</f>
        <v/>
      </c>
      <c r="P327" s="35">
        <f>N327+O327</f>
        <v/>
      </c>
      <c r="Q327" s="35">
        <f>V326</f>
        <v/>
      </c>
      <c r="R327" s="35">
        <f>Q327*(1+'Parámetros Proyección'!$E$13)</f>
        <v/>
      </c>
      <c r="S327" s="35">
        <f>R327*'Parámetros Proyección'!$F$13</f>
        <v/>
      </c>
      <c r="T327" s="35">
        <f>R327+S327</f>
        <v/>
      </c>
      <c r="U327" s="35">
        <f>IF((T327/AI327&gt;'Parámetros Proyección'!$G$13),0,D327*'Parámetros Proyección'!$G$13/(IF((H327/AI327&gt;'Parámetros Proyección'!$G$11),0,'Parámetros Proyección'!$G$11)+IF((N327/AI327&gt;'Parámetros Proyección'!$G$12),0,'Parámetros Proyección'!$G$12)+IF((T327/AI327&gt;'Parámetros Proyección'!$G$13),0,'Parámetros Proyección'!$G$13)+IF((Z327/AI327&gt;'Parámetros Proyección'!$G$14),0,'Parámetros Proyección'!$G$14)+IF((AF327/AI327&gt;'Parámetros Proyección'!$G$15),0,'Parámetros Proyección'!$G$15)))</f>
        <v/>
      </c>
      <c r="V327" s="35">
        <f>T327+U327</f>
        <v/>
      </c>
      <c r="W327" s="35">
        <f>AB326</f>
        <v/>
      </c>
      <c r="X327" s="35">
        <f>W327*(1+'Parámetros Proyección'!$E$14)</f>
        <v/>
      </c>
      <c r="Y327" s="35">
        <f>X327*'Parámetros Proyección'!$F$14</f>
        <v/>
      </c>
      <c r="Z327" s="35">
        <f>X327+Y327</f>
        <v/>
      </c>
      <c r="AA327" s="35">
        <f>IF((Z327/AI327&gt;'Parámetros Proyección'!$G$14),0,D327*'Parámetros Proyección'!$G$14/(IF((H327/AI327&gt;'Parámetros Proyección'!$G$11),0,'Parámetros Proyección'!$G$11)+IF((N327/AI327&gt;'Parámetros Proyección'!$G$12),0,'Parámetros Proyección'!$G$12)+IF((T327/AI327&gt;'Parámetros Proyección'!$G$13),0,'Parámetros Proyección'!$G$13)+IF((Z327/AI327&gt;'Parámetros Proyección'!$G$14),0,'Parámetros Proyección'!$G$14)+IF((AF327/AI327&gt;'Parámetros Proyección'!$G$15),0,'Parámetros Proyección'!$G$15)))</f>
        <v/>
      </c>
      <c r="AB327" s="35">
        <f>Z327+AA327</f>
        <v/>
      </c>
      <c r="AC327" s="35">
        <f>AH326</f>
        <v/>
      </c>
      <c r="AD327" s="35">
        <f>AC327*(1+'Parámetros Proyección'!$E$15)</f>
        <v/>
      </c>
      <c r="AE327" s="35">
        <f>AD327*'Parámetros Proyección'!$F$15</f>
        <v/>
      </c>
      <c r="AF327" s="35">
        <f>AD327+AE327</f>
        <v/>
      </c>
      <c r="AG327" s="35">
        <f>IF((AF327/AI327&gt;'Parámetros Proyección'!$G$15),0,D327*'Parámetros Proyección'!$G$15/(IF((H327/AI327&gt;'Parámetros Proyección'!$G$11),0,'Parámetros Proyección'!$G$11)+IF((N327/AI327&gt;'Parámetros Proyección'!$G$12),0,'Parámetros Proyección'!$G$12)+IF((T327/AI327&gt;'Parámetros Proyección'!$G$13),0,'Parámetros Proyección'!$G$13)+IF((Z327/AI327&gt;'Parámetros Proyección'!$G$14),0,'Parámetros Proyección'!$G$14)+IF((AF327/AI327&gt;'Parámetros Proyección'!$G$15),0,'Parámetros Proyección'!$G$15)))</f>
        <v/>
      </c>
      <c r="AH327" s="35">
        <f>AF327+AG327</f>
        <v/>
      </c>
      <c r="AI327" s="35">
        <f>H327+N327+T327+Z327+AF327</f>
        <v/>
      </c>
      <c r="AJ327" s="33">
        <f>AF327/AI327</f>
        <v/>
      </c>
      <c r="AK327">
        <f>IF(AJ327&gt;'Parámetros Proyección'!$B$5,1,0)</f>
        <v/>
      </c>
      <c r="AL327" s="35">
        <f>G327+M327+S327+Y327+AE327</f>
        <v/>
      </c>
      <c r="AM327" s="35">
        <f>AM326+D327</f>
        <v/>
      </c>
      <c r="AN327" s="35">
        <f>AN326+AL327</f>
        <v/>
      </c>
      <c r="AO327" s="35">
        <f>J327+P327+V327+AB327+AH327</f>
        <v/>
      </c>
    </row>
    <row r="328">
      <c r="A328" t="n">
        <v>325</v>
      </c>
      <c r="B328" s="34">
        <f>EDATE(B327,1)</f>
        <v/>
      </c>
      <c r="C328">
        <f>YEAR(B328)</f>
        <v/>
      </c>
      <c r="D328" s="35">
        <f>'Parámetros Proyección'!$B$3*(1+'Parámetros Proyección'!$B$4)^(C328-YEAR('Parámetros Proyección'!$B$6))</f>
        <v/>
      </c>
      <c r="E328" s="35">
        <f>J327</f>
        <v/>
      </c>
      <c r="F328" s="35">
        <f>E328*(1+'Parámetros Proyección'!$E$11)</f>
        <v/>
      </c>
      <c r="G328" s="35">
        <f>F328*'Parámetros Proyección'!$F$11</f>
        <v/>
      </c>
      <c r="H328" s="35">
        <f>F328+G328</f>
        <v/>
      </c>
      <c r="I328" s="35">
        <f>IF((H328/AI328&gt;'Parámetros Proyección'!$G$11),0,D328*'Parámetros Proyección'!$G$11/(IF((H328/AI328&gt;'Parámetros Proyección'!$G$11),0,'Parámetros Proyección'!$G$11)+IF((N328/AI328&gt;'Parámetros Proyección'!$G$12),0,'Parámetros Proyección'!$G$12)+IF((T328/AI328&gt;'Parámetros Proyección'!$G$13),0,'Parámetros Proyección'!$G$13)+IF((Z328/AI328&gt;'Parámetros Proyección'!$G$14),0,'Parámetros Proyección'!$G$14)+IF((AF328/AI328&gt;'Parámetros Proyección'!$G$15),0,'Parámetros Proyección'!$G$15)))</f>
        <v/>
      </c>
      <c r="J328" s="35">
        <f>H328+I328</f>
        <v/>
      </c>
      <c r="K328" s="35">
        <f>P327</f>
        <v/>
      </c>
      <c r="L328" s="35">
        <f>K328*(1+'Parámetros Proyección'!$E$12)</f>
        <v/>
      </c>
      <c r="M328" s="35">
        <f>L328*'Parámetros Proyección'!$F$12</f>
        <v/>
      </c>
      <c r="N328" s="35">
        <f>L328+M328</f>
        <v/>
      </c>
      <c r="O328" s="35">
        <f>IF((N328/AI328&gt;'Parámetros Proyección'!$G$12),0,D328*'Parámetros Proyección'!$G$12/(IF((H328/AI328&gt;'Parámetros Proyección'!$G$11),0,'Parámetros Proyección'!$G$11)+IF((N328/AI328&gt;'Parámetros Proyección'!$G$12),0,'Parámetros Proyección'!$G$12)+IF((T328/AI328&gt;'Parámetros Proyección'!$G$13),0,'Parámetros Proyección'!$G$13)+IF((Z328/AI328&gt;'Parámetros Proyección'!$G$14),0,'Parámetros Proyección'!$G$14)+IF((AF328/AI328&gt;'Parámetros Proyección'!$G$15),0,'Parámetros Proyección'!$G$15)))</f>
        <v/>
      </c>
      <c r="P328" s="35">
        <f>N328+O328</f>
        <v/>
      </c>
      <c r="Q328" s="35">
        <f>V327</f>
        <v/>
      </c>
      <c r="R328" s="35">
        <f>Q328*(1+'Parámetros Proyección'!$E$13)</f>
        <v/>
      </c>
      <c r="S328" s="35">
        <f>R328*'Parámetros Proyección'!$F$13</f>
        <v/>
      </c>
      <c r="T328" s="35">
        <f>R328+S328</f>
        <v/>
      </c>
      <c r="U328" s="35">
        <f>IF((T328/AI328&gt;'Parámetros Proyección'!$G$13),0,D328*'Parámetros Proyección'!$G$13/(IF((H328/AI328&gt;'Parámetros Proyección'!$G$11),0,'Parámetros Proyección'!$G$11)+IF((N328/AI328&gt;'Parámetros Proyección'!$G$12),0,'Parámetros Proyección'!$G$12)+IF((T328/AI328&gt;'Parámetros Proyección'!$G$13),0,'Parámetros Proyección'!$G$13)+IF((Z328/AI328&gt;'Parámetros Proyección'!$G$14),0,'Parámetros Proyección'!$G$14)+IF((AF328/AI328&gt;'Parámetros Proyección'!$G$15),0,'Parámetros Proyección'!$G$15)))</f>
        <v/>
      </c>
      <c r="V328" s="35">
        <f>T328+U328</f>
        <v/>
      </c>
      <c r="W328" s="35">
        <f>AB327</f>
        <v/>
      </c>
      <c r="X328" s="35">
        <f>W328*(1+'Parámetros Proyección'!$E$14)</f>
        <v/>
      </c>
      <c r="Y328" s="35">
        <f>X328*'Parámetros Proyección'!$F$14</f>
        <v/>
      </c>
      <c r="Z328" s="35">
        <f>X328+Y328</f>
        <v/>
      </c>
      <c r="AA328" s="35">
        <f>IF((Z328/AI328&gt;'Parámetros Proyección'!$G$14),0,D328*'Parámetros Proyección'!$G$14/(IF((H328/AI328&gt;'Parámetros Proyección'!$G$11),0,'Parámetros Proyección'!$G$11)+IF((N328/AI328&gt;'Parámetros Proyección'!$G$12),0,'Parámetros Proyección'!$G$12)+IF((T328/AI328&gt;'Parámetros Proyección'!$G$13),0,'Parámetros Proyección'!$G$13)+IF((Z328/AI328&gt;'Parámetros Proyección'!$G$14),0,'Parámetros Proyección'!$G$14)+IF((AF328/AI328&gt;'Parámetros Proyección'!$G$15),0,'Parámetros Proyección'!$G$15)))</f>
        <v/>
      </c>
      <c r="AB328" s="35">
        <f>Z328+AA328</f>
        <v/>
      </c>
      <c r="AC328" s="35">
        <f>AH327</f>
        <v/>
      </c>
      <c r="AD328" s="35">
        <f>AC328*(1+'Parámetros Proyección'!$E$15)</f>
        <v/>
      </c>
      <c r="AE328" s="35">
        <f>AD328*'Parámetros Proyección'!$F$15</f>
        <v/>
      </c>
      <c r="AF328" s="35">
        <f>AD328+AE328</f>
        <v/>
      </c>
      <c r="AG328" s="35">
        <f>IF((AF328/AI328&gt;'Parámetros Proyección'!$G$15),0,D328*'Parámetros Proyección'!$G$15/(IF((H328/AI328&gt;'Parámetros Proyección'!$G$11),0,'Parámetros Proyección'!$G$11)+IF((N328/AI328&gt;'Parámetros Proyección'!$G$12),0,'Parámetros Proyección'!$G$12)+IF((T328/AI328&gt;'Parámetros Proyección'!$G$13),0,'Parámetros Proyección'!$G$13)+IF((Z328/AI328&gt;'Parámetros Proyección'!$G$14),0,'Parámetros Proyección'!$G$14)+IF((AF328/AI328&gt;'Parámetros Proyección'!$G$15),0,'Parámetros Proyección'!$G$15)))</f>
        <v/>
      </c>
      <c r="AH328" s="35">
        <f>AF328+AG328</f>
        <v/>
      </c>
      <c r="AI328" s="35">
        <f>H328+N328+T328+Z328+AF328</f>
        <v/>
      </c>
      <c r="AJ328" s="33">
        <f>AF328/AI328</f>
        <v/>
      </c>
      <c r="AK328">
        <f>IF(AJ328&gt;'Parámetros Proyección'!$B$5,1,0)</f>
        <v/>
      </c>
      <c r="AL328" s="35">
        <f>G328+M328+S328+Y328+AE328</f>
        <v/>
      </c>
      <c r="AM328" s="35">
        <f>AM327+D328</f>
        <v/>
      </c>
      <c r="AN328" s="35">
        <f>AN327+AL328</f>
        <v/>
      </c>
      <c r="AO328" s="35">
        <f>J328+P328+V328+AB328+AH328</f>
        <v/>
      </c>
    </row>
    <row r="329">
      <c r="A329" t="n">
        <v>326</v>
      </c>
      <c r="B329" s="34">
        <f>EDATE(B328,1)</f>
        <v/>
      </c>
      <c r="C329">
        <f>YEAR(B329)</f>
        <v/>
      </c>
      <c r="D329" s="35">
        <f>'Parámetros Proyección'!$B$3*(1+'Parámetros Proyección'!$B$4)^(C329-YEAR('Parámetros Proyección'!$B$6))</f>
        <v/>
      </c>
      <c r="E329" s="35">
        <f>J328</f>
        <v/>
      </c>
      <c r="F329" s="35">
        <f>E329*(1+'Parámetros Proyección'!$E$11)</f>
        <v/>
      </c>
      <c r="G329" s="35">
        <f>F329*'Parámetros Proyección'!$F$11</f>
        <v/>
      </c>
      <c r="H329" s="35">
        <f>F329+G329</f>
        <v/>
      </c>
      <c r="I329" s="35">
        <f>IF((H329/AI329&gt;'Parámetros Proyección'!$G$11),0,D329*'Parámetros Proyección'!$G$11/(IF((H329/AI329&gt;'Parámetros Proyección'!$G$11),0,'Parámetros Proyección'!$G$11)+IF((N329/AI329&gt;'Parámetros Proyección'!$G$12),0,'Parámetros Proyección'!$G$12)+IF((T329/AI329&gt;'Parámetros Proyección'!$G$13),0,'Parámetros Proyección'!$G$13)+IF((Z329/AI329&gt;'Parámetros Proyección'!$G$14),0,'Parámetros Proyección'!$G$14)+IF((AF329/AI329&gt;'Parámetros Proyección'!$G$15),0,'Parámetros Proyección'!$G$15)))</f>
        <v/>
      </c>
      <c r="J329" s="35">
        <f>H329+I329</f>
        <v/>
      </c>
      <c r="K329" s="35">
        <f>P328</f>
        <v/>
      </c>
      <c r="L329" s="35">
        <f>K329*(1+'Parámetros Proyección'!$E$12)</f>
        <v/>
      </c>
      <c r="M329" s="35">
        <f>L329*'Parámetros Proyección'!$F$12</f>
        <v/>
      </c>
      <c r="N329" s="35">
        <f>L329+M329</f>
        <v/>
      </c>
      <c r="O329" s="35">
        <f>IF((N329/AI329&gt;'Parámetros Proyección'!$G$12),0,D329*'Parámetros Proyección'!$G$12/(IF((H329/AI329&gt;'Parámetros Proyección'!$G$11),0,'Parámetros Proyección'!$G$11)+IF((N329/AI329&gt;'Parámetros Proyección'!$G$12),0,'Parámetros Proyección'!$G$12)+IF((T329/AI329&gt;'Parámetros Proyección'!$G$13),0,'Parámetros Proyección'!$G$13)+IF((Z329/AI329&gt;'Parámetros Proyección'!$G$14),0,'Parámetros Proyección'!$G$14)+IF((AF329/AI329&gt;'Parámetros Proyección'!$G$15),0,'Parámetros Proyección'!$G$15)))</f>
        <v/>
      </c>
      <c r="P329" s="35">
        <f>N329+O329</f>
        <v/>
      </c>
      <c r="Q329" s="35">
        <f>V328</f>
        <v/>
      </c>
      <c r="R329" s="35">
        <f>Q329*(1+'Parámetros Proyección'!$E$13)</f>
        <v/>
      </c>
      <c r="S329" s="35">
        <f>R329*'Parámetros Proyección'!$F$13</f>
        <v/>
      </c>
      <c r="T329" s="35">
        <f>R329+S329</f>
        <v/>
      </c>
      <c r="U329" s="35">
        <f>IF((T329/AI329&gt;'Parámetros Proyección'!$G$13),0,D329*'Parámetros Proyección'!$G$13/(IF((H329/AI329&gt;'Parámetros Proyección'!$G$11),0,'Parámetros Proyección'!$G$11)+IF((N329/AI329&gt;'Parámetros Proyección'!$G$12),0,'Parámetros Proyección'!$G$12)+IF((T329/AI329&gt;'Parámetros Proyección'!$G$13),0,'Parámetros Proyección'!$G$13)+IF((Z329/AI329&gt;'Parámetros Proyección'!$G$14),0,'Parámetros Proyección'!$G$14)+IF((AF329/AI329&gt;'Parámetros Proyección'!$G$15),0,'Parámetros Proyección'!$G$15)))</f>
        <v/>
      </c>
      <c r="V329" s="35">
        <f>T329+U329</f>
        <v/>
      </c>
      <c r="W329" s="35">
        <f>AB328</f>
        <v/>
      </c>
      <c r="X329" s="35">
        <f>W329*(1+'Parámetros Proyección'!$E$14)</f>
        <v/>
      </c>
      <c r="Y329" s="35">
        <f>X329*'Parámetros Proyección'!$F$14</f>
        <v/>
      </c>
      <c r="Z329" s="35">
        <f>X329+Y329</f>
        <v/>
      </c>
      <c r="AA329" s="35">
        <f>IF((Z329/AI329&gt;'Parámetros Proyección'!$G$14),0,D329*'Parámetros Proyección'!$G$14/(IF((H329/AI329&gt;'Parámetros Proyección'!$G$11),0,'Parámetros Proyección'!$G$11)+IF((N329/AI329&gt;'Parámetros Proyección'!$G$12),0,'Parámetros Proyección'!$G$12)+IF((T329/AI329&gt;'Parámetros Proyección'!$G$13),0,'Parámetros Proyección'!$G$13)+IF((Z329/AI329&gt;'Parámetros Proyección'!$G$14),0,'Parámetros Proyección'!$G$14)+IF((AF329/AI329&gt;'Parámetros Proyección'!$G$15),0,'Parámetros Proyección'!$G$15)))</f>
        <v/>
      </c>
      <c r="AB329" s="35">
        <f>Z329+AA329</f>
        <v/>
      </c>
      <c r="AC329" s="35">
        <f>AH328</f>
        <v/>
      </c>
      <c r="AD329" s="35">
        <f>AC329*(1+'Parámetros Proyección'!$E$15)</f>
        <v/>
      </c>
      <c r="AE329" s="35">
        <f>AD329*'Parámetros Proyección'!$F$15</f>
        <v/>
      </c>
      <c r="AF329" s="35">
        <f>AD329+AE329</f>
        <v/>
      </c>
      <c r="AG329" s="35">
        <f>IF((AF329/AI329&gt;'Parámetros Proyección'!$G$15),0,D329*'Parámetros Proyección'!$G$15/(IF((H329/AI329&gt;'Parámetros Proyección'!$G$11),0,'Parámetros Proyección'!$G$11)+IF((N329/AI329&gt;'Parámetros Proyección'!$G$12),0,'Parámetros Proyección'!$G$12)+IF((T329/AI329&gt;'Parámetros Proyección'!$G$13),0,'Parámetros Proyección'!$G$13)+IF((Z329/AI329&gt;'Parámetros Proyección'!$G$14),0,'Parámetros Proyección'!$G$14)+IF((AF329/AI329&gt;'Parámetros Proyección'!$G$15),0,'Parámetros Proyección'!$G$15)))</f>
        <v/>
      </c>
      <c r="AH329" s="35">
        <f>AF329+AG329</f>
        <v/>
      </c>
      <c r="AI329" s="35">
        <f>H329+N329+T329+Z329+AF329</f>
        <v/>
      </c>
      <c r="AJ329" s="33">
        <f>AF329/AI329</f>
        <v/>
      </c>
      <c r="AK329">
        <f>IF(AJ329&gt;'Parámetros Proyección'!$B$5,1,0)</f>
        <v/>
      </c>
      <c r="AL329" s="35">
        <f>G329+M329+S329+Y329+AE329</f>
        <v/>
      </c>
      <c r="AM329" s="35">
        <f>AM328+D329</f>
        <v/>
      </c>
      <c r="AN329" s="35">
        <f>AN328+AL329</f>
        <v/>
      </c>
      <c r="AO329" s="35">
        <f>J329+P329+V329+AB329+AH329</f>
        <v/>
      </c>
    </row>
    <row r="330">
      <c r="A330" t="n">
        <v>327</v>
      </c>
      <c r="B330" s="34">
        <f>EDATE(B329,1)</f>
        <v/>
      </c>
      <c r="C330">
        <f>YEAR(B330)</f>
        <v/>
      </c>
      <c r="D330" s="35">
        <f>'Parámetros Proyección'!$B$3*(1+'Parámetros Proyección'!$B$4)^(C330-YEAR('Parámetros Proyección'!$B$6))</f>
        <v/>
      </c>
      <c r="E330" s="35">
        <f>J329</f>
        <v/>
      </c>
      <c r="F330" s="35">
        <f>E330*(1+'Parámetros Proyección'!$E$11)</f>
        <v/>
      </c>
      <c r="G330" s="35">
        <f>F330*'Parámetros Proyección'!$F$11</f>
        <v/>
      </c>
      <c r="H330" s="35">
        <f>F330+G330</f>
        <v/>
      </c>
      <c r="I330" s="35">
        <f>IF((H330/AI330&gt;'Parámetros Proyección'!$G$11),0,D330*'Parámetros Proyección'!$G$11/(IF((H330/AI330&gt;'Parámetros Proyección'!$G$11),0,'Parámetros Proyección'!$G$11)+IF((N330/AI330&gt;'Parámetros Proyección'!$G$12),0,'Parámetros Proyección'!$G$12)+IF((T330/AI330&gt;'Parámetros Proyección'!$G$13),0,'Parámetros Proyección'!$G$13)+IF((Z330/AI330&gt;'Parámetros Proyección'!$G$14),0,'Parámetros Proyección'!$G$14)+IF((AF330/AI330&gt;'Parámetros Proyección'!$G$15),0,'Parámetros Proyección'!$G$15)))</f>
        <v/>
      </c>
      <c r="J330" s="35">
        <f>H330+I330</f>
        <v/>
      </c>
      <c r="K330" s="35">
        <f>P329</f>
        <v/>
      </c>
      <c r="L330" s="35">
        <f>K330*(1+'Parámetros Proyección'!$E$12)</f>
        <v/>
      </c>
      <c r="M330" s="35">
        <f>L330*'Parámetros Proyección'!$F$12</f>
        <v/>
      </c>
      <c r="N330" s="35">
        <f>L330+M330</f>
        <v/>
      </c>
      <c r="O330" s="35">
        <f>IF((N330/AI330&gt;'Parámetros Proyección'!$G$12),0,D330*'Parámetros Proyección'!$G$12/(IF((H330/AI330&gt;'Parámetros Proyección'!$G$11),0,'Parámetros Proyección'!$G$11)+IF((N330/AI330&gt;'Parámetros Proyección'!$G$12),0,'Parámetros Proyección'!$G$12)+IF((T330/AI330&gt;'Parámetros Proyección'!$G$13),0,'Parámetros Proyección'!$G$13)+IF((Z330/AI330&gt;'Parámetros Proyección'!$G$14),0,'Parámetros Proyección'!$G$14)+IF((AF330/AI330&gt;'Parámetros Proyección'!$G$15),0,'Parámetros Proyección'!$G$15)))</f>
        <v/>
      </c>
      <c r="P330" s="35">
        <f>N330+O330</f>
        <v/>
      </c>
      <c r="Q330" s="35">
        <f>V329</f>
        <v/>
      </c>
      <c r="R330" s="35">
        <f>Q330*(1+'Parámetros Proyección'!$E$13)</f>
        <v/>
      </c>
      <c r="S330" s="35">
        <f>R330*'Parámetros Proyección'!$F$13</f>
        <v/>
      </c>
      <c r="T330" s="35">
        <f>R330+S330</f>
        <v/>
      </c>
      <c r="U330" s="35">
        <f>IF((T330/AI330&gt;'Parámetros Proyección'!$G$13),0,D330*'Parámetros Proyección'!$G$13/(IF((H330/AI330&gt;'Parámetros Proyección'!$G$11),0,'Parámetros Proyección'!$G$11)+IF((N330/AI330&gt;'Parámetros Proyección'!$G$12),0,'Parámetros Proyección'!$G$12)+IF((T330/AI330&gt;'Parámetros Proyección'!$G$13),0,'Parámetros Proyección'!$G$13)+IF((Z330/AI330&gt;'Parámetros Proyección'!$G$14),0,'Parámetros Proyección'!$G$14)+IF((AF330/AI330&gt;'Parámetros Proyección'!$G$15),0,'Parámetros Proyección'!$G$15)))</f>
        <v/>
      </c>
      <c r="V330" s="35">
        <f>T330+U330</f>
        <v/>
      </c>
      <c r="W330" s="35">
        <f>AB329</f>
        <v/>
      </c>
      <c r="X330" s="35">
        <f>W330*(1+'Parámetros Proyección'!$E$14)</f>
        <v/>
      </c>
      <c r="Y330" s="35">
        <f>X330*'Parámetros Proyección'!$F$14</f>
        <v/>
      </c>
      <c r="Z330" s="35">
        <f>X330+Y330</f>
        <v/>
      </c>
      <c r="AA330" s="35">
        <f>IF((Z330/AI330&gt;'Parámetros Proyección'!$G$14),0,D330*'Parámetros Proyección'!$G$14/(IF((H330/AI330&gt;'Parámetros Proyección'!$G$11),0,'Parámetros Proyección'!$G$11)+IF((N330/AI330&gt;'Parámetros Proyección'!$G$12),0,'Parámetros Proyección'!$G$12)+IF((T330/AI330&gt;'Parámetros Proyección'!$G$13),0,'Parámetros Proyección'!$G$13)+IF((Z330/AI330&gt;'Parámetros Proyección'!$G$14),0,'Parámetros Proyección'!$G$14)+IF((AF330/AI330&gt;'Parámetros Proyección'!$G$15),0,'Parámetros Proyección'!$G$15)))</f>
        <v/>
      </c>
      <c r="AB330" s="35">
        <f>Z330+AA330</f>
        <v/>
      </c>
      <c r="AC330" s="35">
        <f>AH329</f>
        <v/>
      </c>
      <c r="AD330" s="35">
        <f>AC330*(1+'Parámetros Proyección'!$E$15)</f>
        <v/>
      </c>
      <c r="AE330" s="35">
        <f>AD330*'Parámetros Proyección'!$F$15</f>
        <v/>
      </c>
      <c r="AF330" s="35">
        <f>AD330+AE330</f>
        <v/>
      </c>
      <c r="AG330" s="35">
        <f>IF((AF330/AI330&gt;'Parámetros Proyección'!$G$15),0,D330*'Parámetros Proyección'!$G$15/(IF((H330/AI330&gt;'Parámetros Proyección'!$G$11),0,'Parámetros Proyección'!$G$11)+IF((N330/AI330&gt;'Parámetros Proyección'!$G$12),0,'Parámetros Proyección'!$G$12)+IF((T330/AI330&gt;'Parámetros Proyección'!$G$13),0,'Parámetros Proyección'!$G$13)+IF((Z330/AI330&gt;'Parámetros Proyección'!$G$14),0,'Parámetros Proyección'!$G$14)+IF((AF330/AI330&gt;'Parámetros Proyección'!$G$15),0,'Parámetros Proyección'!$G$15)))</f>
        <v/>
      </c>
      <c r="AH330" s="35">
        <f>AF330+AG330</f>
        <v/>
      </c>
      <c r="AI330" s="35">
        <f>H330+N330+T330+Z330+AF330</f>
        <v/>
      </c>
      <c r="AJ330" s="33">
        <f>AF330/AI330</f>
        <v/>
      </c>
      <c r="AK330">
        <f>IF(AJ330&gt;'Parámetros Proyección'!$B$5,1,0)</f>
        <v/>
      </c>
      <c r="AL330" s="35">
        <f>G330+M330+S330+Y330+AE330</f>
        <v/>
      </c>
      <c r="AM330" s="35">
        <f>AM329+D330</f>
        <v/>
      </c>
      <c r="AN330" s="35">
        <f>AN329+AL330</f>
        <v/>
      </c>
      <c r="AO330" s="35">
        <f>J330+P330+V330+AB330+AH330</f>
        <v/>
      </c>
    </row>
    <row r="331">
      <c r="A331" t="n">
        <v>328</v>
      </c>
      <c r="B331" s="34">
        <f>EDATE(B330,1)</f>
        <v/>
      </c>
      <c r="C331">
        <f>YEAR(B331)</f>
        <v/>
      </c>
      <c r="D331" s="35">
        <f>'Parámetros Proyección'!$B$3*(1+'Parámetros Proyección'!$B$4)^(C331-YEAR('Parámetros Proyección'!$B$6))</f>
        <v/>
      </c>
      <c r="E331" s="35">
        <f>J330</f>
        <v/>
      </c>
      <c r="F331" s="35">
        <f>E331*(1+'Parámetros Proyección'!$E$11)</f>
        <v/>
      </c>
      <c r="G331" s="35">
        <f>F331*'Parámetros Proyección'!$F$11</f>
        <v/>
      </c>
      <c r="H331" s="35">
        <f>F331+G331</f>
        <v/>
      </c>
      <c r="I331" s="35">
        <f>IF((H331/AI331&gt;'Parámetros Proyección'!$G$11),0,D331*'Parámetros Proyección'!$G$11/(IF((H331/AI331&gt;'Parámetros Proyección'!$G$11),0,'Parámetros Proyección'!$G$11)+IF((N331/AI331&gt;'Parámetros Proyección'!$G$12),0,'Parámetros Proyección'!$G$12)+IF((T331/AI331&gt;'Parámetros Proyección'!$G$13),0,'Parámetros Proyección'!$G$13)+IF((Z331/AI331&gt;'Parámetros Proyección'!$G$14),0,'Parámetros Proyección'!$G$14)+IF((AF331/AI331&gt;'Parámetros Proyección'!$G$15),0,'Parámetros Proyección'!$G$15)))</f>
        <v/>
      </c>
      <c r="J331" s="35">
        <f>H331+I331</f>
        <v/>
      </c>
      <c r="K331" s="35">
        <f>P330</f>
        <v/>
      </c>
      <c r="L331" s="35">
        <f>K331*(1+'Parámetros Proyección'!$E$12)</f>
        <v/>
      </c>
      <c r="M331" s="35">
        <f>L331*'Parámetros Proyección'!$F$12</f>
        <v/>
      </c>
      <c r="N331" s="35">
        <f>L331+M331</f>
        <v/>
      </c>
      <c r="O331" s="35">
        <f>IF((N331/AI331&gt;'Parámetros Proyección'!$G$12),0,D331*'Parámetros Proyección'!$G$12/(IF((H331/AI331&gt;'Parámetros Proyección'!$G$11),0,'Parámetros Proyección'!$G$11)+IF((N331/AI331&gt;'Parámetros Proyección'!$G$12),0,'Parámetros Proyección'!$G$12)+IF((T331/AI331&gt;'Parámetros Proyección'!$G$13),0,'Parámetros Proyección'!$G$13)+IF((Z331/AI331&gt;'Parámetros Proyección'!$G$14),0,'Parámetros Proyección'!$G$14)+IF((AF331/AI331&gt;'Parámetros Proyección'!$G$15),0,'Parámetros Proyección'!$G$15)))</f>
        <v/>
      </c>
      <c r="P331" s="35">
        <f>N331+O331</f>
        <v/>
      </c>
      <c r="Q331" s="35">
        <f>V330</f>
        <v/>
      </c>
      <c r="R331" s="35">
        <f>Q331*(1+'Parámetros Proyección'!$E$13)</f>
        <v/>
      </c>
      <c r="S331" s="35">
        <f>R331*'Parámetros Proyección'!$F$13</f>
        <v/>
      </c>
      <c r="T331" s="35">
        <f>R331+S331</f>
        <v/>
      </c>
      <c r="U331" s="35">
        <f>IF((T331/AI331&gt;'Parámetros Proyección'!$G$13),0,D331*'Parámetros Proyección'!$G$13/(IF((H331/AI331&gt;'Parámetros Proyección'!$G$11),0,'Parámetros Proyección'!$G$11)+IF((N331/AI331&gt;'Parámetros Proyección'!$G$12),0,'Parámetros Proyección'!$G$12)+IF((T331/AI331&gt;'Parámetros Proyección'!$G$13),0,'Parámetros Proyección'!$G$13)+IF((Z331/AI331&gt;'Parámetros Proyección'!$G$14),0,'Parámetros Proyección'!$G$14)+IF((AF331/AI331&gt;'Parámetros Proyección'!$G$15),0,'Parámetros Proyección'!$G$15)))</f>
        <v/>
      </c>
      <c r="V331" s="35">
        <f>T331+U331</f>
        <v/>
      </c>
      <c r="W331" s="35">
        <f>AB330</f>
        <v/>
      </c>
      <c r="X331" s="35">
        <f>W331*(1+'Parámetros Proyección'!$E$14)</f>
        <v/>
      </c>
      <c r="Y331" s="35">
        <f>X331*'Parámetros Proyección'!$F$14</f>
        <v/>
      </c>
      <c r="Z331" s="35">
        <f>X331+Y331</f>
        <v/>
      </c>
      <c r="AA331" s="35">
        <f>IF((Z331/AI331&gt;'Parámetros Proyección'!$G$14),0,D331*'Parámetros Proyección'!$G$14/(IF((H331/AI331&gt;'Parámetros Proyección'!$G$11),0,'Parámetros Proyección'!$G$11)+IF((N331/AI331&gt;'Parámetros Proyección'!$G$12),0,'Parámetros Proyección'!$G$12)+IF((T331/AI331&gt;'Parámetros Proyección'!$G$13),0,'Parámetros Proyección'!$G$13)+IF((Z331/AI331&gt;'Parámetros Proyección'!$G$14),0,'Parámetros Proyección'!$G$14)+IF((AF331/AI331&gt;'Parámetros Proyección'!$G$15),0,'Parámetros Proyección'!$G$15)))</f>
        <v/>
      </c>
      <c r="AB331" s="35">
        <f>Z331+AA331</f>
        <v/>
      </c>
      <c r="AC331" s="35">
        <f>AH330</f>
        <v/>
      </c>
      <c r="AD331" s="35">
        <f>AC331*(1+'Parámetros Proyección'!$E$15)</f>
        <v/>
      </c>
      <c r="AE331" s="35">
        <f>AD331*'Parámetros Proyección'!$F$15</f>
        <v/>
      </c>
      <c r="AF331" s="35">
        <f>AD331+AE331</f>
        <v/>
      </c>
      <c r="AG331" s="35">
        <f>IF((AF331/AI331&gt;'Parámetros Proyección'!$G$15),0,D331*'Parámetros Proyección'!$G$15/(IF((H331/AI331&gt;'Parámetros Proyección'!$G$11),0,'Parámetros Proyección'!$G$11)+IF((N331/AI331&gt;'Parámetros Proyección'!$G$12),0,'Parámetros Proyección'!$G$12)+IF((T331/AI331&gt;'Parámetros Proyección'!$G$13),0,'Parámetros Proyección'!$G$13)+IF((Z331/AI331&gt;'Parámetros Proyección'!$G$14),0,'Parámetros Proyección'!$G$14)+IF((AF331/AI331&gt;'Parámetros Proyección'!$G$15),0,'Parámetros Proyección'!$G$15)))</f>
        <v/>
      </c>
      <c r="AH331" s="35">
        <f>AF331+AG331</f>
        <v/>
      </c>
      <c r="AI331" s="35">
        <f>H331+N331+T331+Z331+AF331</f>
        <v/>
      </c>
      <c r="AJ331" s="33">
        <f>AF331/AI331</f>
        <v/>
      </c>
      <c r="AK331">
        <f>IF(AJ331&gt;'Parámetros Proyección'!$B$5,1,0)</f>
        <v/>
      </c>
      <c r="AL331" s="35">
        <f>G331+M331+S331+Y331+AE331</f>
        <v/>
      </c>
      <c r="AM331" s="35">
        <f>AM330+D331</f>
        <v/>
      </c>
      <c r="AN331" s="35">
        <f>AN330+AL331</f>
        <v/>
      </c>
      <c r="AO331" s="35">
        <f>J331+P331+V331+AB331+AH331</f>
        <v/>
      </c>
    </row>
    <row r="332">
      <c r="A332" t="n">
        <v>329</v>
      </c>
      <c r="B332" s="34">
        <f>EDATE(B331,1)</f>
        <v/>
      </c>
      <c r="C332">
        <f>YEAR(B332)</f>
        <v/>
      </c>
      <c r="D332" s="35">
        <f>'Parámetros Proyección'!$B$3*(1+'Parámetros Proyección'!$B$4)^(C332-YEAR('Parámetros Proyección'!$B$6))</f>
        <v/>
      </c>
      <c r="E332" s="35">
        <f>J331</f>
        <v/>
      </c>
      <c r="F332" s="35">
        <f>E332*(1+'Parámetros Proyección'!$E$11)</f>
        <v/>
      </c>
      <c r="G332" s="35">
        <f>F332*'Parámetros Proyección'!$F$11</f>
        <v/>
      </c>
      <c r="H332" s="35">
        <f>F332+G332</f>
        <v/>
      </c>
      <c r="I332" s="35">
        <f>IF((H332/AI332&gt;'Parámetros Proyección'!$G$11),0,D332*'Parámetros Proyección'!$G$11/(IF((H332/AI332&gt;'Parámetros Proyección'!$G$11),0,'Parámetros Proyección'!$G$11)+IF((N332/AI332&gt;'Parámetros Proyección'!$G$12),0,'Parámetros Proyección'!$G$12)+IF((T332/AI332&gt;'Parámetros Proyección'!$G$13),0,'Parámetros Proyección'!$G$13)+IF((Z332/AI332&gt;'Parámetros Proyección'!$G$14),0,'Parámetros Proyección'!$G$14)+IF((AF332/AI332&gt;'Parámetros Proyección'!$G$15),0,'Parámetros Proyección'!$G$15)))</f>
        <v/>
      </c>
      <c r="J332" s="35">
        <f>H332+I332</f>
        <v/>
      </c>
      <c r="K332" s="35">
        <f>P331</f>
        <v/>
      </c>
      <c r="L332" s="35">
        <f>K332*(1+'Parámetros Proyección'!$E$12)</f>
        <v/>
      </c>
      <c r="M332" s="35">
        <f>L332*'Parámetros Proyección'!$F$12</f>
        <v/>
      </c>
      <c r="N332" s="35">
        <f>L332+M332</f>
        <v/>
      </c>
      <c r="O332" s="35">
        <f>IF((N332/AI332&gt;'Parámetros Proyección'!$G$12),0,D332*'Parámetros Proyección'!$G$12/(IF((H332/AI332&gt;'Parámetros Proyección'!$G$11),0,'Parámetros Proyección'!$G$11)+IF((N332/AI332&gt;'Parámetros Proyección'!$G$12),0,'Parámetros Proyección'!$G$12)+IF((T332/AI332&gt;'Parámetros Proyección'!$G$13),0,'Parámetros Proyección'!$G$13)+IF((Z332/AI332&gt;'Parámetros Proyección'!$G$14),0,'Parámetros Proyección'!$G$14)+IF((AF332/AI332&gt;'Parámetros Proyección'!$G$15),0,'Parámetros Proyección'!$G$15)))</f>
        <v/>
      </c>
      <c r="P332" s="35">
        <f>N332+O332</f>
        <v/>
      </c>
      <c r="Q332" s="35">
        <f>V331</f>
        <v/>
      </c>
      <c r="R332" s="35">
        <f>Q332*(1+'Parámetros Proyección'!$E$13)</f>
        <v/>
      </c>
      <c r="S332" s="35">
        <f>R332*'Parámetros Proyección'!$F$13</f>
        <v/>
      </c>
      <c r="T332" s="35">
        <f>R332+S332</f>
        <v/>
      </c>
      <c r="U332" s="35">
        <f>IF((T332/AI332&gt;'Parámetros Proyección'!$G$13),0,D332*'Parámetros Proyección'!$G$13/(IF((H332/AI332&gt;'Parámetros Proyección'!$G$11),0,'Parámetros Proyección'!$G$11)+IF((N332/AI332&gt;'Parámetros Proyección'!$G$12),0,'Parámetros Proyección'!$G$12)+IF((T332/AI332&gt;'Parámetros Proyección'!$G$13),0,'Parámetros Proyección'!$G$13)+IF((Z332/AI332&gt;'Parámetros Proyección'!$G$14),0,'Parámetros Proyección'!$G$14)+IF((AF332/AI332&gt;'Parámetros Proyección'!$G$15),0,'Parámetros Proyección'!$G$15)))</f>
        <v/>
      </c>
      <c r="V332" s="35">
        <f>T332+U332</f>
        <v/>
      </c>
      <c r="W332" s="35">
        <f>AB331</f>
        <v/>
      </c>
      <c r="X332" s="35">
        <f>W332*(1+'Parámetros Proyección'!$E$14)</f>
        <v/>
      </c>
      <c r="Y332" s="35">
        <f>X332*'Parámetros Proyección'!$F$14</f>
        <v/>
      </c>
      <c r="Z332" s="35">
        <f>X332+Y332</f>
        <v/>
      </c>
      <c r="AA332" s="35">
        <f>IF((Z332/AI332&gt;'Parámetros Proyección'!$G$14),0,D332*'Parámetros Proyección'!$G$14/(IF((H332/AI332&gt;'Parámetros Proyección'!$G$11),0,'Parámetros Proyección'!$G$11)+IF((N332/AI332&gt;'Parámetros Proyección'!$G$12),0,'Parámetros Proyección'!$G$12)+IF((T332/AI332&gt;'Parámetros Proyección'!$G$13),0,'Parámetros Proyección'!$G$13)+IF((Z332/AI332&gt;'Parámetros Proyección'!$G$14),0,'Parámetros Proyección'!$G$14)+IF((AF332/AI332&gt;'Parámetros Proyección'!$G$15),0,'Parámetros Proyección'!$G$15)))</f>
        <v/>
      </c>
      <c r="AB332" s="35">
        <f>Z332+AA332</f>
        <v/>
      </c>
      <c r="AC332" s="35">
        <f>AH331</f>
        <v/>
      </c>
      <c r="AD332" s="35">
        <f>AC332*(1+'Parámetros Proyección'!$E$15)</f>
        <v/>
      </c>
      <c r="AE332" s="35">
        <f>AD332*'Parámetros Proyección'!$F$15</f>
        <v/>
      </c>
      <c r="AF332" s="35">
        <f>AD332+AE332</f>
        <v/>
      </c>
      <c r="AG332" s="35">
        <f>IF((AF332/AI332&gt;'Parámetros Proyección'!$G$15),0,D332*'Parámetros Proyección'!$G$15/(IF((H332/AI332&gt;'Parámetros Proyección'!$G$11),0,'Parámetros Proyección'!$G$11)+IF((N332/AI332&gt;'Parámetros Proyección'!$G$12),0,'Parámetros Proyección'!$G$12)+IF((T332/AI332&gt;'Parámetros Proyección'!$G$13),0,'Parámetros Proyección'!$G$13)+IF((Z332/AI332&gt;'Parámetros Proyección'!$G$14),0,'Parámetros Proyección'!$G$14)+IF((AF332/AI332&gt;'Parámetros Proyección'!$G$15),0,'Parámetros Proyección'!$G$15)))</f>
        <v/>
      </c>
      <c r="AH332" s="35">
        <f>AF332+AG332</f>
        <v/>
      </c>
      <c r="AI332" s="35">
        <f>H332+N332+T332+Z332+AF332</f>
        <v/>
      </c>
      <c r="AJ332" s="33">
        <f>AF332/AI332</f>
        <v/>
      </c>
      <c r="AK332">
        <f>IF(AJ332&gt;'Parámetros Proyección'!$B$5,1,0)</f>
        <v/>
      </c>
      <c r="AL332" s="35">
        <f>G332+M332+S332+Y332+AE332</f>
        <v/>
      </c>
      <c r="AM332" s="35">
        <f>AM331+D332</f>
        <v/>
      </c>
      <c r="AN332" s="35">
        <f>AN331+AL332</f>
        <v/>
      </c>
      <c r="AO332" s="35">
        <f>J332+P332+V332+AB332+AH332</f>
        <v/>
      </c>
    </row>
    <row r="333">
      <c r="A333" t="n">
        <v>330</v>
      </c>
      <c r="B333" s="34">
        <f>EDATE(B332,1)</f>
        <v/>
      </c>
      <c r="C333">
        <f>YEAR(B333)</f>
        <v/>
      </c>
      <c r="D333" s="35">
        <f>'Parámetros Proyección'!$B$3*(1+'Parámetros Proyección'!$B$4)^(C333-YEAR('Parámetros Proyección'!$B$6))</f>
        <v/>
      </c>
      <c r="E333" s="35">
        <f>J332</f>
        <v/>
      </c>
      <c r="F333" s="35">
        <f>E333*(1+'Parámetros Proyección'!$E$11)</f>
        <v/>
      </c>
      <c r="G333" s="35">
        <f>F333*'Parámetros Proyección'!$F$11</f>
        <v/>
      </c>
      <c r="H333" s="35">
        <f>F333+G333</f>
        <v/>
      </c>
      <c r="I333" s="35">
        <f>IF((H333/AI333&gt;'Parámetros Proyección'!$G$11),0,D333*'Parámetros Proyección'!$G$11/(IF((H333/AI333&gt;'Parámetros Proyección'!$G$11),0,'Parámetros Proyección'!$G$11)+IF((N333/AI333&gt;'Parámetros Proyección'!$G$12),0,'Parámetros Proyección'!$G$12)+IF((T333/AI333&gt;'Parámetros Proyección'!$G$13),0,'Parámetros Proyección'!$G$13)+IF((Z333/AI333&gt;'Parámetros Proyección'!$G$14),0,'Parámetros Proyección'!$G$14)+IF((AF333/AI333&gt;'Parámetros Proyección'!$G$15),0,'Parámetros Proyección'!$G$15)))</f>
        <v/>
      </c>
      <c r="J333" s="35">
        <f>H333+I333</f>
        <v/>
      </c>
      <c r="K333" s="35">
        <f>P332</f>
        <v/>
      </c>
      <c r="L333" s="35">
        <f>K333*(1+'Parámetros Proyección'!$E$12)</f>
        <v/>
      </c>
      <c r="M333" s="35">
        <f>L333*'Parámetros Proyección'!$F$12</f>
        <v/>
      </c>
      <c r="N333" s="35">
        <f>L333+M333</f>
        <v/>
      </c>
      <c r="O333" s="35">
        <f>IF((N333/AI333&gt;'Parámetros Proyección'!$G$12),0,D333*'Parámetros Proyección'!$G$12/(IF((H333/AI333&gt;'Parámetros Proyección'!$G$11),0,'Parámetros Proyección'!$G$11)+IF((N333/AI333&gt;'Parámetros Proyección'!$G$12),0,'Parámetros Proyección'!$G$12)+IF((T333/AI333&gt;'Parámetros Proyección'!$G$13),0,'Parámetros Proyección'!$G$13)+IF((Z333/AI333&gt;'Parámetros Proyección'!$G$14),0,'Parámetros Proyección'!$G$14)+IF((AF333/AI333&gt;'Parámetros Proyección'!$G$15),0,'Parámetros Proyección'!$G$15)))</f>
        <v/>
      </c>
      <c r="P333" s="35">
        <f>N333+O333</f>
        <v/>
      </c>
      <c r="Q333" s="35">
        <f>V332</f>
        <v/>
      </c>
      <c r="R333" s="35">
        <f>Q333*(1+'Parámetros Proyección'!$E$13)</f>
        <v/>
      </c>
      <c r="S333" s="35">
        <f>R333*'Parámetros Proyección'!$F$13</f>
        <v/>
      </c>
      <c r="T333" s="35">
        <f>R333+S333</f>
        <v/>
      </c>
      <c r="U333" s="35">
        <f>IF((T333/AI333&gt;'Parámetros Proyección'!$G$13),0,D333*'Parámetros Proyección'!$G$13/(IF((H333/AI333&gt;'Parámetros Proyección'!$G$11),0,'Parámetros Proyección'!$G$11)+IF((N333/AI333&gt;'Parámetros Proyección'!$G$12),0,'Parámetros Proyección'!$G$12)+IF((T333/AI333&gt;'Parámetros Proyección'!$G$13),0,'Parámetros Proyección'!$G$13)+IF((Z333/AI333&gt;'Parámetros Proyección'!$G$14),0,'Parámetros Proyección'!$G$14)+IF((AF333/AI333&gt;'Parámetros Proyección'!$G$15),0,'Parámetros Proyección'!$G$15)))</f>
        <v/>
      </c>
      <c r="V333" s="35">
        <f>T333+U333</f>
        <v/>
      </c>
      <c r="W333" s="35">
        <f>AB332</f>
        <v/>
      </c>
      <c r="X333" s="35">
        <f>W333*(1+'Parámetros Proyección'!$E$14)</f>
        <v/>
      </c>
      <c r="Y333" s="35">
        <f>X333*'Parámetros Proyección'!$F$14</f>
        <v/>
      </c>
      <c r="Z333" s="35">
        <f>X333+Y333</f>
        <v/>
      </c>
      <c r="AA333" s="35">
        <f>IF((Z333/AI333&gt;'Parámetros Proyección'!$G$14),0,D333*'Parámetros Proyección'!$G$14/(IF((H333/AI333&gt;'Parámetros Proyección'!$G$11),0,'Parámetros Proyección'!$G$11)+IF((N333/AI333&gt;'Parámetros Proyección'!$G$12),0,'Parámetros Proyección'!$G$12)+IF((T333/AI333&gt;'Parámetros Proyección'!$G$13),0,'Parámetros Proyección'!$G$13)+IF((Z333/AI333&gt;'Parámetros Proyección'!$G$14),0,'Parámetros Proyección'!$G$14)+IF((AF333/AI333&gt;'Parámetros Proyección'!$G$15),0,'Parámetros Proyección'!$G$15)))</f>
        <v/>
      </c>
      <c r="AB333" s="35">
        <f>Z333+AA333</f>
        <v/>
      </c>
      <c r="AC333" s="35">
        <f>AH332</f>
        <v/>
      </c>
      <c r="AD333" s="35">
        <f>AC333*(1+'Parámetros Proyección'!$E$15)</f>
        <v/>
      </c>
      <c r="AE333" s="35">
        <f>AD333*'Parámetros Proyección'!$F$15</f>
        <v/>
      </c>
      <c r="AF333" s="35">
        <f>AD333+AE333</f>
        <v/>
      </c>
      <c r="AG333" s="35">
        <f>IF((AF333/AI333&gt;'Parámetros Proyección'!$G$15),0,D333*'Parámetros Proyección'!$G$15/(IF((H333/AI333&gt;'Parámetros Proyección'!$G$11),0,'Parámetros Proyección'!$G$11)+IF((N333/AI333&gt;'Parámetros Proyección'!$G$12),0,'Parámetros Proyección'!$G$12)+IF((T333/AI333&gt;'Parámetros Proyección'!$G$13),0,'Parámetros Proyección'!$G$13)+IF((Z333/AI333&gt;'Parámetros Proyección'!$G$14),0,'Parámetros Proyección'!$G$14)+IF((AF333/AI333&gt;'Parámetros Proyección'!$G$15),0,'Parámetros Proyección'!$G$15)))</f>
        <v/>
      </c>
      <c r="AH333" s="35">
        <f>AF333+AG333</f>
        <v/>
      </c>
      <c r="AI333" s="35">
        <f>H333+N333+T333+Z333+AF333</f>
        <v/>
      </c>
      <c r="AJ333" s="33">
        <f>AF333/AI333</f>
        <v/>
      </c>
      <c r="AK333">
        <f>IF(AJ333&gt;'Parámetros Proyección'!$B$5,1,0)</f>
        <v/>
      </c>
      <c r="AL333" s="35">
        <f>G333+M333+S333+Y333+AE333</f>
        <v/>
      </c>
      <c r="AM333" s="35">
        <f>AM332+D333</f>
        <v/>
      </c>
      <c r="AN333" s="35">
        <f>AN332+AL333</f>
        <v/>
      </c>
      <c r="AO333" s="35">
        <f>J333+P333+V333+AB333+AH333</f>
        <v/>
      </c>
    </row>
    <row r="334">
      <c r="A334" t="n">
        <v>331</v>
      </c>
      <c r="B334" s="34">
        <f>EDATE(B333,1)</f>
        <v/>
      </c>
      <c r="C334">
        <f>YEAR(B334)</f>
        <v/>
      </c>
      <c r="D334" s="35">
        <f>'Parámetros Proyección'!$B$3*(1+'Parámetros Proyección'!$B$4)^(C334-YEAR('Parámetros Proyección'!$B$6))</f>
        <v/>
      </c>
      <c r="E334" s="35">
        <f>J333</f>
        <v/>
      </c>
      <c r="F334" s="35">
        <f>E334*(1+'Parámetros Proyección'!$E$11)</f>
        <v/>
      </c>
      <c r="G334" s="35">
        <f>F334*'Parámetros Proyección'!$F$11</f>
        <v/>
      </c>
      <c r="H334" s="35">
        <f>F334+G334</f>
        <v/>
      </c>
      <c r="I334" s="35">
        <f>IF((H334/AI334&gt;'Parámetros Proyección'!$G$11),0,D334*'Parámetros Proyección'!$G$11/(IF((H334/AI334&gt;'Parámetros Proyección'!$G$11),0,'Parámetros Proyección'!$G$11)+IF((N334/AI334&gt;'Parámetros Proyección'!$G$12),0,'Parámetros Proyección'!$G$12)+IF((T334/AI334&gt;'Parámetros Proyección'!$G$13),0,'Parámetros Proyección'!$G$13)+IF((Z334/AI334&gt;'Parámetros Proyección'!$G$14),0,'Parámetros Proyección'!$G$14)+IF((AF334/AI334&gt;'Parámetros Proyección'!$G$15),0,'Parámetros Proyección'!$G$15)))</f>
        <v/>
      </c>
      <c r="J334" s="35">
        <f>H334+I334</f>
        <v/>
      </c>
      <c r="K334" s="35">
        <f>P333</f>
        <v/>
      </c>
      <c r="L334" s="35">
        <f>K334*(1+'Parámetros Proyección'!$E$12)</f>
        <v/>
      </c>
      <c r="M334" s="35">
        <f>L334*'Parámetros Proyección'!$F$12</f>
        <v/>
      </c>
      <c r="N334" s="35">
        <f>L334+M334</f>
        <v/>
      </c>
      <c r="O334" s="35">
        <f>IF((N334/AI334&gt;'Parámetros Proyección'!$G$12),0,D334*'Parámetros Proyección'!$G$12/(IF((H334/AI334&gt;'Parámetros Proyección'!$G$11),0,'Parámetros Proyección'!$G$11)+IF((N334/AI334&gt;'Parámetros Proyección'!$G$12),0,'Parámetros Proyección'!$G$12)+IF((T334/AI334&gt;'Parámetros Proyección'!$G$13),0,'Parámetros Proyección'!$G$13)+IF((Z334/AI334&gt;'Parámetros Proyección'!$G$14),0,'Parámetros Proyección'!$G$14)+IF((AF334/AI334&gt;'Parámetros Proyección'!$G$15),0,'Parámetros Proyección'!$G$15)))</f>
        <v/>
      </c>
      <c r="P334" s="35">
        <f>N334+O334</f>
        <v/>
      </c>
      <c r="Q334" s="35">
        <f>V333</f>
        <v/>
      </c>
      <c r="R334" s="35">
        <f>Q334*(1+'Parámetros Proyección'!$E$13)</f>
        <v/>
      </c>
      <c r="S334" s="35">
        <f>R334*'Parámetros Proyección'!$F$13</f>
        <v/>
      </c>
      <c r="T334" s="35">
        <f>R334+S334</f>
        <v/>
      </c>
      <c r="U334" s="35">
        <f>IF((T334/AI334&gt;'Parámetros Proyección'!$G$13),0,D334*'Parámetros Proyección'!$G$13/(IF((H334/AI334&gt;'Parámetros Proyección'!$G$11),0,'Parámetros Proyección'!$G$11)+IF((N334/AI334&gt;'Parámetros Proyección'!$G$12),0,'Parámetros Proyección'!$G$12)+IF((T334/AI334&gt;'Parámetros Proyección'!$G$13),0,'Parámetros Proyección'!$G$13)+IF((Z334/AI334&gt;'Parámetros Proyección'!$G$14),0,'Parámetros Proyección'!$G$14)+IF((AF334/AI334&gt;'Parámetros Proyección'!$G$15),0,'Parámetros Proyección'!$G$15)))</f>
        <v/>
      </c>
      <c r="V334" s="35">
        <f>T334+U334</f>
        <v/>
      </c>
      <c r="W334" s="35">
        <f>AB333</f>
        <v/>
      </c>
      <c r="X334" s="35">
        <f>W334*(1+'Parámetros Proyección'!$E$14)</f>
        <v/>
      </c>
      <c r="Y334" s="35">
        <f>X334*'Parámetros Proyección'!$F$14</f>
        <v/>
      </c>
      <c r="Z334" s="35">
        <f>X334+Y334</f>
        <v/>
      </c>
      <c r="AA334" s="35">
        <f>IF((Z334/AI334&gt;'Parámetros Proyección'!$G$14),0,D334*'Parámetros Proyección'!$G$14/(IF((H334/AI334&gt;'Parámetros Proyección'!$G$11),0,'Parámetros Proyección'!$G$11)+IF((N334/AI334&gt;'Parámetros Proyección'!$G$12),0,'Parámetros Proyección'!$G$12)+IF((T334/AI334&gt;'Parámetros Proyección'!$G$13),0,'Parámetros Proyección'!$G$13)+IF((Z334/AI334&gt;'Parámetros Proyección'!$G$14),0,'Parámetros Proyección'!$G$14)+IF((AF334/AI334&gt;'Parámetros Proyección'!$G$15),0,'Parámetros Proyección'!$G$15)))</f>
        <v/>
      </c>
      <c r="AB334" s="35">
        <f>Z334+AA334</f>
        <v/>
      </c>
      <c r="AC334" s="35">
        <f>AH333</f>
        <v/>
      </c>
      <c r="AD334" s="35">
        <f>AC334*(1+'Parámetros Proyección'!$E$15)</f>
        <v/>
      </c>
      <c r="AE334" s="35">
        <f>AD334*'Parámetros Proyección'!$F$15</f>
        <v/>
      </c>
      <c r="AF334" s="35">
        <f>AD334+AE334</f>
        <v/>
      </c>
      <c r="AG334" s="35">
        <f>IF((AF334/AI334&gt;'Parámetros Proyección'!$G$15),0,D334*'Parámetros Proyección'!$G$15/(IF((H334/AI334&gt;'Parámetros Proyección'!$G$11),0,'Parámetros Proyección'!$G$11)+IF((N334/AI334&gt;'Parámetros Proyección'!$G$12),0,'Parámetros Proyección'!$G$12)+IF((T334/AI334&gt;'Parámetros Proyección'!$G$13),0,'Parámetros Proyección'!$G$13)+IF((Z334/AI334&gt;'Parámetros Proyección'!$G$14),0,'Parámetros Proyección'!$G$14)+IF((AF334/AI334&gt;'Parámetros Proyección'!$G$15),0,'Parámetros Proyección'!$G$15)))</f>
        <v/>
      </c>
      <c r="AH334" s="35">
        <f>AF334+AG334</f>
        <v/>
      </c>
      <c r="AI334" s="35">
        <f>H334+N334+T334+Z334+AF334</f>
        <v/>
      </c>
      <c r="AJ334" s="33">
        <f>AF334/AI334</f>
        <v/>
      </c>
      <c r="AK334">
        <f>IF(AJ334&gt;'Parámetros Proyección'!$B$5,1,0)</f>
        <v/>
      </c>
      <c r="AL334" s="35">
        <f>G334+M334+S334+Y334+AE334</f>
        <v/>
      </c>
      <c r="AM334" s="35">
        <f>AM333+D334</f>
        <v/>
      </c>
      <c r="AN334" s="35">
        <f>AN333+AL334</f>
        <v/>
      </c>
      <c r="AO334" s="35">
        <f>J334+P334+V334+AB334+AH334</f>
        <v/>
      </c>
    </row>
    <row r="335">
      <c r="A335" t="n">
        <v>332</v>
      </c>
      <c r="B335" s="34">
        <f>EDATE(B334,1)</f>
        <v/>
      </c>
      <c r="C335">
        <f>YEAR(B335)</f>
        <v/>
      </c>
      <c r="D335" s="35">
        <f>'Parámetros Proyección'!$B$3*(1+'Parámetros Proyección'!$B$4)^(C335-YEAR('Parámetros Proyección'!$B$6))</f>
        <v/>
      </c>
      <c r="E335" s="35">
        <f>J334</f>
        <v/>
      </c>
      <c r="F335" s="35">
        <f>E335*(1+'Parámetros Proyección'!$E$11)</f>
        <v/>
      </c>
      <c r="G335" s="35">
        <f>F335*'Parámetros Proyección'!$F$11</f>
        <v/>
      </c>
      <c r="H335" s="35">
        <f>F335+G335</f>
        <v/>
      </c>
      <c r="I335" s="35">
        <f>IF((H335/AI335&gt;'Parámetros Proyección'!$G$11),0,D335*'Parámetros Proyección'!$G$11/(IF((H335/AI335&gt;'Parámetros Proyección'!$G$11),0,'Parámetros Proyección'!$G$11)+IF((N335/AI335&gt;'Parámetros Proyección'!$G$12),0,'Parámetros Proyección'!$G$12)+IF((T335/AI335&gt;'Parámetros Proyección'!$G$13),0,'Parámetros Proyección'!$G$13)+IF((Z335/AI335&gt;'Parámetros Proyección'!$G$14),0,'Parámetros Proyección'!$G$14)+IF((AF335/AI335&gt;'Parámetros Proyección'!$G$15),0,'Parámetros Proyección'!$G$15)))</f>
        <v/>
      </c>
      <c r="J335" s="35">
        <f>H335+I335</f>
        <v/>
      </c>
      <c r="K335" s="35">
        <f>P334</f>
        <v/>
      </c>
      <c r="L335" s="35">
        <f>K335*(1+'Parámetros Proyección'!$E$12)</f>
        <v/>
      </c>
      <c r="M335" s="35">
        <f>L335*'Parámetros Proyección'!$F$12</f>
        <v/>
      </c>
      <c r="N335" s="35">
        <f>L335+M335</f>
        <v/>
      </c>
      <c r="O335" s="35">
        <f>IF((N335/AI335&gt;'Parámetros Proyección'!$G$12),0,D335*'Parámetros Proyección'!$G$12/(IF((H335/AI335&gt;'Parámetros Proyección'!$G$11),0,'Parámetros Proyección'!$G$11)+IF((N335/AI335&gt;'Parámetros Proyección'!$G$12),0,'Parámetros Proyección'!$G$12)+IF((T335/AI335&gt;'Parámetros Proyección'!$G$13),0,'Parámetros Proyección'!$G$13)+IF((Z335/AI335&gt;'Parámetros Proyección'!$G$14),0,'Parámetros Proyección'!$G$14)+IF((AF335/AI335&gt;'Parámetros Proyección'!$G$15),0,'Parámetros Proyección'!$G$15)))</f>
        <v/>
      </c>
      <c r="P335" s="35">
        <f>N335+O335</f>
        <v/>
      </c>
      <c r="Q335" s="35">
        <f>V334</f>
        <v/>
      </c>
      <c r="R335" s="35">
        <f>Q335*(1+'Parámetros Proyección'!$E$13)</f>
        <v/>
      </c>
      <c r="S335" s="35">
        <f>R335*'Parámetros Proyección'!$F$13</f>
        <v/>
      </c>
      <c r="T335" s="35">
        <f>R335+S335</f>
        <v/>
      </c>
      <c r="U335" s="35">
        <f>IF((T335/AI335&gt;'Parámetros Proyección'!$G$13),0,D335*'Parámetros Proyección'!$G$13/(IF((H335/AI335&gt;'Parámetros Proyección'!$G$11),0,'Parámetros Proyección'!$G$11)+IF((N335/AI335&gt;'Parámetros Proyección'!$G$12),0,'Parámetros Proyección'!$G$12)+IF((T335/AI335&gt;'Parámetros Proyección'!$G$13),0,'Parámetros Proyección'!$G$13)+IF((Z335/AI335&gt;'Parámetros Proyección'!$G$14),0,'Parámetros Proyección'!$G$14)+IF((AF335/AI335&gt;'Parámetros Proyección'!$G$15),0,'Parámetros Proyección'!$G$15)))</f>
        <v/>
      </c>
      <c r="V335" s="35">
        <f>T335+U335</f>
        <v/>
      </c>
      <c r="W335" s="35">
        <f>AB334</f>
        <v/>
      </c>
      <c r="X335" s="35">
        <f>W335*(1+'Parámetros Proyección'!$E$14)</f>
        <v/>
      </c>
      <c r="Y335" s="35">
        <f>X335*'Parámetros Proyección'!$F$14</f>
        <v/>
      </c>
      <c r="Z335" s="35">
        <f>X335+Y335</f>
        <v/>
      </c>
      <c r="AA335" s="35">
        <f>IF((Z335/AI335&gt;'Parámetros Proyección'!$G$14),0,D335*'Parámetros Proyección'!$G$14/(IF((H335/AI335&gt;'Parámetros Proyección'!$G$11),0,'Parámetros Proyección'!$G$11)+IF((N335/AI335&gt;'Parámetros Proyección'!$G$12),0,'Parámetros Proyección'!$G$12)+IF((T335/AI335&gt;'Parámetros Proyección'!$G$13),0,'Parámetros Proyección'!$G$13)+IF((Z335/AI335&gt;'Parámetros Proyección'!$G$14),0,'Parámetros Proyección'!$G$14)+IF((AF335/AI335&gt;'Parámetros Proyección'!$G$15),0,'Parámetros Proyección'!$G$15)))</f>
        <v/>
      </c>
      <c r="AB335" s="35">
        <f>Z335+AA335</f>
        <v/>
      </c>
      <c r="AC335" s="35">
        <f>AH334</f>
        <v/>
      </c>
      <c r="AD335" s="35">
        <f>AC335*(1+'Parámetros Proyección'!$E$15)</f>
        <v/>
      </c>
      <c r="AE335" s="35">
        <f>AD335*'Parámetros Proyección'!$F$15</f>
        <v/>
      </c>
      <c r="AF335" s="35">
        <f>AD335+AE335</f>
        <v/>
      </c>
      <c r="AG335" s="35">
        <f>IF((AF335/AI335&gt;'Parámetros Proyección'!$G$15),0,D335*'Parámetros Proyección'!$G$15/(IF((H335/AI335&gt;'Parámetros Proyección'!$G$11),0,'Parámetros Proyección'!$G$11)+IF((N335/AI335&gt;'Parámetros Proyección'!$G$12),0,'Parámetros Proyección'!$G$12)+IF((T335/AI335&gt;'Parámetros Proyección'!$G$13),0,'Parámetros Proyección'!$G$13)+IF((Z335/AI335&gt;'Parámetros Proyección'!$G$14),0,'Parámetros Proyección'!$G$14)+IF((AF335/AI335&gt;'Parámetros Proyección'!$G$15),0,'Parámetros Proyección'!$G$15)))</f>
        <v/>
      </c>
      <c r="AH335" s="35">
        <f>AF335+AG335</f>
        <v/>
      </c>
      <c r="AI335" s="35">
        <f>H335+N335+T335+Z335+AF335</f>
        <v/>
      </c>
      <c r="AJ335" s="33">
        <f>AF335/AI335</f>
        <v/>
      </c>
      <c r="AK335">
        <f>IF(AJ335&gt;'Parámetros Proyección'!$B$5,1,0)</f>
        <v/>
      </c>
      <c r="AL335" s="35">
        <f>G335+M335+S335+Y335+AE335</f>
        <v/>
      </c>
      <c r="AM335" s="35">
        <f>AM334+D335</f>
        <v/>
      </c>
      <c r="AN335" s="35">
        <f>AN334+AL335</f>
        <v/>
      </c>
      <c r="AO335" s="35">
        <f>J335+P335+V335+AB335+AH335</f>
        <v/>
      </c>
    </row>
    <row r="336">
      <c r="A336" t="n">
        <v>333</v>
      </c>
      <c r="B336" s="34">
        <f>EDATE(B335,1)</f>
        <v/>
      </c>
      <c r="C336">
        <f>YEAR(B336)</f>
        <v/>
      </c>
      <c r="D336" s="35">
        <f>'Parámetros Proyección'!$B$3*(1+'Parámetros Proyección'!$B$4)^(C336-YEAR('Parámetros Proyección'!$B$6))</f>
        <v/>
      </c>
      <c r="E336" s="35">
        <f>J335</f>
        <v/>
      </c>
      <c r="F336" s="35">
        <f>E336*(1+'Parámetros Proyección'!$E$11)</f>
        <v/>
      </c>
      <c r="G336" s="35">
        <f>F336*'Parámetros Proyección'!$F$11</f>
        <v/>
      </c>
      <c r="H336" s="35">
        <f>F336+G336</f>
        <v/>
      </c>
      <c r="I336" s="35">
        <f>IF((H336/AI336&gt;'Parámetros Proyección'!$G$11),0,D336*'Parámetros Proyección'!$G$11/(IF((H336/AI336&gt;'Parámetros Proyección'!$G$11),0,'Parámetros Proyección'!$G$11)+IF((N336/AI336&gt;'Parámetros Proyección'!$G$12),0,'Parámetros Proyección'!$G$12)+IF((T336/AI336&gt;'Parámetros Proyección'!$G$13),0,'Parámetros Proyección'!$G$13)+IF((Z336/AI336&gt;'Parámetros Proyección'!$G$14),0,'Parámetros Proyección'!$G$14)+IF((AF336/AI336&gt;'Parámetros Proyección'!$G$15),0,'Parámetros Proyección'!$G$15)))</f>
        <v/>
      </c>
      <c r="J336" s="35">
        <f>H336+I336</f>
        <v/>
      </c>
      <c r="K336" s="35">
        <f>P335</f>
        <v/>
      </c>
      <c r="L336" s="35">
        <f>K336*(1+'Parámetros Proyección'!$E$12)</f>
        <v/>
      </c>
      <c r="M336" s="35">
        <f>L336*'Parámetros Proyección'!$F$12</f>
        <v/>
      </c>
      <c r="N336" s="35">
        <f>L336+M336</f>
        <v/>
      </c>
      <c r="O336" s="35">
        <f>IF((N336/AI336&gt;'Parámetros Proyección'!$G$12),0,D336*'Parámetros Proyección'!$G$12/(IF((H336/AI336&gt;'Parámetros Proyección'!$G$11),0,'Parámetros Proyección'!$G$11)+IF((N336/AI336&gt;'Parámetros Proyección'!$G$12),0,'Parámetros Proyección'!$G$12)+IF((T336/AI336&gt;'Parámetros Proyección'!$G$13),0,'Parámetros Proyección'!$G$13)+IF((Z336/AI336&gt;'Parámetros Proyección'!$G$14),0,'Parámetros Proyección'!$G$14)+IF((AF336/AI336&gt;'Parámetros Proyección'!$G$15),0,'Parámetros Proyección'!$G$15)))</f>
        <v/>
      </c>
      <c r="P336" s="35">
        <f>N336+O336</f>
        <v/>
      </c>
      <c r="Q336" s="35">
        <f>V335</f>
        <v/>
      </c>
      <c r="R336" s="35">
        <f>Q336*(1+'Parámetros Proyección'!$E$13)</f>
        <v/>
      </c>
      <c r="S336" s="35">
        <f>R336*'Parámetros Proyección'!$F$13</f>
        <v/>
      </c>
      <c r="T336" s="35">
        <f>R336+S336</f>
        <v/>
      </c>
      <c r="U336" s="35">
        <f>IF((T336/AI336&gt;'Parámetros Proyección'!$G$13),0,D336*'Parámetros Proyección'!$G$13/(IF((H336/AI336&gt;'Parámetros Proyección'!$G$11),0,'Parámetros Proyección'!$G$11)+IF((N336/AI336&gt;'Parámetros Proyección'!$G$12),0,'Parámetros Proyección'!$G$12)+IF((T336/AI336&gt;'Parámetros Proyección'!$G$13),0,'Parámetros Proyección'!$G$13)+IF((Z336/AI336&gt;'Parámetros Proyección'!$G$14),0,'Parámetros Proyección'!$G$14)+IF((AF336/AI336&gt;'Parámetros Proyección'!$G$15),0,'Parámetros Proyección'!$G$15)))</f>
        <v/>
      </c>
      <c r="V336" s="35">
        <f>T336+U336</f>
        <v/>
      </c>
      <c r="W336" s="35">
        <f>AB335</f>
        <v/>
      </c>
      <c r="X336" s="35">
        <f>W336*(1+'Parámetros Proyección'!$E$14)</f>
        <v/>
      </c>
      <c r="Y336" s="35">
        <f>X336*'Parámetros Proyección'!$F$14</f>
        <v/>
      </c>
      <c r="Z336" s="35">
        <f>X336+Y336</f>
        <v/>
      </c>
      <c r="AA336" s="35">
        <f>IF((Z336/AI336&gt;'Parámetros Proyección'!$G$14),0,D336*'Parámetros Proyección'!$G$14/(IF((H336/AI336&gt;'Parámetros Proyección'!$G$11),0,'Parámetros Proyección'!$G$11)+IF((N336/AI336&gt;'Parámetros Proyección'!$G$12),0,'Parámetros Proyección'!$G$12)+IF((T336/AI336&gt;'Parámetros Proyección'!$G$13),0,'Parámetros Proyección'!$G$13)+IF((Z336/AI336&gt;'Parámetros Proyección'!$G$14),0,'Parámetros Proyección'!$G$14)+IF((AF336/AI336&gt;'Parámetros Proyección'!$G$15),0,'Parámetros Proyección'!$G$15)))</f>
        <v/>
      </c>
      <c r="AB336" s="35">
        <f>Z336+AA336</f>
        <v/>
      </c>
      <c r="AC336" s="35">
        <f>AH335</f>
        <v/>
      </c>
      <c r="AD336" s="35">
        <f>AC336*(1+'Parámetros Proyección'!$E$15)</f>
        <v/>
      </c>
      <c r="AE336" s="35">
        <f>AD336*'Parámetros Proyección'!$F$15</f>
        <v/>
      </c>
      <c r="AF336" s="35">
        <f>AD336+AE336</f>
        <v/>
      </c>
      <c r="AG336" s="35">
        <f>IF((AF336/AI336&gt;'Parámetros Proyección'!$G$15),0,D336*'Parámetros Proyección'!$G$15/(IF((H336/AI336&gt;'Parámetros Proyección'!$G$11),0,'Parámetros Proyección'!$G$11)+IF((N336/AI336&gt;'Parámetros Proyección'!$G$12),0,'Parámetros Proyección'!$G$12)+IF((T336/AI336&gt;'Parámetros Proyección'!$G$13),0,'Parámetros Proyección'!$G$13)+IF((Z336/AI336&gt;'Parámetros Proyección'!$G$14),0,'Parámetros Proyección'!$G$14)+IF((AF336/AI336&gt;'Parámetros Proyección'!$G$15),0,'Parámetros Proyección'!$G$15)))</f>
        <v/>
      </c>
      <c r="AH336" s="35">
        <f>AF336+AG336</f>
        <v/>
      </c>
      <c r="AI336" s="35">
        <f>H336+N336+T336+Z336+AF336</f>
        <v/>
      </c>
      <c r="AJ336" s="33">
        <f>AF336/AI336</f>
        <v/>
      </c>
      <c r="AK336">
        <f>IF(AJ336&gt;'Parámetros Proyección'!$B$5,1,0)</f>
        <v/>
      </c>
      <c r="AL336" s="35">
        <f>G336+M336+S336+Y336+AE336</f>
        <v/>
      </c>
      <c r="AM336" s="35">
        <f>AM335+D336</f>
        <v/>
      </c>
      <c r="AN336" s="35">
        <f>AN335+AL336</f>
        <v/>
      </c>
      <c r="AO336" s="35">
        <f>J336+P336+V336+AB336+AH336</f>
        <v/>
      </c>
    </row>
    <row r="337">
      <c r="A337" t="n">
        <v>334</v>
      </c>
      <c r="B337" s="34">
        <f>EDATE(B336,1)</f>
        <v/>
      </c>
      <c r="C337">
        <f>YEAR(B337)</f>
        <v/>
      </c>
      <c r="D337" s="35">
        <f>'Parámetros Proyección'!$B$3*(1+'Parámetros Proyección'!$B$4)^(C337-YEAR('Parámetros Proyección'!$B$6))</f>
        <v/>
      </c>
      <c r="E337" s="35">
        <f>J336</f>
        <v/>
      </c>
      <c r="F337" s="35">
        <f>E337*(1+'Parámetros Proyección'!$E$11)</f>
        <v/>
      </c>
      <c r="G337" s="35">
        <f>F337*'Parámetros Proyección'!$F$11</f>
        <v/>
      </c>
      <c r="H337" s="35">
        <f>F337+G337</f>
        <v/>
      </c>
      <c r="I337" s="35">
        <f>IF((H337/AI337&gt;'Parámetros Proyección'!$G$11),0,D337*'Parámetros Proyección'!$G$11/(IF((H337/AI337&gt;'Parámetros Proyección'!$G$11),0,'Parámetros Proyección'!$G$11)+IF((N337/AI337&gt;'Parámetros Proyección'!$G$12),0,'Parámetros Proyección'!$G$12)+IF((T337/AI337&gt;'Parámetros Proyección'!$G$13),0,'Parámetros Proyección'!$G$13)+IF((Z337/AI337&gt;'Parámetros Proyección'!$G$14),0,'Parámetros Proyección'!$G$14)+IF((AF337/AI337&gt;'Parámetros Proyección'!$G$15),0,'Parámetros Proyección'!$G$15)))</f>
        <v/>
      </c>
      <c r="J337" s="35">
        <f>H337+I337</f>
        <v/>
      </c>
      <c r="K337" s="35">
        <f>P336</f>
        <v/>
      </c>
      <c r="L337" s="35">
        <f>K337*(1+'Parámetros Proyección'!$E$12)</f>
        <v/>
      </c>
      <c r="M337" s="35">
        <f>L337*'Parámetros Proyección'!$F$12</f>
        <v/>
      </c>
      <c r="N337" s="35">
        <f>L337+M337</f>
        <v/>
      </c>
      <c r="O337" s="35">
        <f>IF((N337/AI337&gt;'Parámetros Proyección'!$G$12),0,D337*'Parámetros Proyección'!$G$12/(IF((H337/AI337&gt;'Parámetros Proyección'!$G$11),0,'Parámetros Proyección'!$G$11)+IF((N337/AI337&gt;'Parámetros Proyección'!$G$12),0,'Parámetros Proyección'!$G$12)+IF((T337/AI337&gt;'Parámetros Proyección'!$G$13),0,'Parámetros Proyección'!$G$13)+IF((Z337/AI337&gt;'Parámetros Proyección'!$G$14),0,'Parámetros Proyección'!$G$14)+IF((AF337/AI337&gt;'Parámetros Proyección'!$G$15),0,'Parámetros Proyección'!$G$15)))</f>
        <v/>
      </c>
      <c r="P337" s="35">
        <f>N337+O337</f>
        <v/>
      </c>
      <c r="Q337" s="35">
        <f>V336</f>
        <v/>
      </c>
      <c r="R337" s="35">
        <f>Q337*(1+'Parámetros Proyección'!$E$13)</f>
        <v/>
      </c>
      <c r="S337" s="35">
        <f>R337*'Parámetros Proyección'!$F$13</f>
        <v/>
      </c>
      <c r="T337" s="35">
        <f>R337+S337</f>
        <v/>
      </c>
      <c r="U337" s="35">
        <f>IF((T337/AI337&gt;'Parámetros Proyección'!$G$13),0,D337*'Parámetros Proyección'!$G$13/(IF((H337/AI337&gt;'Parámetros Proyección'!$G$11),0,'Parámetros Proyección'!$G$11)+IF((N337/AI337&gt;'Parámetros Proyección'!$G$12),0,'Parámetros Proyección'!$G$12)+IF((T337/AI337&gt;'Parámetros Proyección'!$G$13),0,'Parámetros Proyección'!$G$13)+IF((Z337/AI337&gt;'Parámetros Proyección'!$G$14),0,'Parámetros Proyección'!$G$14)+IF((AF337/AI337&gt;'Parámetros Proyección'!$G$15),0,'Parámetros Proyección'!$G$15)))</f>
        <v/>
      </c>
      <c r="V337" s="35">
        <f>T337+U337</f>
        <v/>
      </c>
      <c r="W337" s="35">
        <f>AB336</f>
        <v/>
      </c>
      <c r="X337" s="35">
        <f>W337*(1+'Parámetros Proyección'!$E$14)</f>
        <v/>
      </c>
      <c r="Y337" s="35">
        <f>X337*'Parámetros Proyección'!$F$14</f>
        <v/>
      </c>
      <c r="Z337" s="35">
        <f>X337+Y337</f>
        <v/>
      </c>
      <c r="AA337" s="35">
        <f>IF((Z337/AI337&gt;'Parámetros Proyección'!$G$14),0,D337*'Parámetros Proyección'!$G$14/(IF((H337/AI337&gt;'Parámetros Proyección'!$G$11),0,'Parámetros Proyección'!$G$11)+IF((N337/AI337&gt;'Parámetros Proyección'!$G$12),0,'Parámetros Proyección'!$G$12)+IF((T337/AI337&gt;'Parámetros Proyección'!$G$13),0,'Parámetros Proyección'!$G$13)+IF((Z337/AI337&gt;'Parámetros Proyección'!$G$14),0,'Parámetros Proyección'!$G$14)+IF((AF337/AI337&gt;'Parámetros Proyección'!$G$15),0,'Parámetros Proyección'!$G$15)))</f>
        <v/>
      </c>
      <c r="AB337" s="35">
        <f>Z337+AA337</f>
        <v/>
      </c>
      <c r="AC337" s="35">
        <f>AH336</f>
        <v/>
      </c>
      <c r="AD337" s="35">
        <f>AC337*(1+'Parámetros Proyección'!$E$15)</f>
        <v/>
      </c>
      <c r="AE337" s="35">
        <f>AD337*'Parámetros Proyección'!$F$15</f>
        <v/>
      </c>
      <c r="AF337" s="35">
        <f>AD337+AE337</f>
        <v/>
      </c>
      <c r="AG337" s="35">
        <f>IF((AF337/AI337&gt;'Parámetros Proyección'!$G$15),0,D337*'Parámetros Proyección'!$G$15/(IF((H337/AI337&gt;'Parámetros Proyección'!$G$11),0,'Parámetros Proyección'!$G$11)+IF((N337/AI337&gt;'Parámetros Proyección'!$G$12),0,'Parámetros Proyección'!$G$12)+IF((T337/AI337&gt;'Parámetros Proyección'!$G$13),0,'Parámetros Proyección'!$G$13)+IF((Z337/AI337&gt;'Parámetros Proyección'!$G$14),0,'Parámetros Proyección'!$G$14)+IF((AF337/AI337&gt;'Parámetros Proyección'!$G$15),0,'Parámetros Proyección'!$G$15)))</f>
        <v/>
      </c>
      <c r="AH337" s="35">
        <f>AF337+AG337</f>
        <v/>
      </c>
      <c r="AI337" s="35">
        <f>H337+N337+T337+Z337+AF337</f>
        <v/>
      </c>
      <c r="AJ337" s="33">
        <f>AF337/AI337</f>
        <v/>
      </c>
      <c r="AK337">
        <f>IF(AJ337&gt;'Parámetros Proyección'!$B$5,1,0)</f>
        <v/>
      </c>
      <c r="AL337" s="35">
        <f>G337+M337+S337+Y337+AE337</f>
        <v/>
      </c>
      <c r="AM337" s="35">
        <f>AM336+D337</f>
        <v/>
      </c>
      <c r="AN337" s="35">
        <f>AN336+AL337</f>
        <v/>
      </c>
      <c r="AO337" s="35">
        <f>J337+P337+V337+AB337+AH337</f>
        <v/>
      </c>
    </row>
    <row r="338">
      <c r="A338" t="n">
        <v>335</v>
      </c>
      <c r="B338" s="34">
        <f>EDATE(B337,1)</f>
        <v/>
      </c>
      <c r="C338">
        <f>YEAR(B338)</f>
        <v/>
      </c>
      <c r="D338" s="35">
        <f>'Parámetros Proyección'!$B$3*(1+'Parámetros Proyección'!$B$4)^(C338-YEAR('Parámetros Proyección'!$B$6))</f>
        <v/>
      </c>
      <c r="E338" s="35">
        <f>J337</f>
        <v/>
      </c>
      <c r="F338" s="35">
        <f>E338*(1+'Parámetros Proyección'!$E$11)</f>
        <v/>
      </c>
      <c r="G338" s="35">
        <f>F338*'Parámetros Proyección'!$F$11</f>
        <v/>
      </c>
      <c r="H338" s="35">
        <f>F338+G338</f>
        <v/>
      </c>
      <c r="I338" s="35">
        <f>IF((H338/AI338&gt;'Parámetros Proyección'!$G$11),0,D338*'Parámetros Proyección'!$G$11/(IF((H338/AI338&gt;'Parámetros Proyección'!$G$11),0,'Parámetros Proyección'!$G$11)+IF((N338/AI338&gt;'Parámetros Proyección'!$G$12),0,'Parámetros Proyección'!$G$12)+IF((T338/AI338&gt;'Parámetros Proyección'!$G$13),0,'Parámetros Proyección'!$G$13)+IF((Z338/AI338&gt;'Parámetros Proyección'!$G$14),0,'Parámetros Proyección'!$G$14)+IF((AF338/AI338&gt;'Parámetros Proyección'!$G$15),0,'Parámetros Proyección'!$G$15)))</f>
        <v/>
      </c>
      <c r="J338" s="35">
        <f>H338+I338</f>
        <v/>
      </c>
      <c r="K338" s="35">
        <f>P337</f>
        <v/>
      </c>
      <c r="L338" s="35">
        <f>K338*(1+'Parámetros Proyección'!$E$12)</f>
        <v/>
      </c>
      <c r="M338" s="35">
        <f>L338*'Parámetros Proyección'!$F$12</f>
        <v/>
      </c>
      <c r="N338" s="35">
        <f>L338+M338</f>
        <v/>
      </c>
      <c r="O338" s="35">
        <f>IF((N338/AI338&gt;'Parámetros Proyección'!$G$12),0,D338*'Parámetros Proyección'!$G$12/(IF((H338/AI338&gt;'Parámetros Proyección'!$G$11),0,'Parámetros Proyección'!$G$11)+IF((N338/AI338&gt;'Parámetros Proyección'!$G$12),0,'Parámetros Proyección'!$G$12)+IF((T338/AI338&gt;'Parámetros Proyección'!$G$13),0,'Parámetros Proyección'!$G$13)+IF((Z338/AI338&gt;'Parámetros Proyección'!$G$14),0,'Parámetros Proyección'!$G$14)+IF((AF338/AI338&gt;'Parámetros Proyección'!$G$15),0,'Parámetros Proyección'!$G$15)))</f>
        <v/>
      </c>
      <c r="P338" s="35">
        <f>N338+O338</f>
        <v/>
      </c>
      <c r="Q338" s="35">
        <f>V337</f>
        <v/>
      </c>
      <c r="R338" s="35">
        <f>Q338*(1+'Parámetros Proyección'!$E$13)</f>
        <v/>
      </c>
      <c r="S338" s="35">
        <f>R338*'Parámetros Proyección'!$F$13</f>
        <v/>
      </c>
      <c r="T338" s="35">
        <f>R338+S338</f>
        <v/>
      </c>
      <c r="U338" s="35">
        <f>IF((T338/AI338&gt;'Parámetros Proyección'!$G$13),0,D338*'Parámetros Proyección'!$G$13/(IF((H338/AI338&gt;'Parámetros Proyección'!$G$11),0,'Parámetros Proyección'!$G$11)+IF((N338/AI338&gt;'Parámetros Proyección'!$G$12),0,'Parámetros Proyección'!$G$12)+IF((T338/AI338&gt;'Parámetros Proyección'!$G$13),0,'Parámetros Proyección'!$G$13)+IF((Z338/AI338&gt;'Parámetros Proyección'!$G$14),0,'Parámetros Proyección'!$G$14)+IF((AF338/AI338&gt;'Parámetros Proyección'!$G$15),0,'Parámetros Proyección'!$G$15)))</f>
        <v/>
      </c>
      <c r="V338" s="35">
        <f>T338+U338</f>
        <v/>
      </c>
      <c r="W338" s="35">
        <f>AB337</f>
        <v/>
      </c>
      <c r="X338" s="35">
        <f>W338*(1+'Parámetros Proyección'!$E$14)</f>
        <v/>
      </c>
      <c r="Y338" s="35">
        <f>X338*'Parámetros Proyección'!$F$14</f>
        <v/>
      </c>
      <c r="Z338" s="35">
        <f>X338+Y338</f>
        <v/>
      </c>
      <c r="AA338" s="35">
        <f>IF((Z338/AI338&gt;'Parámetros Proyección'!$G$14),0,D338*'Parámetros Proyección'!$G$14/(IF((H338/AI338&gt;'Parámetros Proyección'!$G$11),0,'Parámetros Proyección'!$G$11)+IF((N338/AI338&gt;'Parámetros Proyección'!$G$12),0,'Parámetros Proyección'!$G$12)+IF((T338/AI338&gt;'Parámetros Proyección'!$G$13),0,'Parámetros Proyección'!$G$13)+IF((Z338/AI338&gt;'Parámetros Proyección'!$G$14),0,'Parámetros Proyección'!$G$14)+IF((AF338/AI338&gt;'Parámetros Proyección'!$G$15),0,'Parámetros Proyección'!$G$15)))</f>
        <v/>
      </c>
      <c r="AB338" s="35">
        <f>Z338+AA338</f>
        <v/>
      </c>
      <c r="AC338" s="35">
        <f>AH337</f>
        <v/>
      </c>
      <c r="AD338" s="35">
        <f>AC338*(1+'Parámetros Proyección'!$E$15)</f>
        <v/>
      </c>
      <c r="AE338" s="35">
        <f>AD338*'Parámetros Proyección'!$F$15</f>
        <v/>
      </c>
      <c r="AF338" s="35">
        <f>AD338+AE338</f>
        <v/>
      </c>
      <c r="AG338" s="35">
        <f>IF((AF338/AI338&gt;'Parámetros Proyección'!$G$15),0,D338*'Parámetros Proyección'!$G$15/(IF((H338/AI338&gt;'Parámetros Proyección'!$G$11),0,'Parámetros Proyección'!$G$11)+IF((N338/AI338&gt;'Parámetros Proyección'!$G$12),0,'Parámetros Proyección'!$G$12)+IF((T338/AI338&gt;'Parámetros Proyección'!$G$13),0,'Parámetros Proyección'!$G$13)+IF((Z338/AI338&gt;'Parámetros Proyección'!$G$14),0,'Parámetros Proyección'!$G$14)+IF((AF338/AI338&gt;'Parámetros Proyección'!$G$15),0,'Parámetros Proyección'!$G$15)))</f>
        <v/>
      </c>
      <c r="AH338" s="35">
        <f>AF338+AG338</f>
        <v/>
      </c>
      <c r="AI338" s="35">
        <f>H338+N338+T338+Z338+AF338</f>
        <v/>
      </c>
      <c r="AJ338" s="33">
        <f>AF338/AI338</f>
        <v/>
      </c>
      <c r="AK338">
        <f>IF(AJ338&gt;'Parámetros Proyección'!$B$5,1,0)</f>
        <v/>
      </c>
      <c r="AL338" s="35">
        <f>G338+M338+S338+Y338+AE338</f>
        <v/>
      </c>
      <c r="AM338" s="35">
        <f>AM337+D338</f>
        <v/>
      </c>
      <c r="AN338" s="35">
        <f>AN337+AL338</f>
        <v/>
      </c>
      <c r="AO338" s="35">
        <f>J338+P338+V338+AB338+AH338</f>
        <v/>
      </c>
    </row>
    <row r="339">
      <c r="A339" t="n">
        <v>336</v>
      </c>
      <c r="B339" s="34">
        <f>EDATE(B338,1)</f>
        <v/>
      </c>
      <c r="C339">
        <f>YEAR(B339)</f>
        <v/>
      </c>
      <c r="D339" s="35">
        <f>'Parámetros Proyección'!$B$3*(1+'Parámetros Proyección'!$B$4)^(C339-YEAR('Parámetros Proyección'!$B$6))</f>
        <v/>
      </c>
      <c r="E339" s="35">
        <f>J338</f>
        <v/>
      </c>
      <c r="F339" s="35">
        <f>E339*(1+'Parámetros Proyección'!$E$11)</f>
        <v/>
      </c>
      <c r="G339" s="35">
        <f>F339*'Parámetros Proyección'!$F$11</f>
        <v/>
      </c>
      <c r="H339" s="35">
        <f>F339+G339</f>
        <v/>
      </c>
      <c r="I339" s="35">
        <f>IF((H339/AI339&gt;'Parámetros Proyección'!$G$11),0,D339*'Parámetros Proyección'!$G$11/(IF((H339/AI339&gt;'Parámetros Proyección'!$G$11),0,'Parámetros Proyección'!$G$11)+IF((N339/AI339&gt;'Parámetros Proyección'!$G$12),0,'Parámetros Proyección'!$G$12)+IF((T339/AI339&gt;'Parámetros Proyección'!$G$13),0,'Parámetros Proyección'!$G$13)+IF((Z339/AI339&gt;'Parámetros Proyección'!$G$14),0,'Parámetros Proyección'!$G$14)+IF((AF339/AI339&gt;'Parámetros Proyección'!$G$15),0,'Parámetros Proyección'!$G$15)))</f>
        <v/>
      </c>
      <c r="J339" s="35">
        <f>H339+I339</f>
        <v/>
      </c>
      <c r="K339" s="35">
        <f>P338</f>
        <v/>
      </c>
      <c r="L339" s="35">
        <f>K339*(1+'Parámetros Proyección'!$E$12)</f>
        <v/>
      </c>
      <c r="M339" s="35">
        <f>L339*'Parámetros Proyección'!$F$12</f>
        <v/>
      </c>
      <c r="N339" s="35">
        <f>L339+M339</f>
        <v/>
      </c>
      <c r="O339" s="35">
        <f>IF((N339/AI339&gt;'Parámetros Proyección'!$G$12),0,D339*'Parámetros Proyección'!$G$12/(IF((H339/AI339&gt;'Parámetros Proyección'!$G$11),0,'Parámetros Proyección'!$G$11)+IF((N339/AI339&gt;'Parámetros Proyección'!$G$12),0,'Parámetros Proyección'!$G$12)+IF((T339/AI339&gt;'Parámetros Proyección'!$G$13),0,'Parámetros Proyección'!$G$13)+IF((Z339/AI339&gt;'Parámetros Proyección'!$G$14),0,'Parámetros Proyección'!$G$14)+IF((AF339/AI339&gt;'Parámetros Proyección'!$G$15),0,'Parámetros Proyección'!$G$15)))</f>
        <v/>
      </c>
      <c r="P339" s="35">
        <f>N339+O339</f>
        <v/>
      </c>
      <c r="Q339" s="35">
        <f>V338</f>
        <v/>
      </c>
      <c r="R339" s="35">
        <f>Q339*(1+'Parámetros Proyección'!$E$13)</f>
        <v/>
      </c>
      <c r="S339" s="35">
        <f>R339*'Parámetros Proyección'!$F$13</f>
        <v/>
      </c>
      <c r="T339" s="35">
        <f>R339+S339</f>
        <v/>
      </c>
      <c r="U339" s="35">
        <f>IF((T339/AI339&gt;'Parámetros Proyección'!$G$13),0,D339*'Parámetros Proyección'!$G$13/(IF((H339/AI339&gt;'Parámetros Proyección'!$G$11),0,'Parámetros Proyección'!$G$11)+IF((N339/AI339&gt;'Parámetros Proyección'!$G$12),0,'Parámetros Proyección'!$G$12)+IF((T339/AI339&gt;'Parámetros Proyección'!$G$13),0,'Parámetros Proyección'!$G$13)+IF((Z339/AI339&gt;'Parámetros Proyección'!$G$14),0,'Parámetros Proyección'!$G$14)+IF((AF339/AI339&gt;'Parámetros Proyección'!$G$15),0,'Parámetros Proyección'!$G$15)))</f>
        <v/>
      </c>
      <c r="V339" s="35">
        <f>T339+U339</f>
        <v/>
      </c>
      <c r="W339" s="35">
        <f>AB338</f>
        <v/>
      </c>
      <c r="X339" s="35">
        <f>W339*(1+'Parámetros Proyección'!$E$14)</f>
        <v/>
      </c>
      <c r="Y339" s="35">
        <f>X339*'Parámetros Proyección'!$F$14</f>
        <v/>
      </c>
      <c r="Z339" s="35">
        <f>X339+Y339</f>
        <v/>
      </c>
      <c r="AA339" s="35">
        <f>IF((Z339/AI339&gt;'Parámetros Proyección'!$G$14),0,D339*'Parámetros Proyección'!$G$14/(IF((H339/AI339&gt;'Parámetros Proyección'!$G$11),0,'Parámetros Proyección'!$G$11)+IF((N339/AI339&gt;'Parámetros Proyección'!$G$12),0,'Parámetros Proyección'!$G$12)+IF((T339/AI339&gt;'Parámetros Proyección'!$G$13),0,'Parámetros Proyección'!$G$13)+IF((Z339/AI339&gt;'Parámetros Proyección'!$G$14),0,'Parámetros Proyección'!$G$14)+IF((AF339/AI339&gt;'Parámetros Proyección'!$G$15),0,'Parámetros Proyección'!$G$15)))</f>
        <v/>
      </c>
      <c r="AB339" s="35">
        <f>Z339+AA339</f>
        <v/>
      </c>
      <c r="AC339" s="35">
        <f>AH338</f>
        <v/>
      </c>
      <c r="AD339" s="35">
        <f>AC339*(1+'Parámetros Proyección'!$E$15)</f>
        <v/>
      </c>
      <c r="AE339" s="35">
        <f>AD339*'Parámetros Proyección'!$F$15</f>
        <v/>
      </c>
      <c r="AF339" s="35">
        <f>AD339+AE339</f>
        <v/>
      </c>
      <c r="AG339" s="35">
        <f>IF((AF339/AI339&gt;'Parámetros Proyección'!$G$15),0,D339*'Parámetros Proyección'!$G$15/(IF((H339/AI339&gt;'Parámetros Proyección'!$G$11),0,'Parámetros Proyección'!$G$11)+IF((N339/AI339&gt;'Parámetros Proyección'!$G$12),0,'Parámetros Proyección'!$G$12)+IF((T339/AI339&gt;'Parámetros Proyección'!$G$13),0,'Parámetros Proyección'!$G$13)+IF((Z339/AI339&gt;'Parámetros Proyección'!$G$14),0,'Parámetros Proyección'!$G$14)+IF((AF339/AI339&gt;'Parámetros Proyección'!$G$15),0,'Parámetros Proyección'!$G$15)))</f>
        <v/>
      </c>
      <c r="AH339" s="35">
        <f>AF339+AG339</f>
        <v/>
      </c>
      <c r="AI339" s="35">
        <f>H339+N339+T339+Z339+AF339</f>
        <v/>
      </c>
      <c r="AJ339" s="33">
        <f>AF339/AI339</f>
        <v/>
      </c>
      <c r="AK339">
        <f>IF(AJ339&gt;'Parámetros Proyección'!$B$5,1,0)</f>
        <v/>
      </c>
      <c r="AL339" s="35">
        <f>G339+M339+S339+Y339+AE339</f>
        <v/>
      </c>
      <c r="AM339" s="35">
        <f>AM338+D339</f>
        <v/>
      </c>
      <c r="AN339" s="35">
        <f>AN338+AL339</f>
        <v/>
      </c>
      <c r="AO339" s="35">
        <f>J339+P339+V339+AB339+AH339</f>
        <v/>
      </c>
    </row>
    <row r="340">
      <c r="A340" t="n">
        <v>337</v>
      </c>
      <c r="B340" s="34">
        <f>EDATE(B339,1)</f>
        <v/>
      </c>
      <c r="C340">
        <f>YEAR(B340)</f>
        <v/>
      </c>
      <c r="D340" s="35">
        <f>'Parámetros Proyección'!$B$3*(1+'Parámetros Proyección'!$B$4)^(C340-YEAR('Parámetros Proyección'!$B$6))</f>
        <v/>
      </c>
      <c r="E340" s="35">
        <f>J339</f>
        <v/>
      </c>
      <c r="F340" s="35">
        <f>E340*(1+'Parámetros Proyección'!$E$11)</f>
        <v/>
      </c>
      <c r="G340" s="35">
        <f>F340*'Parámetros Proyección'!$F$11</f>
        <v/>
      </c>
      <c r="H340" s="35">
        <f>F340+G340</f>
        <v/>
      </c>
      <c r="I340" s="35">
        <f>IF((H340/AI340&gt;'Parámetros Proyección'!$G$11),0,D340*'Parámetros Proyección'!$G$11/(IF((H340/AI340&gt;'Parámetros Proyección'!$G$11),0,'Parámetros Proyección'!$G$11)+IF((N340/AI340&gt;'Parámetros Proyección'!$G$12),0,'Parámetros Proyección'!$G$12)+IF((T340/AI340&gt;'Parámetros Proyección'!$G$13),0,'Parámetros Proyección'!$G$13)+IF((Z340/AI340&gt;'Parámetros Proyección'!$G$14),0,'Parámetros Proyección'!$G$14)+IF((AF340/AI340&gt;'Parámetros Proyección'!$G$15),0,'Parámetros Proyección'!$G$15)))</f>
        <v/>
      </c>
      <c r="J340" s="35">
        <f>H340+I340</f>
        <v/>
      </c>
      <c r="K340" s="35">
        <f>P339</f>
        <v/>
      </c>
      <c r="L340" s="35">
        <f>K340*(1+'Parámetros Proyección'!$E$12)</f>
        <v/>
      </c>
      <c r="M340" s="35">
        <f>L340*'Parámetros Proyección'!$F$12</f>
        <v/>
      </c>
      <c r="N340" s="35">
        <f>L340+M340</f>
        <v/>
      </c>
      <c r="O340" s="35">
        <f>IF((N340/AI340&gt;'Parámetros Proyección'!$G$12),0,D340*'Parámetros Proyección'!$G$12/(IF((H340/AI340&gt;'Parámetros Proyección'!$G$11),0,'Parámetros Proyección'!$G$11)+IF((N340/AI340&gt;'Parámetros Proyección'!$G$12),0,'Parámetros Proyección'!$G$12)+IF((T340/AI340&gt;'Parámetros Proyección'!$G$13),0,'Parámetros Proyección'!$G$13)+IF((Z340/AI340&gt;'Parámetros Proyección'!$G$14),0,'Parámetros Proyección'!$G$14)+IF((AF340/AI340&gt;'Parámetros Proyección'!$G$15),0,'Parámetros Proyección'!$G$15)))</f>
        <v/>
      </c>
      <c r="P340" s="35">
        <f>N340+O340</f>
        <v/>
      </c>
      <c r="Q340" s="35">
        <f>V339</f>
        <v/>
      </c>
      <c r="R340" s="35">
        <f>Q340*(1+'Parámetros Proyección'!$E$13)</f>
        <v/>
      </c>
      <c r="S340" s="35">
        <f>R340*'Parámetros Proyección'!$F$13</f>
        <v/>
      </c>
      <c r="T340" s="35">
        <f>R340+S340</f>
        <v/>
      </c>
      <c r="U340" s="35">
        <f>IF((T340/AI340&gt;'Parámetros Proyección'!$G$13),0,D340*'Parámetros Proyección'!$G$13/(IF((H340/AI340&gt;'Parámetros Proyección'!$G$11),0,'Parámetros Proyección'!$G$11)+IF((N340/AI340&gt;'Parámetros Proyección'!$G$12),0,'Parámetros Proyección'!$G$12)+IF((T340/AI340&gt;'Parámetros Proyección'!$G$13),0,'Parámetros Proyección'!$G$13)+IF((Z340/AI340&gt;'Parámetros Proyección'!$G$14),0,'Parámetros Proyección'!$G$14)+IF((AF340/AI340&gt;'Parámetros Proyección'!$G$15),0,'Parámetros Proyección'!$G$15)))</f>
        <v/>
      </c>
      <c r="V340" s="35">
        <f>T340+U340</f>
        <v/>
      </c>
      <c r="W340" s="35">
        <f>AB339</f>
        <v/>
      </c>
      <c r="X340" s="35">
        <f>W340*(1+'Parámetros Proyección'!$E$14)</f>
        <v/>
      </c>
      <c r="Y340" s="35">
        <f>X340*'Parámetros Proyección'!$F$14</f>
        <v/>
      </c>
      <c r="Z340" s="35">
        <f>X340+Y340</f>
        <v/>
      </c>
      <c r="AA340" s="35">
        <f>IF((Z340/AI340&gt;'Parámetros Proyección'!$G$14),0,D340*'Parámetros Proyección'!$G$14/(IF((H340/AI340&gt;'Parámetros Proyección'!$G$11),0,'Parámetros Proyección'!$G$11)+IF((N340/AI340&gt;'Parámetros Proyección'!$G$12),0,'Parámetros Proyección'!$G$12)+IF((T340/AI340&gt;'Parámetros Proyección'!$G$13),0,'Parámetros Proyección'!$G$13)+IF((Z340/AI340&gt;'Parámetros Proyección'!$G$14),0,'Parámetros Proyección'!$G$14)+IF((AF340/AI340&gt;'Parámetros Proyección'!$G$15),0,'Parámetros Proyección'!$G$15)))</f>
        <v/>
      </c>
      <c r="AB340" s="35">
        <f>Z340+AA340</f>
        <v/>
      </c>
      <c r="AC340" s="35">
        <f>AH339</f>
        <v/>
      </c>
      <c r="AD340" s="35">
        <f>AC340*(1+'Parámetros Proyección'!$E$15)</f>
        <v/>
      </c>
      <c r="AE340" s="35">
        <f>AD340*'Parámetros Proyección'!$F$15</f>
        <v/>
      </c>
      <c r="AF340" s="35">
        <f>AD340+AE340</f>
        <v/>
      </c>
      <c r="AG340" s="35">
        <f>IF((AF340/AI340&gt;'Parámetros Proyección'!$G$15),0,D340*'Parámetros Proyección'!$G$15/(IF((H340/AI340&gt;'Parámetros Proyección'!$G$11),0,'Parámetros Proyección'!$G$11)+IF((N340/AI340&gt;'Parámetros Proyección'!$G$12),0,'Parámetros Proyección'!$G$12)+IF((T340/AI340&gt;'Parámetros Proyección'!$G$13),0,'Parámetros Proyección'!$G$13)+IF((Z340/AI340&gt;'Parámetros Proyección'!$G$14),0,'Parámetros Proyección'!$G$14)+IF((AF340/AI340&gt;'Parámetros Proyección'!$G$15),0,'Parámetros Proyección'!$G$15)))</f>
        <v/>
      </c>
      <c r="AH340" s="35">
        <f>AF340+AG340</f>
        <v/>
      </c>
      <c r="AI340" s="35">
        <f>H340+N340+T340+Z340+AF340</f>
        <v/>
      </c>
      <c r="AJ340" s="33">
        <f>AF340/AI340</f>
        <v/>
      </c>
      <c r="AK340">
        <f>IF(AJ340&gt;'Parámetros Proyección'!$B$5,1,0)</f>
        <v/>
      </c>
      <c r="AL340" s="35">
        <f>G340+M340+S340+Y340+AE340</f>
        <v/>
      </c>
      <c r="AM340" s="35">
        <f>AM339+D340</f>
        <v/>
      </c>
      <c r="AN340" s="35">
        <f>AN339+AL340</f>
        <v/>
      </c>
      <c r="AO340" s="35">
        <f>J340+P340+V340+AB340+AH340</f>
        <v/>
      </c>
    </row>
    <row r="341">
      <c r="A341" t="n">
        <v>338</v>
      </c>
      <c r="B341" s="34">
        <f>EDATE(B340,1)</f>
        <v/>
      </c>
      <c r="C341">
        <f>YEAR(B341)</f>
        <v/>
      </c>
      <c r="D341" s="35">
        <f>'Parámetros Proyección'!$B$3*(1+'Parámetros Proyección'!$B$4)^(C341-YEAR('Parámetros Proyección'!$B$6))</f>
        <v/>
      </c>
      <c r="E341" s="35">
        <f>J340</f>
        <v/>
      </c>
      <c r="F341" s="35">
        <f>E341*(1+'Parámetros Proyección'!$E$11)</f>
        <v/>
      </c>
      <c r="G341" s="35">
        <f>F341*'Parámetros Proyección'!$F$11</f>
        <v/>
      </c>
      <c r="H341" s="35">
        <f>F341+G341</f>
        <v/>
      </c>
      <c r="I341" s="35">
        <f>IF((H341/AI341&gt;'Parámetros Proyección'!$G$11),0,D341*'Parámetros Proyección'!$G$11/(IF((H341/AI341&gt;'Parámetros Proyección'!$G$11),0,'Parámetros Proyección'!$G$11)+IF((N341/AI341&gt;'Parámetros Proyección'!$G$12),0,'Parámetros Proyección'!$G$12)+IF((T341/AI341&gt;'Parámetros Proyección'!$G$13),0,'Parámetros Proyección'!$G$13)+IF((Z341/AI341&gt;'Parámetros Proyección'!$G$14),0,'Parámetros Proyección'!$G$14)+IF((AF341/AI341&gt;'Parámetros Proyección'!$G$15),0,'Parámetros Proyección'!$G$15)))</f>
        <v/>
      </c>
      <c r="J341" s="35">
        <f>H341+I341</f>
        <v/>
      </c>
      <c r="K341" s="35">
        <f>P340</f>
        <v/>
      </c>
      <c r="L341" s="35">
        <f>K341*(1+'Parámetros Proyección'!$E$12)</f>
        <v/>
      </c>
      <c r="M341" s="35">
        <f>L341*'Parámetros Proyección'!$F$12</f>
        <v/>
      </c>
      <c r="N341" s="35">
        <f>L341+M341</f>
        <v/>
      </c>
      <c r="O341" s="35">
        <f>IF((N341/AI341&gt;'Parámetros Proyección'!$G$12),0,D341*'Parámetros Proyección'!$G$12/(IF((H341/AI341&gt;'Parámetros Proyección'!$G$11),0,'Parámetros Proyección'!$G$11)+IF((N341/AI341&gt;'Parámetros Proyección'!$G$12),0,'Parámetros Proyección'!$G$12)+IF((T341/AI341&gt;'Parámetros Proyección'!$G$13),0,'Parámetros Proyección'!$G$13)+IF((Z341/AI341&gt;'Parámetros Proyección'!$G$14),0,'Parámetros Proyección'!$G$14)+IF((AF341/AI341&gt;'Parámetros Proyección'!$G$15),0,'Parámetros Proyección'!$G$15)))</f>
        <v/>
      </c>
      <c r="P341" s="35">
        <f>N341+O341</f>
        <v/>
      </c>
      <c r="Q341" s="35">
        <f>V340</f>
        <v/>
      </c>
      <c r="R341" s="35">
        <f>Q341*(1+'Parámetros Proyección'!$E$13)</f>
        <v/>
      </c>
      <c r="S341" s="35">
        <f>R341*'Parámetros Proyección'!$F$13</f>
        <v/>
      </c>
      <c r="T341" s="35">
        <f>R341+S341</f>
        <v/>
      </c>
      <c r="U341" s="35">
        <f>IF((T341/AI341&gt;'Parámetros Proyección'!$G$13),0,D341*'Parámetros Proyección'!$G$13/(IF((H341/AI341&gt;'Parámetros Proyección'!$G$11),0,'Parámetros Proyección'!$G$11)+IF((N341/AI341&gt;'Parámetros Proyección'!$G$12),0,'Parámetros Proyección'!$G$12)+IF((T341/AI341&gt;'Parámetros Proyección'!$G$13),0,'Parámetros Proyección'!$G$13)+IF((Z341/AI341&gt;'Parámetros Proyección'!$G$14),0,'Parámetros Proyección'!$G$14)+IF((AF341/AI341&gt;'Parámetros Proyección'!$G$15),0,'Parámetros Proyección'!$G$15)))</f>
        <v/>
      </c>
      <c r="V341" s="35">
        <f>T341+U341</f>
        <v/>
      </c>
      <c r="W341" s="35">
        <f>AB340</f>
        <v/>
      </c>
      <c r="X341" s="35">
        <f>W341*(1+'Parámetros Proyección'!$E$14)</f>
        <v/>
      </c>
      <c r="Y341" s="35">
        <f>X341*'Parámetros Proyección'!$F$14</f>
        <v/>
      </c>
      <c r="Z341" s="35">
        <f>X341+Y341</f>
        <v/>
      </c>
      <c r="AA341" s="35">
        <f>IF((Z341/AI341&gt;'Parámetros Proyección'!$G$14),0,D341*'Parámetros Proyección'!$G$14/(IF((H341/AI341&gt;'Parámetros Proyección'!$G$11),0,'Parámetros Proyección'!$G$11)+IF((N341/AI341&gt;'Parámetros Proyección'!$G$12),0,'Parámetros Proyección'!$G$12)+IF((T341/AI341&gt;'Parámetros Proyección'!$G$13),0,'Parámetros Proyección'!$G$13)+IF((Z341/AI341&gt;'Parámetros Proyección'!$G$14),0,'Parámetros Proyección'!$G$14)+IF((AF341/AI341&gt;'Parámetros Proyección'!$G$15),0,'Parámetros Proyección'!$G$15)))</f>
        <v/>
      </c>
      <c r="AB341" s="35">
        <f>Z341+AA341</f>
        <v/>
      </c>
      <c r="AC341" s="35">
        <f>AH340</f>
        <v/>
      </c>
      <c r="AD341" s="35">
        <f>AC341*(1+'Parámetros Proyección'!$E$15)</f>
        <v/>
      </c>
      <c r="AE341" s="35">
        <f>AD341*'Parámetros Proyección'!$F$15</f>
        <v/>
      </c>
      <c r="AF341" s="35">
        <f>AD341+AE341</f>
        <v/>
      </c>
      <c r="AG341" s="35">
        <f>IF((AF341/AI341&gt;'Parámetros Proyección'!$G$15),0,D341*'Parámetros Proyección'!$G$15/(IF((H341/AI341&gt;'Parámetros Proyección'!$G$11),0,'Parámetros Proyección'!$G$11)+IF((N341/AI341&gt;'Parámetros Proyección'!$G$12),0,'Parámetros Proyección'!$G$12)+IF((T341/AI341&gt;'Parámetros Proyección'!$G$13),0,'Parámetros Proyección'!$G$13)+IF((Z341/AI341&gt;'Parámetros Proyección'!$G$14),0,'Parámetros Proyección'!$G$14)+IF((AF341/AI341&gt;'Parámetros Proyección'!$G$15),0,'Parámetros Proyección'!$G$15)))</f>
        <v/>
      </c>
      <c r="AH341" s="35">
        <f>AF341+AG341</f>
        <v/>
      </c>
      <c r="AI341" s="35">
        <f>H341+N341+T341+Z341+AF341</f>
        <v/>
      </c>
      <c r="AJ341" s="33">
        <f>AF341/AI341</f>
        <v/>
      </c>
      <c r="AK341">
        <f>IF(AJ341&gt;'Parámetros Proyección'!$B$5,1,0)</f>
        <v/>
      </c>
      <c r="AL341" s="35">
        <f>G341+M341+S341+Y341+AE341</f>
        <v/>
      </c>
      <c r="AM341" s="35">
        <f>AM340+D341</f>
        <v/>
      </c>
      <c r="AN341" s="35">
        <f>AN340+AL341</f>
        <v/>
      </c>
      <c r="AO341" s="35">
        <f>J341+P341+V341+AB341+AH341</f>
        <v/>
      </c>
    </row>
    <row r="342">
      <c r="A342" t="n">
        <v>339</v>
      </c>
      <c r="B342" s="34">
        <f>EDATE(B341,1)</f>
        <v/>
      </c>
      <c r="C342">
        <f>YEAR(B342)</f>
        <v/>
      </c>
      <c r="D342" s="35">
        <f>'Parámetros Proyección'!$B$3*(1+'Parámetros Proyección'!$B$4)^(C342-YEAR('Parámetros Proyección'!$B$6))</f>
        <v/>
      </c>
      <c r="E342" s="35">
        <f>J341</f>
        <v/>
      </c>
      <c r="F342" s="35">
        <f>E342*(1+'Parámetros Proyección'!$E$11)</f>
        <v/>
      </c>
      <c r="G342" s="35">
        <f>F342*'Parámetros Proyección'!$F$11</f>
        <v/>
      </c>
      <c r="H342" s="35">
        <f>F342+G342</f>
        <v/>
      </c>
      <c r="I342" s="35">
        <f>IF((H342/AI342&gt;'Parámetros Proyección'!$G$11),0,D342*'Parámetros Proyección'!$G$11/(IF((H342/AI342&gt;'Parámetros Proyección'!$G$11),0,'Parámetros Proyección'!$G$11)+IF((N342/AI342&gt;'Parámetros Proyección'!$G$12),0,'Parámetros Proyección'!$G$12)+IF((T342/AI342&gt;'Parámetros Proyección'!$G$13),0,'Parámetros Proyección'!$G$13)+IF((Z342/AI342&gt;'Parámetros Proyección'!$G$14),0,'Parámetros Proyección'!$G$14)+IF((AF342/AI342&gt;'Parámetros Proyección'!$G$15),0,'Parámetros Proyección'!$G$15)))</f>
        <v/>
      </c>
      <c r="J342" s="35">
        <f>H342+I342</f>
        <v/>
      </c>
      <c r="K342" s="35">
        <f>P341</f>
        <v/>
      </c>
      <c r="L342" s="35">
        <f>K342*(1+'Parámetros Proyección'!$E$12)</f>
        <v/>
      </c>
      <c r="M342" s="35">
        <f>L342*'Parámetros Proyección'!$F$12</f>
        <v/>
      </c>
      <c r="N342" s="35">
        <f>L342+M342</f>
        <v/>
      </c>
      <c r="O342" s="35">
        <f>IF((N342/AI342&gt;'Parámetros Proyección'!$G$12),0,D342*'Parámetros Proyección'!$G$12/(IF((H342/AI342&gt;'Parámetros Proyección'!$G$11),0,'Parámetros Proyección'!$G$11)+IF((N342/AI342&gt;'Parámetros Proyección'!$G$12),0,'Parámetros Proyección'!$G$12)+IF((T342/AI342&gt;'Parámetros Proyección'!$G$13),0,'Parámetros Proyección'!$G$13)+IF((Z342/AI342&gt;'Parámetros Proyección'!$G$14),0,'Parámetros Proyección'!$G$14)+IF((AF342/AI342&gt;'Parámetros Proyección'!$G$15),0,'Parámetros Proyección'!$G$15)))</f>
        <v/>
      </c>
      <c r="P342" s="35">
        <f>N342+O342</f>
        <v/>
      </c>
      <c r="Q342" s="35">
        <f>V341</f>
        <v/>
      </c>
      <c r="R342" s="35">
        <f>Q342*(1+'Parámetros Proyección'!$E$13)</f>
        <v/>
      </c>
      <c r="S342" s="35">
        <f>R342*'Parámetros Proyección'!$F$13</f>
        <v/>
      </c>
      <c r="T342" s="35">
        <f>R342+S342</f>
        <v/>
      </c>
      <c r="U342" s="35">
        <f>IF((T342/AI342&gt;'Parámetros Proyección'!$G$13),0,D342*'Parámetros Proyección'!$G$13/(IF((H342/AI342&gt;'Parámetros Proyección'!$G$11),0,'Parámetros Proyección'!$G$11)+IF((N342/AI342&gt;'Parámetros Proyección'!$G$12),0,'Parámetros Proyección'!$G$12)+IF((T342/AI342&gt;'Parámetros Proyección'!$G$13),0,'Parámetros Proyección'!$G$13)+IF((Z342/AI342&gt;'Parámetros Proyección'!$G$14),0,'Parámetros Proyección'!$G$14)+IF((AF342/AI342&gt;'Parámetros Proyección'!$G$15),0,'Parámetros Proyección'!$G$15)))</f>
        <v/>
      </c>
      <c r="V342" s="35">
        <f>T342+U342</f>
        <v/>
      </c>
      <c r="W342" s="35">
        <f>AB341</f>
        <v/>
      </c>
      <c r="X342" s="35">
        <f>W342*(1+'Parámetros Proyección'!$E$14)</f>
        <v/>
      </c>
      <c r="Y342" s="35">
        <f>X342*'Parámetros Proyección'!$F$14</f>
        <v/>
      </c>
      <c r="Z342" s="35">
        <f>X342+Y342</f>
        <v/>
      </c>
      <c r="AA342" s="35">
        <f>IF((Z342/AI342&gt;'Parámetros Proyección'!$G$14),0,D342*'Parámetros Proyección'!$G$14/(IF((H342/AI342&gt;'Parámetros Proyección'!$G$11),0,'Parámetros Proyección'!$G$11)+IF((N342/AI342&gt;'Parámetros Proyección'!$G$12),0,'Parámetros Proyección'!$G$12)+IF((T342/AI342&gt;'Parámetros Proyección'!$G$13),0,'Parámetros Proyección'!$G$13)+IF((Z342/AI342&gt;'Parámetros Proyección'!$G$14),0,'Parámetros Proyección'!$G$14)+IF((AF342/AI342&gt;'Parámetros Proyección'!$G$15),0,'Parámetros Proyección'!$G$15)))</f>
        <v/>
      </c>
      <c r="AB342" s="35">
        <f>Z342+AA342</f>
        <v/>
      </c>
      <c r="AC342" s="35">
        <f>AH341</f>
        <v/>
      </c>
      <c r="AD342" s="35">
        <f>AC342*(1+'Parámetros Proyección'!$E$15)</f>
        <v/>
      </c>
      <c r="AE342" s="35">
        <f>AD342*'Parámetros Proyección'!$F$15</f>
        <v/>
      </c>
      <c r="AF342" s="35">
        <f>AD342+AE342</f>
        <v/>
      </c>
      <c r="AG342" s="35">
        <f>IF((AF342/AI342&gt;'Parámetros Proyección'!$G$15),0,D342*'Parámetros Proyección'!$G$15/(IF((H342/AI342&gt;'Parámetros Proyección'!$G$11),0,'Parámetros Proyección'!$G$11)+IF((N342/AI342&gt;'Parámetros Proyección'!$G$12),0,'Parámetros Proyección'!$G$12)+IF((T342/AI342&gt;'Parámetros Proyección'!$G$13),0,'Parámetros Proyección'!$G$13)+IF((Z342/AI342&gt;'Parámetros Proyección'!$G$14),0,'Parámetros Proyección'!$G$14)+IF((AF342/AI342&gt;'Parámetros Proyección'!$G$15),0,'Parámetros Proyección'!$G$15)))</f>
        <v/>
      </c>
      <c r="AH342" s="35">
        <f>AF342+AG342</f>
        <v/>
      </c>
      <c r="AI342" s="35">
        <f>H342+N342+T342+Z342+AF342</f>
        <v/>
      </c>
      <c r="AJ342" s="33">
        <f>AF342/AI342</f>
        <v/>
      </c>
      <c r="AK342">
        <f>IF(AJ342&gt;'Parámetros Proyección'!$B$5,1,0)</f>
        <v/>
      </c>
      <c r="AL342" s="35">
        <f>G342+M342+S342+Y342+AE342</f>
        <v/>
      </c>
      <c r="AM342" s="35">
        <f>AM341+D342</f>
        <v/>
      </c>
      <c r="AN342" s="35">
        <f>AN341+AL342</f>
        <v/>
      </c>
      <c r="AO342" s="35">
        <f>J342+P342+V342+AB342+AH342</f>
        <v/>
      </c>
    </row>
    <row r="343">
      <c r="A343" t="n">
        <v>340</v>
      </c>
      <c r="B343" s="34">
        <f>EDATE(B342,1)</f>
        <v/>
      </c>
      <c r="C343">
        <f>YEAR(B343)</f>
        <v/>
      </c>
      <c r="D343" s="35">
        <f>'Parámetros Proyección'!$B$3*(1+'Parámetros Proyección'!$B$4)^(C343-YEAR('Parámetros Proyección'!$B$6))</f>
        <v/>
      </c>
      <c r="E343" s="35">
        <f>J342</f>
        <v/>
      </c>
      <c r="F343" s="35">
        <f>E343*(1+'Parámetros Proyección'!$E$11)</f>
        <v/>
      </c>
      <c r="G343" s="35">
        <f>F343*'Parámetros Proyección'!$F$11</f>
        <v/>
      </c>
      <c r="H343" s="35">
        <f>F343+G343</f>
        <v/>
      </c>
      <c r="I343" s="35">
        <f>IF((H343/AI343&gt;'Parámetros Proyección'!$G$11),0,D343*'Parámetros Proyección'!$G$11/(IF((H343/AI343&gt;'Parámetros Proyección'!$G$11),0,'Parámetros Proyección'!$G$11)+IF((N343/AI343&gt;'Parámetros Proyección'!$G$12),0,'Parámetros Proyección'!$G$12)+IF((T343/AI343&gt;'Parámetros Proyección'!$G$13),0,'Parámetros Proyección'!$G$13)+IF((Z343/AI343&gt;'Parámetros Proyección'!$G$14),0,'Parámetros Proyección'!$G$14)+IF((AF343/AI343&gt;'Parámetros Proyección'!$G$15),0,'Parámetros Proyección'!$G$15)))</f>
        <v/>
      </c>
      <c r="J343" s="35">
        <f>H343+I343</f>
        <v/>
      </c>
      <c r="K343" s="35">
        <f>P342</f>
        <v/>
      </c>
      <c r="L343" s="35">
        <f>K343*(1+'Parámetros Proyección'!$E$12)</f>
        <v/>
      </c>
      <c r="M343" s="35">
        <f>L343*'Parámetros Proyección'!$F$12</f>
        <v/>
      </c>
      <c r="N343" s="35">
        <f>L343+M343</f>
        <v/>
      </c>
      <c r="O343" s="35">
        <f>IF((N343/AI343&gt;'Parámetros Proyección'!$G$12),0,D343*'Parámetros Proyección'!$G$12/(IF((H343/AI343&gt;'Parámetros Proyección'!$G$11),0,'Parámetros Proyección'!$G$11)+IF((N343/AI343&gt;'Parámetros Proyección'!$G$12),0,'Parámetros Proyección'!$G$12)+IF((T343/AI343&gt;'Parámetros Proyección'!$G$13),0,'Parámetros Proyección'!$G$13)+IF((Z343/AI343&gt;'Parámetros Proyección'!$G$14),0,'Parámetros Proyección'!$G$14)+IF((AF343/AI343&gt;'Parámetros Proyección'!$G$15),0,'Parámetros Proyección'!$G$15)))</f>
        <v/>
      </c>
      <c r="P343" s="35">
        <f>N343+O343</f>
        <v/>
      </c>
      <c r="Q343" s="35">
        <f>V342</f>
        <v/>
      </c>
      <c r="R343" s="35">
        <f>Q343*(1+'Parámetros Proyección'!$E$13)</f>
        <v/>
      </c>
      <c r="S343" s="35">
        <f>R343*'Parámetros Proyección'!$F$13</f>
        <v/>
      </c>
      <c r="T343" s="35">
        <f>R343+S343</f>
        <v/>
      </c>
      <c r="U343" s="35">
        <f>IF((T343/AI343&gt;'Parámetros Proyección'!$G$13),0,D343*'Parámetros Proyección'!$G$13/(IF((H343/AI343&gt;'Parámetros Proyección'!$G$11),0,'Parámetros Proyección'!$G$11)+IF((N343/AI343&gt;'Parámetros Proyección'!$G$12),0,'Parámetros Proyección'!$G$12)+IF((T343/AI343&gt;'Parámetros Proyección'!$G$13),0,'Parámetros Proyección'!$G$13)+IF((Z343/AI343&gt;'Parámetros Proyección'!$G$14),0,'Parámetros Proyección'!$G$14)+IF((AF343/AI343&gt;'Parámetros Proyección'!$G$15),0,'Parámetros Proyección'!$G$15)))</f>
        <v/>
      </c>
      <c r="V343" s="35">
        <f>T343+U343</f>
        <v/>
      </c>
      <c r="W343" s="35">
        <f>AB342</f>
        <v/>
      </c>
      <c r="X343" s="35">
        <f>W343*(1+'Parámetros Proyección'!$E$14)</f>
        <v/>
      </c>
      <c r="Y343" s="35">
        <f>X343*'Parámetros Proyección'!$F$14</f>
        <v/>
      </c>
      <c r="Z343" s="35">
        <f>X343+Y343</f>
        <v/>
      </c>
      <c r="AA343" s="35">
        <f>IF((Z343/AI343&gt;'Parámetros Proyección'!$G$14),0,D343*'Parámetros Proyección'!$G$14/(IF((H343/AI343&gt;'Parámetros Proyección'!$G$11),0,'Parámetros Proyección'!$G$11)+IF((N343/AI343&gt;'Parámetros Proyección'!$G$12),0,'Parámetros Proyección'!$G$12)+IF((T343/AI343&gt;'Parámetros Proyección'!$G$13),0,'Parámetros Proyección'!$G$13)+IF((Z343/AI343&gt;'Parámetros Proyección'!$G$14),0,'Parámetros Proyección'!$G$14)+IF((AF343/AI343&gt;'Parámetros Proyección'!$G$15),0,'Parámetros Proyección'!$G$15)))</f>
        <v/>
      </c>
      <c r="AB343" s="35">
        <f>Z343+AA343</f>
        <v/>
      </c>
      <c r="AC343" s="35">
        <f>AH342</f>
        <v/>
      </c>
      <c r="AD343" s="35">
        <f>AC343*(1+'Parámetros Proyección'!$E$15)</f>
        <v/>
      </c>
      <c r="AE343" s="35">
        <f>AD343*'Parámetros Proyección'!$F$15</f>
        <v/>
      </c>
      <c r="AF343" s="35">
        <f>AD343+AE343</f>
        <v/>
      </c>
      <c r="AG343" s="35">
        <f>IF((AF343/AI343&gt;'Parámetros Proyección'!$G$15),0,D343*'Parámetros Proyección'!$G$15/(IF((H343/AI343&gt;'Parámetros Proyección'!$G$11),0,'Parámetros Proyección'!$G$11)+IF((N343/AI343&gt;'Parámetros Proyección'!$G$12),0,'Parámetros Proyección'!$G$12)+IF((T343/AI343&gt;'Parámetros Proyección'!$G$13),0,'Parámetros Proyección'!$G$13)+IF((Z343/AI343&gt;'Parámetros Proyección'!$G$14),0,'Parámetros Proyección'!$G$14)+IF((AF343/AI343&gt;'Parámetros Proyección'!$G$15),0,'Parámetros Proyección'!$G$15)))</f>
        <v/>
      </c>
      <c r="AH343" s="35">
        <f>AF343+AG343</f>
        <v/>
      </c>
      <c r="AI343" s="35">
        <f>H343+N343+T343+Z343+AF343</f>
        <v/>
      </c>
      <c r="AJ343" s="33">
        <f>AF343/AI343</f>
        <v/>
      </c>
      <c r="AK343">
        <f>IF(AJ343&gt;'Parámetros Proyección'!$B$5,1,0)</f>
        <v/>
      </c>
      <c r="AL343" s="35">
        <f>G343+M343+S343+Y343+AE343</f>
        <v/>
      </c>
      <c r="AM343" s="35">
        <f>AM342+D343</f>
        <v/>
      </c>
      <c r="AN343" s="35">
        <f>AN342+AL343</f>
        <v/>
      </c>
      <c r="AO343" s="35">
        <f>J343+P343+V343+AB343+AH343</f>
        <v/>
      </c>
    </row>
    <row r="344">
      <c r="A344" t="n">
        <v>341</v>
      </c>
      <c r="B344" s="34">
        <f>EDATE(B343,1)</f>
        <v/>
      </c>
      <c r="C344">
        <f>YEAR(B344)</f>
        <v/>
      </c>
      <c r="D344" s="35">
        <f>'Parámetros Proyección'!$B$3*(1+'Parámetros Proyección'!$B$4)^(C344-YEAR('Parámetros Proyección'!$B$6))</f>
        <v/>
      </c>
      <c r="E344" s="35">
        <f>J343</f>
        <v/>
      </c>
      <c r="F344" s="35">
        <f>E344*(1+'Parámetros Proyección'!$E$11)</f>
        <v/>
      </c>
      <c r="G344" s="35">
        <f>F344*'Parámetros Proyección'!$F$11</f>
        <v/>
      </c>
      <c r="H344" s="35">
        <f>F344+G344</f>
        <v/>
      </c>
      <c r="I344" s="35">
        <f>IF((H344/AI344&gt;'Parámetros Proyección'!$G$11),0,D344*'Parámetros Proyección'!$G$11/(IF((H344/AI344&gt;'Parámetros Proyección'!$G$11),0,'Parámetros Proyección'!$G$11)+IF((N344/AI344&gt;'Parámetros Proyección'!$G$12),0,'Parámetros Proyección'!$G$12)+IF((T344/AI344&gt;'Parámetros Proyección'!$G$13),0,'Parámetros Proyección'!$G$13)+IF((Z344/AI344&gt;'Parámetros Proyección'!$G$14),0,'Parámetros Proyección'!$G$14)+IF((AF344/AI344&gt;'Parámetros Proyección'!$G$15),0,'Parámetros Proyección'!$G$15)))</f>
        <v/>
      </c>
      <c r="J344" s="35">
        <f>H344+I344</f>
        <v/>
      </c>
      <c r="K344" s="35">
        <f>P343</f>
        <v/>
      </c>
      <c r="L344" s="35">
        <f>K344*(1+'Parámetros Proyección'!$E$12)</f>
        <v/>
      </c>
      <c r="M344" s="35">
        <f>L344*'Parámetros Proyección'!$F$12</f>
        <v/>
      </c>
      <c r="N344" s="35">
        <f>L344+M344</f>
        <v/>
      </c>
      <c r="O344" s="35">
        <f>IF((N344/AI344&gt;'Parámetros Proyección'!$G$12),0,D344*'Parámetros Proyección'!$G$12/(IF((H344/AI344&gt;'Parámetros Proyección'!$G$11),0,'Parámetros Proyección'!$G$11)+IF((N344/AI344&gt;'Parámetros Proyección'!$G$12),0,'Parámetros Proyección'!$G$12)+IF((T344/AI344&gt;'Parámetros Proyección'!$G$13),0,'Parámetros Proyección'!$G$13)+IF((Z344/AI344&gt;'Parámetros Proyección'!$G$14),0,'Parámetros Proyección'!$G$14)+IF((AF344/AI344&gt;'Parámetros Proyección'!$G$15),0,'Parámetros Proyección'!$G$15)))</f>
        <v/>
      </c>
      <c r="P344" s="35">
        <f>N344+O344</f>
        <v/>
      </c>
      <c r="Q344" s="35">
        <f>V343</f>
        <v/>
      </c>
      <c r="R344" s="35">
        <f>Q344*(1+'Parámetros Proyección'!$E$13)</f>
        <v/>
      </c>
      <c r="S344" s="35">
        <f>R344*'Parámetros Proyección'!$F$13</f>
        <v/>
      </c>
      <c r="T344" s="35">
        <f>R344+S344</f>
        <v/>
      </c>
      <c r="U344" s="35">
        <f>IF((T344/AI344&gt;'Parámetros Proyección'!$G$13),0,D344*'Parámetros Proyección'!$G$13/(IF((H344/AI344&gt;'Parámetros Proyección'!$G$11),0,'Parámetros Proyección'!$G$11)+IF((N344/AI344&gt;'Parámetros Proyección'!$G$12),0,'Parámetros Proyección'!$G$12)+IF((T344/AI344&gt;'Parámetros Proyección'!$G$13),0,'Parámetros Proyección'!$G$13)+IF((Z344/AI344&gt;'Parámetros Proyección'!$G$14),0,'Parámetros Proyección'!$G$14)+IF((AF344/AI344&gt;'Parámetros Proyección'!$G$15),0,'Parámetros Proyección'!$G$15)))</f>
        <v/>
      </c>
      <c r="V344" s="35">
        <f>T344+U344</f>
        <v/>
      </c>
      <c r="W344" s="35">
        <f>AB343</f>
        <v/>
      </c>
      <c r="X344" s="35">
        <f>W344*(1+'Parámetros Proyección'!$E$14)</f>
        <v/>
      </c>
      <c r="Y344" s="35">
        <f>X344*'Parámetros Proyección'!$F$14</f>
        <v/>
      </c>
      <c r="Z344" s="35">
        <f>X344+Y344</f>
        <v/>
      </c>
      <c r="AA344" s="35">
        <f>IF((Z344/AI344&gt;'Parámetros Proyección'!$G$14),0,D344*'Parámetros Proyección'!$G$14/(IF((H344/AI344&gt;'Parámetros Proyección'!$G$11),0,'Parámetros Proyección'!$G$11)+IF((N344/AI344&gt;'Parámetros Proyección'!$G$12),0,'Parámetros Proyección'!$G$12)+IF((T344/AI344&gt;'Parámetros Proyección'!$G$13),0,'Parámetros Proyección'!$G$13)+IF((Z344/AI344&gt;'Parámetros Proyección'!$G$14),0,'Parámetros Proyección'!$G$14)+IF((AF344/AI344&gt;'Parámetros Proyección'!$G$15),0,'Parámetros Proyección'!$G$15)))</f>
        <v/>
      </c>
      <c r="AB344" s="35">
        <f>Z344+AA344</f>
        <v/>
      </c>
      <c r="AC344" s="35">
        <f>AH343</f>
        <v/>
      </c>
      <c r="AD344" s="35">
        <f>AC344*(1+'Parámetros Proyección'!$E$15)</f>
        <v/>
      </c>
      <c r="AE344" s="35">
        <f>AD344*'Parámetros Proyección'!$F$15</f>
        <v/>
      </c>
      <c r="AF344" s="35">
        <f>AD344+AE344</f>
        <v/>
      </c>
      <c r="AG344" s="35">
        <f>IF((AF344/AI344&gt;'Parámetros Proyección'!$G$15),0,D344*'Parámetros Proyección'!$G$15/(IF((H344/AI344&gt;'Parámetros Proyección'!$G$11),0,'Parámetros Proyección'!$G$11)+IF((N344/AI344&gt;'Parámetros Proyección'!$G$12),0,'Parámetros Proyección'!$G$12)+IF((T344/AI344&gt;'Parámetros Proyección'!$G$13),0,'Parámetros Proyección'!$G$13)+IF((Z344/AI344&gt;'Parámetros Proyección'!$G$14),0,'Parámetros Proyección'!$G$14)+IF((AF344/AI344&gt;'Parámetros Proyección'!$G$15),0,'Parámetros Proyección'!$G$15)))</f>
        <v/>
      </c>
      <c r="AH344" s="35">
        <f>AF344+AG344</f>
        <v/>
      </c>
      <c r="AI344" s="35">
        <f>H344+N344+T344+Z344+AF344</f>
        <v/>
      </c>
      <c r="AJ344" s="33">
        <f>AF344/AI344</f>
        <v/>
      </c>
      <c r="AK344">
        <f>IF(AJ344&gt;'Parámetros Proyección'!$B$5,1,0)</f>
        <v/>
      </c>
      <c r="AL344" s="35">
        <f>G344+M344+S344+Y344+AE344</f>
        <v/>
      </c>
      <c r="AM344" s="35">
        <f>AM343+D344</f>
        <v/>
      </c>
      <c r="AN344" s="35">
        <f>AN343+AL344</f>
        <v/>
      </c>
      <c r="AO344" s="35">
        <f>J344+P344+V344+AB344+AH344</f>
        <v/>
      </c>
    </row>
    <row r="345">
      <c r="A345" t="n">
        <v>342</v>
      </c>
      <c r="B345" s="34">
        <f>EDATE(B344,1)</f>
        <v/>
      </c>
      <c r="C345">
        <f>YEAR(B345)</f>
        <v/>
      </c>
      <c r="D345" s="35">
        <f>'Parámetros Proyección'!$B$3*(1+'Parámetros Proyección'!$B$4)^(C345-YEAR('Parámetros Proyección'!$B$6))</f>
        <v/>
      </c>
      <c r="E345" s="35">
        <f>J344</f>
        <v/>
      </c>
      <c r="F345" s="35">
        <f>E345*(1+'Parámetros Proyección'!$E$11)</f>
        <v/>
      </c>
      <c r="G345" s="35">
        <f>F345*'Parámetros Proyección'!$F$11</f>
        <v/>
      </c>
      <c r="H345" s="35">
        <f>F345+G345</f>
        <v/>
      </c>
      <c r="I345" s="35">
        <f>IF((H345/AI345&gt;'Parámetros Proyección'!$G$11),0,D345*'Parámetros Proyección'!$G$11/(IF((H345/AI345&gt;'Parámetros Proyección'!$G$11),0,'Parámetros Proyección'!$G$11)+IF((N345/AI345&gt;'Parámetros Proyección'!$G$12),0,'Parámetros Proyección'!$G$12)+IF((T345/AI345&gt;'Parámetros Proyección'!$G$13),0,'Parámetros Proyección'!$G$13)+IF((Z345/AI345&gt;'Parámetros Proyección'!$G$14),0,'Parámetros Proyección'!$G$14)+IF((AF345/AI345&gt;'Parámetros Proyección'!$G$15),0,'Parámetros Proyección'!$G$15)))</f>
        <v/>
      </c>
      <c r="J345" s="35">
        <f>H345+I345</f>
        <v/>
      </c>
      <c r="K345" s="35">
        <f>P344</f>
        <v/>
      </c>
      <c r="L345" s="35">
        <f>K345*(1+'Parámetros Proyección'!$E$12)</f>
        <v/>
      </c>
      <c r="M345" s="35">
        <f>L345*'Parámetros Proyección'!$F$12</f>
        <v/>
      </c>
      <c r="N345" s="35">
        <f>L345+M345</f>
        <v/>
      </c>
      <c r="O345" s="35">
        <f>IF((N345/AI345&gt;'Parámetros Proyección'!$G$12),0,D345*'Parámetros Proyección'!$G$12/(IF((H345/AI345&gt;'Parámetros Proyección'!$G$11),0,'Parámetros Proyección'!$G$11)+IF((N345/AI345&gt;'Parámetros Proyección'!$G$12),0,'Parámetros Proyección'!$G$12)+IF((T345/AI345&gt;'Parámetros Proyección'!$G$13),0,'Parámetros Proyección'!$G$13)+IF((Z345/AI345&gt;'Parámetros Proyección'!$G$14),0,'Parámetros Proyección'!$G$14)+IF((AF345/AI345&gt;'Parámetros Proyección'!$G$15),0,'Parámetros Proyección'!$G$15)))</f>
        <v/>
      </c>
      <c r="P345" s="35">
        <f>N345+O345</f>
        <v/>
      </c>
      <c r="Q345" s="35">
        <f>V344</f>
        <v/>
      </c>
      <c r="R345" s="35">
        <f>Q345*(1+'Parámetros Proyección'!$E$13)</f>
        <v/>
      </c>
      <c r="S345" s="35">
        <f>R345*'Parámetros Proyección'!$F$13</f>
        <v/>
      </c>
      <c r="T345" s="35">
        <f>R345+S345</f>
        <v/>
      </c>
      <c r="U345" s="35">
        <f>IF((T345/AI345&gt;'Parámetros Proyección'!$G$13),0,D345*'Parámetros Proyección'!$G$13/(IF((H345/AI345&gt;'Parámetros Proyección'!$G$11),0,'Parámetros Proyección'!$G$11)+IF((N345/AI345&gt;'Parámetros Proyección'!$G$12),0,'Parámetros Proyección'!$G$12)+IF((T345/AI345&gt;'Parámetros Proyección'!$G$13),0,'Parámetros Proyección'!$G$13)+IF((Z345/AI345&gt;'Parámetros Proyección'!$G$14),0,'Parámetros Proyección'!$G$14)+IF((AF345/AI345&gt;'Parámetros Proyección'!$G$15),0,'Parámetros Proyección'!$G$15)))</f>
        <v/>
      </c>
      <c r="V345" s="35">
        <f>T345+U345</f>
        <v/>
      </c>
      <c r="W345" s="35">
        <f>AB344</f>
        <v/>
      </c>
      <c r="X345" s="35">
        <f>W345*(1+'Parámetros Proyección'!$E$14)</f>
        <v/>
      </c>
      <c r="Y345" s="35">
        <f>X345*'Parámetros Proyección'!$F$14</f>
        <v/>
      </c>
      <c r="Z345" s="35">
        <f>X345+Y345</f>
        <v/>
      </c>
      <c r="AA345" s="35">
        <f>IF((Z345/AI345&gt;'Parámetros Proyección'!$G$14),0,D345*'Parámetros Proyección'!$G$14/(IF((H345/AI345&gt;'Parámetros Proyección'!$G$11),0,'Parámetros Proyección'!$G$11)+IF((N345/AI345&gt;'Parámetros Proyección'!$G$12),0,'Parámetros Proyección'!$G$12)+IF((T345/AI345&gt;'Parámetros Proyección'!$G$13),0,'Parámetros Proyección'!$G$13)+IF((Z345/AI345&gt;'Parámetros Proyección'!$G$14),0,'Parámetros Proyección'!$G$14)+IF((AF345/AI345&gt;'Parámetros Proyección'!$G$15),0,'Parámetros Proyección'!$G$15)))</f>
        <v/>
      </c>
      <c r="AB345" s="35">
        <f>Z345+AA345</f>
        <v/>
      </c>
      <c r="AC345" s="35">
        <f>AH344</f>
        <v/>
      </c>
      <c r="AD345" s="35">
        <f>AC345*(1+'Parámetros Proyección'!$E$15)</f>
        <v/>
      </c>
      <c r="AE345" s="35">
        <f>AD345*'Parámetros Proyección'!$F$15</f>
        <v/>
      </c>
      <c r="AF345" s="35">
        <f>AD345+AE345</f>
        <v/>
      </c>
      <c r="AG345" s="35">
        <f>IF((AF345/AI345&gt;'Parámetros Proyección'!$G$15),0,D345*'Parámetros Proyección'!$G$15/(IF((H345/AI345&gt;'Parámetros Proyección'!$G$11),0,'Parámetros Proyección'!$G$11)+IF((N345/AI345&gt;'Parámetros Proyección'!$G$12),0,'Parámetros Proyección'!$G$12)+IF((T345/AI345&gt;'Parámetros Proyección'!$G$13),0,'Parámetros Proyección'!$G$13)+IF((Z345/AI345&gt;'Parámetros Proyección'!$G$14),0,'Parámetros Proyección'!$G$14)+IF((AF345/AI345&gt;'Parámetros Proyección'!$G$15),0,'Parámetros Proyección'!$G$15)))</f>
        <v/>
      </c>
      <c r="AH345" s="35">
        <f>AF345+AG345</f>
        <v/>
      </c>
      <c r="AI345" s="35">
        <f>H345+N345+T345+Z345+AF345</f>
        <v/>
      </c>
      <c r="AJ345" s="33">
        <f>AF345/AI345</f>
        <v/>
      </c>
      <c r="AK345">
        <f>IF(AJ345&gt;'Parámetros Proyección'!$B$5,1,0)</f>
        <v/>
      </c>
      <c r="AL345" s="35">
        <f>G345+M345+S345+Y345+AE345</f>
        <v/>
      </c>
      <c r="AM345" s="35">
        <f>AM344+D345</f>
        <v/>
      </c>
      <c r="AN345" s="35">
        <f>AN344+AL345</f>
        <v/>
      </c>
      <c r="AO345" s="35">
        <f>J345+P345+V345+AB345+AH345</f>
        <v/>
      </c>
    </row>
    <row r="346">
      <c r="A346" t="n">
        <v>343</v>
      </c>
      <c r="B346" s="34">
        <f>EDATE(B345,1)</f>
        <v/>
      </c>
      <c r="C346">
        <f>YEAR(B346)</f>
        <v/>
      </c>
      <c r="D346" s="35">
        <f>'Parámetros Proyección'!$B$3*(1+'Parámetros Proyección'!$B$4)^(C346-YEAR('Parámetros Proyección'!$B$6))</f>
        <v/>
      </c>
      <c r="E346" s="35">
        <f>J345</f>
        <v/>
      </c>
      <c r="F346" s="35">
        <f>E346*(1+'Parámetros Proyección'!$E$11)</f>
        <v/>
      </c>
      <c r="G346" s="35">
        <f>F346*'Parámetros Proyección'!$F$11</f>
        <v/>
      </c>
      <c r="H346" s="35">
        <f>F346+G346</f>
        <v/>
      </c>
      <c r="I346" s="35">
        <f>IF((H346/AI346&gt;'Parámetros Proyección'!$G$11),0,D346*'Parámetros Proyección'!$G$11/(IF((H346/AI346&gt;'Parámetros Proyección'!$G$11),0,'Parámetros Proyección'!$G$11)+IF((N346/AI346&gt;'Parámetros Proyección'!$G$12),0,'Parámetros Proyección'!$G$12)+IF((T346/AI346&gt;'Parámetros Proyección'!$G$13),0,'Parámetros Proyección'!$G$13)+IF((Z346/AI346&gt;'Parámetros Proyección'!$G$14),0,'Parámetros Proyección'!$G$14)+IF((AF346/AI346&gt;'Parámetros Proyección'!$G$15),0,'Parámetros Proyección'!$G$15)))</f>
        <v/>
      </c>
      <c r="J346" s="35">
        <f>H346+I346</f>
        <v/>
      </c>
      <c r="K346" s="35">
        <f>P345</f>
        <v/>
      </c>
      <c r="L346" s="35">
        <f>K346*(1+'Parámetros Proyección'!$E$12)</f>
        <v/>
      </c>
      <c r="M346" s="35">
        <f>L346*'Parámetros Proyección'!$F$12</f>
        <v/>
      </c>
      <c r="N346" s="35">
        <f>L346+M346</f>
        <v/>
      </c>
      <c r="O346" s="35">
        <f>IF((N346/AI346&gt;'Parámetros Proyección'!$G$12),0,D346*'Parámetros Proyección'!$G$12/(IF((H346/AI346&gt;'Parámetros Proyección'!$G$11),0,'Parámetros Proyección'!$G$11)+IF((N346/AI346&gt;'Parámetros Proyección'!$G$12),0,'Parámetros Proyección'!$G$12)+IF((T346/AI346&gt;'Parámetros Proyección'!$G$13),0,'Parámetros Proyección'!$G$13)+IF((Z346/AI346&gt;'Parámetros Proyección'!$G$14),0,'Parámetros Proyección'!$G$14)+IF((AF346/AI346&gt;'Parámetros Proyección'!$G$15),0,'Parámetros Proyección'!$G$15)))</f>
        <v/>
      </c>
      <c r="P346" s="35">
        <f>N346+O346</f>
        <v/>
      </c>
      <c r="Q346" s="35">
        <f>V345</f>
        <v/>
      </c>
      <c r="R346" s="35">
        <f>Q346*(1+'Parámetros Proyección'!$E$13)</f>
        <v/>
      </c>
      <c r="S346" s="35">
        <f>R346*'Parámetros Proyección'!$F$13</f>
        <v/>
      </c>
      <c r="T346" s="35">
        <f>R346+S346</f>
        <v/>
      </c>
      <c r="U346" s="35">
        <f>IF((T346/AI346&gt;'Parámetros Proyección'!$G$13),0,D346*'Parámetros Proyección'!$G$13/(IF((H346/AI346&gt;'Parámetros Proyección'!$G$11),0,'Parámetros Proyección'!$G$11)+IF((N346/AI346&gt;'Parámetros Proyección'!$G$12),0,'Parámetros Proyección'!$G$12)+IF((T346/AI346&gt;'Parámetros Proyección'!$G$13),0,'Parámetros Proyección'!$G$13)+IF((Z346/AI346&gt;'Parámetros Proyección'!$G$14),0,'Parámetros Proyección'!$G$14)+IF((AF346/AI346&gt;'Parámetros Proyección'!$G$15),0,'Parámetros Proyección'!$G$15)))</f>
        <v/>
      </c>
      <c r="V346" s="35">
        <f>T346+U346</f>
        <v/>
      </c>
      <c r="W346" s="35">
        <f>AB345</f>
        <v/>
      </c>
      <c r="X346" s="35">
        <f>W346*(1+'Parámetros Proyección'!$E$14)</f>
        <v/>
      </c>
      <c r="Y346" s="35">
        <f>X346*'Parámetros Proyección'!$F$14</f>
        <v/>
      </c>
      <c r="Z346" s="35">
        <f>X346+Y346</f>
        <v/>
      </c>
      <c r="AA346" s="35">
        <f>IF((Z346/AI346&gt;'Parámetros Proyección'!$G$14),0,D346*'Parámetros Proyección'!$G$14/(IF((H346/AI346&gt;'Parámetros Proyección'!$G$11),0,'Parámetros Proyección'!$G$11)+IF((N346/AI346&gt;'Parámetros Proyección'!$G$12),0,'Parámetros Proyección'!$G$12)+IF((T346/AI346&gt;'Parámetros Proyección'!$G$13),0,'Parámetros Proyección'!$G$13)+IF((Z346/AI346&gt;'Parámetros Proyección'!$G$14),0,'Parámetros Proyección'!$G$14)+IF((AF346/AI346&gt;'Parámetros Proyección'!$G$15),0,'Parámetros Proyección'!$G$15)))</f>
        <v/>
      </c>
      <c r="AB346" s="35">
        <f>Z346+AA346</f>
        <v/>
      </c>
      <c r="AC346" s="35">
        <f>AH345</f>
        <v/>
      </c>
      <c r="AD346" s="35">
        <f>AC346*(1+'Parámetros Proyección'!$E$15)</f>
        <v/>
      </c>
      <c r="AE346" s="35">
        <f>AD346*'Parámetros Proyección'!$F$15</f>
        <v/>
      </c>
      <c r="AF346" s="35">
        <f>AD346+AE346</f>
        <v/>
      </c>
      <c r="AG346" s="35">
        <f>IF((AF346/AI346&gt;'Parámetros Proyección'!$G$15),0,D346*'Parámetros Proyección'!$G$15/(IF((H346/AI346&gt;'Parámetros Proyección'!$G$11),0,'Parámetros Proyección'!$G$11)+IF((N346/AI346&gt;'Parámetros Proyección'!$G$12),0,'Parámetros Proyección'!$G$12)+IF((T346/AI346&gt;'Parámetros Proyección'!$G$13),0,'Parámetros Proyección'!$G$13)+IF((Z346/AI346&gt;'Parámetros Proyección'!$G$14),0,'Parámetros Proyección'!$G$14)+IF((AF346/AI346&gt;'Parámetros Proyección'!$G$15),0,'Parámetros Proyección'!$G$15)))</f>
        <v/>
      </c>
      <c r="AH346" s="35">
        <f>AF346+AG346</f>
        <v/>
      </c>
      <c r="AI346" s="35">
        <f>H346+N346+T346+Z346+AF346</f>
        <v/>
      </c>
      <c r="AJ346" s="33">
        <f>AF346/AI346</f>
        <v/>
      </c>
      <c r="AK346">
        <f>IF(AJ346&gt;'Parámetros Proyección'!$B$5,1,0)</f>
        <v/>
      </c>
      <c r="AL346" s="35">
        <f>G346+M346+S346+Y346+AE346</f>
        <v/>
      </c>
      <c r="AM346" s="35">
        <f>AM345+D346</f>
        <v/>
      </c>
      <c r="AN346" s="35">
        <f>AN345+AL346</f>
        <v/>
      </c>
      <c r="AO346" s="35">
        <f>J346+P346+V346+AB346+AH346</f>
        <v/>
      </c>
    </row>
    <row r="347">
      <c r="A347" t="n">
        <v>344</v>
      </c>
      <c r="B347" s="34">
        <f>EDATE(B346,1)</f>
        <v/>
      </c>
      <c r="C347">
        <f>YEAR(B347)</f>
        <v/>
      </c>
      <c r="D347" s="35">
        <f>'Parámetros Proyección'!$B$3*(1+'Parámetros Proyección'!$B$4)^(C347-YEAR('Parámetros Proyección'!$B$6))</f>
        <v/>
      </c>
      <c r="E347" s="35">
        <f>J346</f>
        <v/>
      </c>
      <c r="F347" s="35">
        <f>E347*(1+'Parámetros Proyección'!$E$11)</f>
        <v/>
      </c>
      <c r="G347" s="35">
        <f>F347*'Parámetros Proyección'!$F$11</f>
        <v/>
      </c>
      <c r="H347" s="35">
        <f>F347+G347</f>
        <v/>
      </c>
      <c r="I347" s="35">
        <f>IF((H347/AI347&gt;'Parámetros Proyección'!$G$11),0,D347*'Parámetros Proyección'!$G$11/(IF((H347/AI347&gt;'Parámetros Proyección'!$G$11),0,'Parámetros Proyección'!$G$11)+IF((N347/AI347&gt;'Parámetros Proyección'!$G$12),0,'Parámetros Proyección'!$G$12)+IF((T347/AI347&gt;'Parámetros Proyección'!$G$13),0,'Parámetros Proyección'!$G$13)+IF((Z347/AI347&gt;'Parámetros Proyección'!$G$14),0,'Parámetros Proyección'!$G$14)+IF((AF347/AI347&gt;'Parámetros Proyección'!$G$15),0,'Parámetros Proyección'!$G$15)))</f>
        <v/>
      </c>
      <c r="J347" s="35">
        <f>H347+I347</f>
        <v/>
      </c>
      <c r="K347" s="35">
        <f>P346</f>
        <v/>
      </c>
      <c r="L347" s="35">
        <f>K347*(1+'Parámetros Proyección'!$E$12)</f>
        <v/>
      </c>
      <c r="M347" s="35">
        <f>L347*'Parámetros Proyección'!$F$12</f>
        <v/>
      </c>
      <c r="N347" s="35">
        <f>L347+M347</f>
        <v/>
      </c>
      <c r="O347" s="35">
        <f>IF((N347/AI347&gt;'Parámetros Proyección'!$G$12),0,D347*'Parámetros Proyección'!$G$12/(IF((H347/AI347&gt;'Parámetros Proyección'!$G$11),0,'Parámetros Proyección'!$G$11)+IF((N347/AI347&gt;'Parámetros Proyección'!$G$12),0,'Parámetros Proyección'!$G$12)+IF((T347/AI347&gt;'Parámetros Proyección'!$G$13),0,'Parámetros Proyección'!$G$13)+IF((Z347/AI347&gt;'Parámetros Proyección'!$G$14),0,'Parámetros Proyección'!$G$14)+IF((AF347/AI347&gt;'Parámetros Proyección'!$G$15),0,'Parámetros Proyección'!$G$15)))</f>
        <v/>
      </c>
      <c r="P347" s="35">
        <f>N347+O347</f>
        <v/>
      </c>
      <c r="Q347" s="35">
        <f>V346</f>
        <v/>
      </c>
      <c r="R347" s="35">
        <f>Q347*(1+'Parámetros Proyección'!$E$13)</f>
        <v/>
      </c>
      <c r="S347" s="35">
        <f>R347*'Parámetros Proyección'!$F$13</f>
        <v/>
      </c>
      <c r="T347" s="35">
        <f>R347+S347</f>
        <v/>
      </c>
      <c r="U347" s="35">
        <f>IF((T347/AI347&gt;'Parámetros Proyección'!$G$13),0,D347*'Parámetros Proyección'!$G$13/(IF((H347/AI347&gt;'Parámetros Proyección'!$G$11),0,'Parámetros Proyección'!$G$11)+IF((N347/AI347&gt;'Parámetros Proyección'!$G$12),0,'Parámetros Proyección'!$G$12)+IF((T347/AI347&gt;'Parámetros Proyección'!$G$13),0,'Parámetros Proyección'!$G$13)+IF((Z347/AI347&gt;'Parámetros Proyección'!$G$14),0,'Parámetros Proyección'!$G$14)+IF((AF347/AI347&gt;'Parámetros Proyección'!$G$15),0,'Parámetros Proyección'!$G$15)))</f>
        <v/>
      </c>
      <c r="V347" s="35">
        <f>T347+U347</f>
        <v/>
      </c>
      <c r="W347" s="35">
        <f>AB346</f>
        <v/>
      </c>
      <c r="X347" s="35">
        <f>W347*(1+'Parámetros Proyección'!$E$14)</f>
        <v/>
      </c>
      <c r="Y347" s="35">
        <f>X347*'Parámetros Proyección'!$F$14</f>
        <v/>
      </c>
      <c r="Z347" s="35">
        <f>X347+Y347</f>
        <v/>
      </c>
      <c r="AA347" s="35">
        <f>IF((Z347/AI347&gt;'Parámetros Proyección'!$G$14),0,D347*'Parámetros Proyección'!$G$14/(IF((H347/AI347&gt;'Parámetros Proyección'!$G$11),0,'Parámetros Proyección'!$G$11)+IF((N347/AI347&gt;'Parámetros Proyección'!$G$12),0,'Parámetros Proyección'!$G$12)+IF((T347/AI347&gt;'Parámetros Proyección'!$G$13),0,'Parámetros Proyección'!$G$13)+IF((Z347/AI347&gt;'Parámetros Proyección'!$G$14),0,'Parámetros Proyección'!$G$14)+IF((AF347/AI347&gt;'Parámetros Proyección'!$G$15),0,'Parámetros Proyección'!$G$15)))</f>
        <v/>
      </c>
      <c r="AB347" s="35">
        <f>Z347+AA347</f>
        <v/>
      </c>
      <c r="AC347" s="35">
        <f>AH346</f>
        <v/>
      </c>
      <c r="AD347" s="35">
        <f>AC347*(1+'Parámetros Proyección'!$E$15)</f>
        <v/>
      </c>
      <c r="AE347" s="35">
        <f>AD347*'Parámetros Proyección'!$F$15</f>
        <v/>
      </c>
      <c r="AF347" s="35">
        <f>AD347+AE347</f>
        <v/>
      </c>
      <c r="AG347" s="35">
        <f>IF((AF347/AI347&gt;'Parámetros Proyección'!$G$15),0,D347*'Parámetros Proyección'!$G$15/(IF((H347/AI347&gt;'Parámetros Proyección'!$G$11),0,'Parámetros Proyección'!$G$11)+IF((N347/AI347&gt;'Parámetros Proyección'!$G$12),0,'Parámetros Proyección'!$G$12)+IF((T347/AI347&gt;'Parámetros Proyección'!$G$13),0,'Parámetros Proyección'!$G$13)+IF((Z347/AI347&gt;'Parámetros Proyección'!$G$14),0,'Parámetros Proyección'!$G$14)+IF((AF347/AI347&gt;'Parámetros Proyección'!$G$15),0,'Parámetros Proyección'!$G$15)))</f>
        <v/>
      </c>
      <c r="AH347" s="35">
        <f>AF347+AG347</f>
        <v/>
      </c>
      <c r="AI347" s="35">
        <f>H347+N347+T347+Z347+AF347</f>
        <v/>
      </c>
      <c r="AJ347" s="33">
        <f>AF347/AI347</f>
        <v/>
      </c>
      <c r="AK347">
        <f>IF(AJ347&gt;'Parámetros Proyección'!$B$5,1,0)</f>
        <v/>
      </c>
      <c r="AL347" s="35">
        <f>G347+M347+S347+Y347+AE347</f>
        <v/>
      </c>
      <c r="AM347" s="35">
        <f>AM346+D347</f>
        <v/>
      </c>
      <c r="AN347" s="35">
        <f>AN346+AL347</f>
        <v/>
      </c>
      <c r="AO347" s="35">
        <f>J347+P347+V347+AB347+AH347</f>
        <v/>
      </c>
    </row>
    <row r="348">
      <c r="A348" t="n">
        <v>345</v>
      </c>
      <c r="B348" s="34">
        <f>EDATE(B347,1)</f>
        <v/>
      </c>
      <c r="C348">
        <f>YEAR(B348)</f>
        <v/>
      </c>
      <c r="D348" s="35">
        <f>'Parámetros Proyección'!$B$3*(1+'Parámetros Proyección'!$B$4)^(C348-YEAR('Parámetros Proyección'!$B$6))</f>
        <v/>
      </c>
      <c r="E348" s="35">
        <f>J347</f>
        <v/>
      </c>
      <c r="F348" s="35">
        <f>E348*(1+'Parámetros Proyección'!$E$11)</f>
        <v/>
      </c>
      <c r="G348" s="35">
        <f>F348*'Parámetros Proyección'!$F$11</f>
        <v/>
      </c>
      <c r="H348" s="35">
        <f>F348+G348</f>
        <v/>
      </c>
      <c r="I348" s="35">
        <f>IF((H348/AI348&gt;'Parámetros Proyección'!$G$11),0,D348*'Parámetros Proyección'!$G$11/(IF((H348/AI348&gt;'Parámetros Proyección'!$G$11),0,'Parámetros Proyección'!$G$11)+IF((N348/AI348&gt;'Parámetros Proyección'!$G$12),0,'Parámetros Proyección'!$G$12)+IF((T348/AI348&gt;'Parámetros Proyección'!$G$13),0,'Parámetros Proyección'!$G$13)+IF((Z348/AI348&gt;'Parámetros Proyección'!$G$14),0,'Parámetros Proyección'!$G$14)+IF((AF348/AI348&gt;'Parámetros Proyección'!$G$15),0,'Parámetros Proyección'!$G$15)))</f>
        <v/>
      </c>
      <c r="J348" s="35">
        <f>H348+I348</f>
        <v/>
      </c>
      <c r="K348" s="35">
        <f>P347</f>
        <v/>
      </c>
      <c r="L348" s="35">
        <f>K348*(1+'Parámetros Proyección'!$E$12)</f>
        <v/>
      </c>
      <c r="M348" s="35">
        <f>L348*'Parámetros Proyección'!$F$12</f>
        <v/>
      </c>
      <c r="N348" s="35">
        <f>L348+M348</f>
        <v/>
      </c>
      <c r="O348" s="35">
        <f>IF((N348/AI348&gt;'Parámetros Proyección'!$G$12),0,D348*'Parámetros Proyección'!$G$12/(IF((H348/AI348&gt;'Parámetros Proyección'!$G$11),0,'Parámetros Proyección'!$G$11)+IF((N348/AI348&gt;'Parámetros Proyección'!$G$12),0,'Parámetros Proyección'!$G$12)+IF((T348/AI348&gt;'Parámetros Proyección'!$G$13),0,'Parámetros Proyección'!$G$13)+IF((Z348/AI348&gt;'Parámetros Proyección'!$G$14),0,'Parámetros Proyección'!$G$14)+IF((AF348/AI348&gt;'Parámetros Proyección'!$G$15),0,'Parámetros Proyección'!$G$15)))</f>
        <v/>
      </c>
      <c r="P348" s="35">
        <f>N348+O348</f>
        <v/>
      </c>
      <c r="Q348" s="35">
        <f>V347</f>
        <v/>
      </c>
      <c r="R348" s="35">
        <f>Q348*(1+'Parámetros Proyección'!$E$13)</f>
        <v/>
      </c>
      <c r="S348" s="35">
        <f>R348*'Parámetros Proyección'!$F$13</f>
        <v/>
      </c>
      <c r="T348" s="35">
        <f>R348+S348</f>
        <v/>
      </c>
      <c r="U348" s="35">
        <f>IF((T348/AI348&gt;'Parámetros Proyección'!$G$13),0,D348*'Parámetros Proyección'!$G$13/(IF((H348/AI348&gt;'Parámetros Proyección'!$G$11),0,'Parámetros Proyección'!$G$11)+IF((N348/AI348&gt;'Parámetros Proyección'!$G$12),0,'Parámetros Proyección'!$G$12)+IF((T348/AI348&gt;'Parámetros Proyección'!$G$13),0,'Parámetros Proyección'!$G$13)+IF((Z348/AI348&gt;'Parámetros Proyección'!$G$14),0,'Parámetros Proyección'!$G$14)+IF((AF348/AI348&gt;'Parámetros Proyección'!$G$15),0,'Parámetros Proyección'!$G$15)))</f>
        <v/>
      </c>
      <c r="V348" s="35">
        <f>T348+U348</f>
        <v/>
      </c>
      <c r="W348" s="35">
        <f>AB347</f>
        <v/>
      </c>
      <c r="X348" s="35">
        <f>W348*(1+'Parámetros Proyección'!$E$14)</f>
        <v/>
      </c>
      <c r="Y348" s="35">
        <f>X348*'Parámetros Proyección'!$F$14</f>
        <v/>
      </c>
      <c r="Z348" s="35">
        <f>X348+Y348</f>
        <v/>
      </c>
      <c r="AA348" s="35">
        <f>IF((Z348/AI348&gt;'Parámetros Proyección'!$G$14),0,D348*'Parámetros Proyección'!$G$14/(IF((H348/AI348&gt;'Parámetros Proyección'!$G$11),0,'Parámetros Proyección'!$G$11)+IF((N348/AI348&gt;'Parámetros Proyección'!$G$12),0,'Parámetros Proyección'!$G$12)+IF((T348/AI348&gt;'Parámetros Proyección'!$G$13),0,'Parámetros Proyección'!$G$13)+IF((Z348/AI348&gt;'Parámetros Proyección'!$G$14),0,'Parámetros Proyección'!$G$14)+IF((AF348/AI348&gt;'Parámetros Proyección'!$G$15),0,'Parámetros Proyección'!$G$15)))</f>
        <v/>
      </c>
      <c r="AB348" s="35">
        <f>Z348+AA348</f>
        <v/>
      </c>
      <c r="AC348" s="35">
        <f>AH347</f>
        <v/>
      </c>
      <c r="AD348" s="35">
        <f>AC348*(1+'Parámetros Proyección'!$E$15)</f>
        <v/>
      </c>
      <c r="AE348" s="35">
        <f>AD348*'Parámetros Proyección'!$F$15</f>
        <v/>
      </c>
      <c r="AF348" s="35">
        <f>AD348+AE348</f>
        <v/>
      </c>
      <c r="AG348" s="35">
        <f>IF((AF348/AI348&gt;'Parámetros Proyección'!$G$15),0,D348*'Parámetros Proyección'!$G$15/(IF((H348/AI348&gt;'Parámetros Proyección'!$G$11),0,'Parámetros Proyección'!$G$11)+IF((N348/AI348&gt;'Parámetros Proyección'!$G$12),0,'Parámetros Proyección'!$G$12)+IF((T348/AI348&gt;'Parámetros Proyección'!$G$13),0,'Parámetros Proyección'!$G$13)+IF((Z348/AI348&gt;'Parámetros Proyección'!$G$14),0,'Parámetros Proyección'!$G$14)+IF((AF348/AI348&gt;'Parámetros Proyección'!$G$15),0,'Parámetros Proyección'!$G$15)))</f>
        <v/>
      </c>
      <c r="AH348" s="35">
        <f>AF348+AG348</f>
        <v/>
      </c>
      <c r="AI348" s="35">
        <f>H348+N348+T348+Z348+AF348</f>
        <v/>
      </c>
      <c r="AJ348" s="33">
        <f>AF348/AI348</f>
        <v/>
      </c>
      <c r="AK348">
        <f>IF(AJ348&gt;'Parámetros Proyección'!$B$5,1,0)</f>
        <v/>
      </c>
      <c r="AL348" s="35">
        <f>G348+M348+S348+Y348+AE348</f>
        <v/>
      </c>
      <c r="AM348" s="35">
        <f>AM347+D348</f>
        <v/>
      </c>
      <c r="AN348" s="35">
        <f>AN347+AL348</f>
        <v/>
      </c>
      <c r="AO348" s="35">
        <f>J348+P348+V348+AB348+AH348</f>
        <v/>
      </c>
    </row>
    <row r="349">
      <c r="A349" t="n">
        <v>346</v>
      </c>
      <c r="B349" s="34">
        <f>EDATE(B348,1)</f>
        <v/>
      </c>
      <c r="C349">
        <f>YEAR(B349)</f>
        <v/>
      </c>
      <c r="D349" s="35">
        <f>'Parámetros Proyección'!$B$3*(1+'Parámetros Proyección'!$B$4)^(C349-YEAR('Parámetros Proyección'!$B$6))</f>
        <v/>
      </c>
      <c r="E349" s="35">
        <f>J348</f>
        <v/>
      </c>
      <c r="F349" s="35">
        <f>E349*(1+'Parámetros Proyección'!$E$11)</f>
        <v/>
      </c>
      <c r="G349" s="35">
        <f>F349*'Parámetros Proyección'!$F$11</f>
        <v/>
      </c>
      <c r="H349" s="35">
        <f>F349+G349</f>
        <v/>
      </c>
      <c r="I349" s="35">
        <f>IF((H349/AI349&gt;'Parámetros Proyección'!$G$11),0,D349*'Parámetros Proyección'!$G$11/(IF((H349/AI349&gt;'Parámetros Proyección'!$G$11),0,'Parámetros Proyección'!$G$11)+IF((N349/AI349&gt;'Parámetros Proyección'!$G$12),0,'Parámetros Proyección'!$G$12)+IF((T349/AI349&gt;'Parámetros Proyección'!$G$13),0,'Parámetros Proyección'!$G$13)+IF((Z349/AI349&gt;'Parámetros Proyección'!$G$14),0,'Parámetros Proyección'!$G$14)+IF((AF349/AI349&gt;'Parámetros Proyección'!$G$15),0,'Parámetros Proyección'!$G$15)))</f>
        <v/>
      </c>
      <c r="J349" s="35">
        <f>H349+I349</f>
        <v/>
      </c>
      <c r="K349" s="35">
        <f>P348</f>
        <v/>
      </c>
      <c r="L349" s="35">
        <f>K349*(1+'Parámetros Proyección'!$E$12)</f>
        <v/>
      </c>
      <c r="M349" s="35">
        <f>L349*'Parámetros Proyección'!$F$12</f>
        <v/>
      </c>
      <c r="N349" s="35">
        <f>L349+M349</f>
        <v/>
      </c>
      <c r="O349" s="35">
        <f>IF((N349/AI349&gt;'Parámetros Proyección'!$G$12),0,D349*'Parámetros Proyección'!$G$12/(IF((H349/AI349&gt;'Parámetros Proyección'!$G$11),0,'Parámetros Proyección'!$G$11)+IF((N349/AI349&gt;'Parámetros Proyección'!$G$12),0,'Parámetros Proyección'!$G$12)+IF((T349/AI349&gt;'Parámetros Proyección'!$G$13),0,'Parámetros Proyección'!$G$13)+IF((Z349/AI349&gt;'Parámetros Proyección'!$G$14),0,'Parámetros Proyección'!$G$14)+IF((AF349/AI349&gt;'Parámetros Proyección'!$G$15),0,'Parámetros Proyección'!$G$15)))</f>
        <v/>
      </c>
      <c r="P349" s="35">
        <f>N349+O349</f>
        <v/>
      </c>
      <c r="Q349" s="35">
        <f>V348</f>
        <v/>
      </c>
      <c r="R349" s="35">
        <f>Q349*(1+'Parámetros Proyección'!$E$13)</f>
        <v/>
      </c>
      <c r="S349" s="35">
        <f>R349*'Parámetros Proyección'!$F$13</f>
        <v/>
      </c>
      <c r="T349" s="35">
        <f>R349+S349</f>
        <v/>
      </c>
      <c r="U349" s="35">
        <f>IF((T349/AI349&gt;'Parámetros Proyección'!$G$13),0,D349*'Parámetros Proyección'!$G$13/(IF((H349/AI349&gt;'Parámetros Proyección'!$G$11),0,'Parámetros Proyección'!$G$11)+IF((N349/AI349&gt;'Parámetros Proyección'!$G$12),0,'Parámetros Proyección'!$G$12)+IF((T349/AI349&gt;'Parámetros Proyección'!$G$13),0,'Parámetros Proyección'!$G$13)+IF((Z349/AI349&gt;'Parámetros Proyección'!$G$14),0,'Parámetros Proyección'!$G$14)+IF((AF349/AI349&gt;'Parámetros Proyección'!$G$15),0,'Parámetros Proyección'!$G$15)))</f>
        <v/>
      </c>
      <c r="V349" s="35">
        <f>T349+U349</f>
        <v/>
      </c>
      <c r="W349" s="35">
        <f>AB348</f>
        <v/>
      </c>
      <c r="X349" s="35">
        <f>W349*(1+'Parámetros Proyección'!$E$14)</f>
        <v/>
      </c>
      <c r="Y349" s="35">
        <f>X349*'Parámetros Proyección'!$F$14</f>
        <v/>
      </c>
      <c r="Z349" s="35">
        <f>X349+Y349</f>
        <v/>
      </c>
      <c r="AA349" s="35">
        <f>IF((Z349/AI349&gt;'Parámetros Proyección'!$G$14),0,D349*'Parámetros Proyección'!$G$14/(IF((H349/AI349&gt;'Parámetros Proyección'!$G$11),0,'Parámetros Proyección'!$G$11)+IF((N349/AI349&gt;'Parámetros Proyección'!$G$12),0,'Parámetros Proyección'!$G$12)+IF((T349/AI349&gt;'Parámetros Proyección'!$G$13),0,'Parámetros Proyección'!$G$13)+IF((Z349/AI349&gt;'Parámetros Proyección'!$G$14),0,'Parámetros Proyección'!$G$14)+IF((AF349/AI349&gt;'Parámetros Proyección'!$G$15),0,'Parámetros Proyección'!$G$15)))</f>
        <v/>
      </c>
      <c r="AB349" s="35">
        <f>Z349+AA349</f>
        <v/>
      </c>
      <c r="AC349" s="35">
        <f>AH348</f>
        <v/>
      </c>
      <c r="AD349" s="35">
        <f>AC349*(1+'Parámetros Proyección'!$E$15)</f>
        <v/>
      </c>
      <c r="AE349" s="35">
        <f>AD349*'Parámetros Proyección'!$F$15</f>
        <v/>
      </c>
      <c r="AF349" s="35">
        <f>AD349+AE349</f>
        <v/>
      </c>
      <c r="AG349" s="35">
        <f>IF((AF349/AI349&gt;'Parámetros Proyección'!$G$15),0,D349*'Parámetros Proyección'!$G$15/(IF((H349/AI349&gt;'Parámetros Proyección'!$G$11),0,'Parámetros Proyección'!$G$11)+IF((N349/AI349&gt;'Parámetros Proyección'!$G$12),0,'Parámetros Proyección'!$G$12)+IF((T349/AI349&gt;'Parámetros Proyección'!$G$13),0,'Parámetros Proyección'!$G$13)+IF((Z349/AI349&gt;'Parámetros Proyección'!$G$14),0,'Parámetros Proyección'!$G$14)+IF((AF349/AI349&gt;'Parámetros Proyección'!$G$15),0,'Parámetros Proyección'!$G$15)))</f>
        <v/>
      </c>
      <c r="AH349" s="35">
        <f>AF349+AG349</f>
        <v/>
      </c>
      <c r="AI349" s="35">
        <f>H349+N349+T349+Z349+AF349</f>
        <v/>
      </c>
      <c r="AJ349" s="33">
        <f>AF349/AI349</f>
        <v/>
      </c>
      <c r="AK349">
        <f>IF(AJ349&gt;'Parámetros Proyección'!$B$5,1,0)</f>
        <v/>
      </c>
      <c r="AL349" s="35">
        <f>G349+M349+S349+Y349+AE349</f>
        <v/>
      </c>
      <c r="AM349" s="35">
        <f>AM348+D349</f>
        <v/>
      </c>
      <c r="AN349" s="35">
        <f>AN348+AL349</f>
        <v/>
      </c>
      <c r="AO349" s="35">
        <f>J349+P349+V349+AB349+AH349</f>
        <v/>
      </c>
    </row>
    <row r="350">
      <c r="A350" t="n">
        <v>347</v>
      </c>
      <c r="B350" s="34">
        <f>EDATE(B349,1)</f>
        <v/>
      </c>
      <c r="C350">
        <f>YEAR(B350)</f>
        <v/>
      </c>
      <c r="D350" s="35">
        <f>'Parámetros Proyección'!$B$3*(1+'Parámetros Proyección'!$B$4)^(C350-YEAR('Parámetros Proyección'!$B$6))</f>
        <v/>
      </c>
      <c r="E350" s="35">
        <f>J349</f>
        <v/>
      </c>
      <c r="F350" s="35">
        <f>E350*(1+'Parámetros Proyección'!$E$11)</f>
        <v/>
      </c>
      <c r="G350" s="35">
        <f>F350*'Parámetros Proyección'!$F$11</f>
        <v/>
      </c>
      <c r="H350" s="35">
        <f>F350+G350</f>
        <v/>
      </c>
      <c r="I350" s="35">
        <f>IF((H350/AI350&gt;'Parámetros Proyección'!$G$11),0,D350*'Parámetros Proyección'!$G$11/(IF((H350/AI350&gt;'Parámetros Proyección'!$G$11),0,'Parámetros Proyección'!$G$11)+IF((N350/AI350&gt;'Parámetros Proyección'!$G$12),0,'Parámetros Proyección'!$G$12)+IF((T350/AI350&gt;'Parámetros Proyección'!$G$13),0,'Parámetros Proyección'!$G$13)+IF((Z350/AI350&gt;'Parámetros Proyección'!$G$14),0,'Parámetros Proyección'!$G$14)+IF((AF350/AI350&gt;'Parámetros Proyección'!$G$15),0,'Parámetros Proyección'!$G$15)))</f>
        <v/>
      </c>
      <c r="J350" s="35">
        <f>H350+I350</f>
        <v/>
      </c>
      <c r="K350" s="35">
        <f>P349</f>
        <v/>
      </c>
      <c r="L350" s="35">
        <f>K350*(1+'Parámetros Proyección'!$E$12)</f>
        <v/>
      </c>
      <c r="M350" s="35">
        <f>L350*'Parámetros Proyección'!$F$12</f>
        <v/>
      </c>
      <c r="N350" s="35">
        <f>L350+M350</f>
        <v/>
      </c>
      <c r="O350" s="35">
        <f>IF((N350/AI350&gt;'Parámetros Proyección'!$G$12),0,D350*'Parámetros Proyección'!$G$12/(IF((H350/AI350&gt;'Parámetros Proyección'!$G$11),0,'Parámetros Proyección'!$G$11)+IF((N350/AI350&gt;'Parámetros Proyección'!$G$12),0,'Parámetros Proyección'!$G$12)+IF((T350/AI350&gt;'Parámetros Proyección'!$G$13),0,'Parámetros Proyección'!$G$13)+IF((Z350/AI350&gt;'Parámetros Proyección'!$G$14),0,'Parámetros Proyección'!$G$14)+IF((AF350/AI350&gt;'Parámetros Proyección'!$G$15),0,'Parámetros Proyección'!$G$15)))</f>
        <v/>
      </c>
      <c r="P350" s="35">
        <f>N350+O350</f>
        <v/>
      </c>
      <c r="Q350" s="35">
        <f>V349</f>
        <v/>
      </c>
      <c r="R350" s="35">
        <f>Q350*(1+'Parámetros Proyección'!$E$13)</f>
        <v/>
      </c>
      <c r="S350" s="35">
        <f>R350*'Parámetros Proyección'!$F$13</f>
        <v/>
      </c>
      <c r="T350" s="35">
        <f>R350+S350</f>
        <v/>
      </c>
      <c r="U350" s="35">
        <f>IF((T350/AI350&gt;'Parámetros Proyección'!$G$13),0,D350*'Parámetros Proyección'!$G$13/(IF((H350/AI350&gt;'Parámetros Proyección'!$G$11),0,'Parámetros Proyección'!$G$11)+IF((N350/AI350&gt;'Parámetros Proyección'!$G$12),0,'Parámetros Proyección'!$G$12)+IF((T350/AI350&gt;'Parámetros Proyección'!$G$13),0,'Parámetros Proyección'!$G$13)+IF((Z350/AI350&gt;'Parámetros Proyección'!$G$14),0,'Parámetros Proyección'!$G$14)+IF((AF350/AI350&gt;'Parámetros Proyección'!$G$15),0,'Parámetros Proyección'!$G$15)))</f>
        <v/>
      </c>
      <c r="V350" s="35">
        <f>T350+U350</f>
        <v/>
      </c>
      <c r="W350" s="35">
        <f>AB349</f>
        <v/>
      </c>
      <c r="X350" s="35">
        <f>W350*(1+'Parámetros Proyección'!$E$14)</f>
        <v/>
      </c>
      <c r="Y350" s="35">
        <f>X350*'Parámetros Proyección'!$F$14</f>
        <v/>
      </c>
      <c r="Z350" s="35">
        <f>X350+Y350</f>
        <v/>
      </c>
      <c r="AA350" s="35">
        <f>IF((Z350/AI350&gt;'Parámetros Proyección'!$G$14),0,D350*'Parámetros Proyección'!$G$14/(IF((H350/AI350&gt;'Parámetros Proyección'!$G$11),0,'Parámetros Proyección'!$G$11)+IF((N350/AI350&gt;'Parámetros Proyección'!$G$12),0,'Parámetros Proyección'!$G$12)+IF((T350/AI350&gt;'Parámetros Proyección'!$G$13),0,'Parámetros Proyección'!$G$13)+IF((Z350/AI350&gt;'Parámetros Proyección'!$G$14),0,'Parámetros Proyección'!$G$14)+IF((AF350/AI350&gt;'Parámetros Proyección'!$G$15),0,'Parámetros Proyección'!$G$15)))</f>
        <v/>
      </c>
      <c r="AB350" s="35">
        <f>Z350+AA350</f>
        <v/>
      </c>
      <c r="AC350" s="35">
        <f>AH349</f>
        <v/>
      </c>
      <c r="AD350" s="35">
        <f>AC350*(1+'Parámetros Proyección'!$E$15)</f>
        <v/>
      </c>
      <c r="AE350" s="35">
        <f>AD350*'Parámetros Proyección'!$F$15</f>
        <v/>
      </c>
      <c r="AF350" s="35">
        <f>AD350+AE350</f>
        <v/>
      </c>
      <c r="AG350" s="35">
        <f>IF((AF350/AI350&gt;'Parámetros Proyección'!$G$15),0,D350*'Parámetros Proyección'!$G$15/(IF((H350/AI350&gt;'Parámetros Proyección'!$G$11),0,'Parámetros Proyección'!$G$11)+IF((N350/AI350&gt;'Parámetros Proyección'!$G$12),0,'Parámetros Proyección'!$G$12)+IF((T350/AI350&gt;'Parámetros Proyección'!$G$13),0,'Parámetros Proyección'!$G$13)+IF((Z350/AI350&gt;'Parámetros Proyección'!$G$14),0,'Parámetros Proyección'!$G$14)+IF((AF350/AI350&gt;'Parámetros Proyección'!$G$15),0,'Parámetros Proyección'!$G$15)))</f>
        <v/>
      </c>
      <c r="AH350" s="35">
        <f>AF350+AG350</f>
        <v/>
      </c>
      <c r="AI350" s="35">
        <f>H350+N350+T350+Z350+AF350</f>
        <v/>
      </c>
      <c r="AJ350" s="33">
        <f>AF350/AI350</f>
        <v/>
      </c>
      <c r="AK350">
        <f>IF(AJ350&gt;'Parámetros Proyección'!$B$5,1,0)</f>
        <v/>
      </c>
      <c r="AL350" s="35">
        <f>G350+M350+S350+Y350+AE350</f>
        <v/>
      </c>
      <c r="AM350" s="35">
        <f>AM349+D350</f>
        <v/>
      </c>
      <c r="AN350" s="35">
        <f>AN349+AL350</f>
        <v/>
      </c>
      <c r="AO350" s="35">
        <f>J350+P350+V350+AB350+AH350</f>
        <v/>
      </c>
    </row>
    <row r="351">
      <c r="A351" t="n">
        <v>348</v>
      </c>
      <c r="B351" s="34">
        <f>EDATE(B350,1)</f>
        <v/>
      </c>
      <c r="C351">
        <f>YEAR(B351)</f>
        <v/>
      </c>
      <c r="D351" s="35">
        <f>'Parámetros Proyección'!$B$3*(1+'Parámetros Proyección'!$B$4)^(C351-YEAR('Parámetros Proyección'!$B$6))</f>
        <v/>
      </c>
      <c r="E351" s="35">
        <f>J350</f>
        <v/>
      </c>
      <c r="F351" s="35">
        <f>E351*(1+'Parámetros Proyección'!$E$11)</f>
        <v/>
      </c>
      <c r="G351" s="35">
        <f>F351*'Parámetros Proyección'!$F$11</f>
        <v/>
      </c>
      <c r="H351" s="35">
        <f>F351+G351</f>
        <v/>
      </c>
      <c r="I351" s="35">
        <f>IF((H351/AI351&gt;'Parámetros Proyección'!$G$11),0,D351*'Parámetros Proyección'!$G$11/(IF((H351/AI351&gt;'Parámetros Proyección'!$G$11),0,'Parámetros Proyección'!$G$11)+IF((N351/AI351&gt;'Parámetros Proyección'!$G$12),0,'Parámetros Proyección'!$G$12)+IF((T351/AI351&gt;'Parámetros Proyección'!$G$13),0,'Parámetros Proyección'!$G$13)+IF((Z351/AI351&gt;'Parámetros Proyección'!$G$14),0,'Parámetros Proyección'!$G$14)+IF((AF351/AI351&gt;'Parámetros Proyección'!$G$15),0,'Parámetros Proyección'!$G$15)))</f>
        <v/>
      </c>
      <c r="J351" s="35">
        <f>H351+I351</f>
        <v/>
      </c>
      <c r="K351" s="35">
        <f>P350</f>
        <v/>
      </c>
      <c r="L351" s="35">
        <f>K351*(1+'Parámetros Proyección'!$E$12)</f>
        <v/>
      </c>
      <c r="M351" s="35">
        <f>L351*'Parámetros Proyección'!$F$12</f>
        <v/>
      </c>
      <c r="N351" s="35">
        <f>L351+M351</f>
        <v/>
      </c>
      <c r="O351" s="35">
        <f>IF((N351/AI351&gt;'Parámetros Proyección'!$G$12),0,D351*'Parámetros Proyección'!$G$12/(IF((H351/AI351&gt;'Parámetros Proyección'!$G$11),0,'Parámetros Proyección'!$G$11)+IF((N351/AI351&gt;'Parámetros Proyección'!$G$12),0,'Parámetros Proyección'!$G$12)+IF((T351/AI351&gt;'Parámetros Proyección'!$G$13),0,'Parámetros Proyección'!$G$13)+IF((Z351/AI351&gt;'Parámetros Proyección'!$G$14),0,'Parámetros Proyección'!$G$14)+IF((AF351/AI351&gt;'Parámetros Proyección'!$G$15),0,'Parámetros Proyección'!$G$15)))</f>
        <v/>
      </c>
      <c r="P351" s="35">
        <f>N351+O351</f>
        <v/>
      </c>
      <c r="Q351" s="35">
        <f>V350</f>
        <v/>
      </c>
      <c r="R351" s="35">
        <f>Q351*(1+'Parámetros Proyección'!$E$13)</f>
        <v/>
      </c>
      <c r="S351" s="35">
        <f>R351*'Parámetros Proyección'!$F$13</f>
        <v/>
      </c>
      <c r="T351" s="35">
        <f>R351+S351</f>
        <v/>
      </c>
      <c r="U351" s="35">
        <f>IF((T351/AI351&gt;'Parámetros Proyección'!$G$13),0,D351*'Parámetros Proyección'!$G$13/(IF((H351/AI351&gt;'Parámetros Proyección'!$G$11),0,'Parámetros Proyección'!$G$11)+IF((N351/AI351&gt;'Parámetros Proyección'!$G$12),0,'Parámetros Proyección'!$G$12)+IF((T351/AI351&gt;'Parámetros Proyección'!$G$13),0,'Parámetros Proyección'!$G$13)+IF((Z351/AI351&gt;'Parámetros Proyección'!$G$14),0,'Parámetros Proyección'!$G$14)+IF((AF351/AI351&gt;'Parámetros Proyección'!$G$15),0,'Parámetros Proyección'!$G$15)))</f>
        <v/>
      </c>
      <c r="V351" s="35">
        <f>T351+U351</f>
        <v/>
      </c>
      <c r="W351" s="35">
        <f>AB350</f>
        <v/>
      </c>
      <c r="X351" s="35">
        <f>W351*(1+'Parámetros Proyección'!$E$14)</f>
        <v/>
      </c>
      <c r="Y351" s="35">
        <f>X351*'Parámetros Proyección'!$F$14</f>
        <v/>
      </c>
      <c r="Z351" s="35">
        <f>X351+Y351</f>
        <v/>
      </c>
      <c r="AA351" s="35">
        <f>IF((Z351/AI351&gt;'Parámetros Proyección'!$G$14),0,D351*'Parámetros Proyección'!$G$14/(IF((H351/AI351&gt;'Parámetros Proyección'!$G$11),0,'Parámetros Proyección'!$G$11)+IF((N351/AI351&gt;'Parámetros Proyección'!$G$12),0,'Parámetros Proyección'!$G$12)+IF((T351/AI351&gt;'Parámetros Proyección'!$G$13),0,'Parámetros Proyección'!$G$13)+IF((Z351/AI351&gt;'Parámetros Proyección'!$G$14),0,'Parámetros Proyección'!$G$14)+IF((AF351/AI351&gt;'Parámetros Proyección'!$G$15),0,'Parámetros Proyección'!$G$15)))</f>
        <v/>
      </c>
      <c r="AB351" s="35">
        <f>Z351+AA351</f>
        <v/>
      </c>
      <c r="AC351" s="35">
        <f>AH350</f>
        <v/>
      </c>
      <c r="AD351" s="35">
        <f>AC351*(1+'Parámetros Proyección'!$E$15)</f>
        <v/>
      </c>
      <c r="AE351" s="35">
        <f>AD351*'Parámetros Proyección'!$F$15</f>
        <v/>
      </c>
      <c r="AF351" s="35">
        <f>AD351+AE351</f>
        <v/>
      </c>
      <c r="AG351" s="35">
        <f>IF((AF351/AI351&gt;'Parámetros Proyección'!$G$15),0,D351*'Parámetros Proyección'!$G$15/(IF((H351/AI351&gt;'Parámetros Proyección'!$G$11),0,'Parámetros Proyección'!$G$11)+IF((N351/AI351&gt;'Parámetros Proyección'!$G$12),0,'Parámetros Proyección'!$G$12)+IF((T351/AI351&gt;'Parámetros Proyección'!$G$13),0,'Parámetros Proyección'!$G$13)+IF((Z351/AI351&gt;'Parámetros Proyección'!$G$14),0,'Parámetros Proyección'!$G$14)+IF((AF351/AI351&gt;'Parámetros Proyección'!$G$15),0,'Parámetros Proyección'!$G$15)))</f>
        <v/>
      </c>
      <c r="AH351" s="35">
        <f>AF351+AG351</f>
        <v/>
      </c>
      <c r="AI351" s="35">
        <f>H351+N351+T351+Z351+AF351</f>
        <v/>
      </c>
      <c r="AJ351" s="33">
        <f>AF351/AI351</f>
        <v/>
      </c>
      <c r="AK351">
        <f>IF(AJ351&gt;'Parámetros Proyección'!$B$5,1,0)</f>
        <v/>
      </c>
      <c r="AL351" s="35">
        <f>G351+M351+S351+Y351+AE351</f>
        <v/>
      </c>
      <c r="AM351" s="35">
        <f>AM350+D351</f>
        <v/>
      </c>
      <c r="AN351" s="35">
        <f>AN350+AL351</f>
        <v/>
      </c>
      <c r="AO351" s="35">
        <f>J351+P351+V351+AB351+AH351</f>
        <v/>
      </c>
    </row>
    <row r="352">
      <c r="A352" t="n">
        <v>349</v>
      </c>
      <c r="B352" s="34">
        <f>EDATE(B351,1)</f>
        <v/>
      </c>
      <c r="C352">
        <f>YEAR(B352)</f>
        <v/>
      </c>
      <c r="D352" s="35">
        <f>'Parámetros Proyección'!$B$3*(1+'Parámetros Proyección'!$B$4)^(C352-YEAR('Parámetros Proyección'!$B$6))</f>
        <v/>
      </c>
      <c r="E352" s="35">
        <f>J351</f>
        <v/>
      </c>
      <c r="F352" s="35">
        <f>E352*(1+'Parámetros Proyección'!$E$11)</f>
        <v/>
      </c>
      <c r="G352" s="35">
        <f>F352*'Parámetros Proyección'!$F$11</f>
        <v/>
      </c>
      <c r="H352" s="35">
        <f>F352+G352</f>
        <v/>
      </c>
      <c r="I352" s="35">
        <f>IF((H352/AI352&gt;'Parámetros Proyección'!$G$11),0,D352*'Parámetros Proyección'!$G$11/(IF((H352/AI352&gt;'Parámetros Proyección'!$G$11),0,'Parámetros Proyección'!$G$11)+IF((N352/AI352&gt;'Parámetros Proyección'!$G$12),0,'Parámetros Proyección'!$G$12)+IF((T352/AI352&gt;'Parámetros Proyección'!$G$13),0,'Parámetros Proyección'!$G$13)+IF((Z352/AI352&gt;'Parámetros Proyección'!$G$14),0,'Parámetros Proyección'!$G$14)+IF((AF352/AI352&gt;'Parámetros Proyección'!$G$15),0,'Parámetros Proyección'!$G$15)))</f>
        <v/>
      </c>
      <c r="J352" s="35">
        <f>H352+I352</f>
        <v/>
      </c>
      <c r="K352" s="35">
        <f>P351</f>
        <v/>
      </c>
      <c r="L352" s="35">
        <f>K352*(1+'Parámetros Proyección'!$E$12)</f>
        <v/>
      </c>
      <c r="M352" s="35">
        <f>L352*'Parámetros Proyección'!$F$12</f>
        <v/>
      </c>
      <c r="N352" s="35">
        <f>L352+M352</f>
        <v/>
      </c>
      <c r="O352" s="35">
        <f>IF((N352/AI352&gt;'Parámetros Proyección'!$G$12),0,D352*'Parámetros Proyección'!$G$12/(IF((H352/AI352&gt;'Parámetros Proyección'!$G$11),0,'Parámetros Proyección'!$G$11)+IF((N352/AI352&gt;'Parámetros Proyección'!$G$12),0,'Parámetros Proyección'!$G$12)+IF((T352/AI352&gt;'Parámetros Proyección'!$G$13),0,'Parámetros Proyección'!$G$13)+IF((Z352/AI352&gt;'Parámetros Proyección'!$G$14),0,'Parámetros Proyección'!$G$14)+IF((AF352/AI352&gt;'Parámetros Proyección'!$G$15),0,'Parámetros Proyección'!$G$15)))</f>
        <v/>
      </c>
      <c r="P352" s="35">
        <f>N352+O352</f>
        <v/>
      </c>
      <c r="Q352" s="35">
        <f>V351</f>
        <v/>
      </c>
      <c r="R352" s="35">
        <f>Q352*(1+'Parámetros Proyección'!$E$13)</f>
        <v/>
      </c>
      <c r="S352" s="35">
        <f>R352*'Parámetros Proyección'!$F$13</f>
        <v/>
      </c>
      <c r="T352" s="35">
        <f>R352+S352</f>
        <v/>
      </c>
      <c r="U352" s="35">
        <f>IF((T352/AI352&gt;'Parámetros Proyección'!$G$13),0,D352*'Parámetros Proyección'!$G$13/(IF((H352/AI352&gt;'Parámetros Proyección'!$G$11),0,'Parámetros Proyección'!$G$11)+IF((N352/AI352&gt;'Parámetros Proyección'!$G$12),0,'Parámetros Proyección'!$G$12)+IF((T352/AI352&gt;'Parámetros Proyección'!$G$13),0,'Parámetros Proyección'!$G$13)+IF((Z352/AI352&gt;'Parámetros Proyección'!$G$14),0,'Parámetros Proyección'!$G$14)+IF((AF352/AI352&gt;'Parámetros Proyección'!$G$15),0,'Parámetros Proyección'!$G$15)))</f>
        <v/>
      </c>
      <c r="V352" s="35">
        <f>T352+U352</f>
        <v/>
      </c>
      <c r="W352" s="35">
        <f>AB351</f>
        <v/>
      </c>
      <c r="X352" s="35">
        <f>W352*(1+'Parámetros Proyección'!$E$14)</f>
        <v/>
      </c>
      <c r="Y352" s="35">
        <f>X352*'Parámetros Proyección'!$F$14</f>
        <v/>
      </c>
      <c r="Z352" s="35">
        <f>X352+Y352</f>
        <v/>
      </c>
      <c r="AA352" s="35">
        <f>IF((Z352/AI352&gt;'Parámetros Proyección'!$G$14),0,D352*'Parámetros Proyección'!$G$14/(IF((H352/AI352&gt;'Parámetros Proyección'!$G$11),0,'Parámetros Proyección'!$G$11)+IF((N352/AI352&gt;'Parámetros Proyección'!$G$12),0,'Parámetros Proyección'!$G$12)+IF((T352/AI352&gt;'Parámetros Proyección'!$G$13),0,'Parámetros Proyección'!$G$13)+IF((Z352/AI352&gt;'Parámetros Proyección'!$G$14),0,'Parámetros Proyección'!$G$14)+IF((AF352/AI352&gt;'Parámetros Proyección'!$G$15),0,'Parámetros Proyección'!$G$15)))</f>
        <v/>
      </c>
      <c r="AB352" s="35">
        <f>Z352+AA352</f>
        <v/>
      </c>
      <c r="AC352" s="35">
        <f>AH351</f>
        <v/>
      </c>
      <c r="AD352" s="35">
        <f>AC352*(1+'Parámetros Proyección'!$E$15)</f>
        <v/>
      </c>
      <c r="AE352" s="35">
        <f>AD352*'Parámetros Proyección'!$F$15</f>
        <v/>
      </c>
      <c r="AF352" s="35">
        <f>AD352+AE352</f>
        <v/>
      </c>
      <c r="AG352" s="35">
        <f>IF((AF352/AI352&gt;'Parámetros Proyección'!$G$15),0,D352*'Parámetros Proyección'!$G$15/(IF((H352/AI352&gt;'Parámetros Proyección'!$G$11),0,'Parámetros Proyección'!$G$11)+IF((N352/AI352&gt;'Parámetros Proyección'!$G$12),0,'Parámetros Proyección'!$G$12)+IF((T352/AI352&gt;'Parámetros Proyección'!$G$13),0,'Parámetros Proyección'!$G$13)+IF((Z352/AI352&gt;'Parámetros Proyección'!$G$14),0,'Parámetros Proyección'!$G$14)+IF((AF352/AI352&gt;'Parámetros Proyección'!$G$15),0,'Parámetros Proyección'!$G$15)))</f>
        <v/>
      </c>
      <c r="AH352" s="35">
        <f>AF352+AG352</f>
        <v/>
      </c>
      <c r="AI352" s="35">
        <f>H352+N352+T352+Z352+AF352</f>
        <v/>
      </c>
      <c r="AJ352" s="33">
        <f>AF352/AI352</f>
        <v/>
      </c>
      <c r="AK352">
        <f>IF(AJ352&gt;'Parámetros Proyección'!$B$5,1,0)</f>
        <v/>
      </c>
      <c r="AL352" s="35">
        <f>G352+M352+S352+Y352+AE352</f>
        <v/>
      </c>
      <c r="AM352" s="35">
        <f>AM351+D352</f>
        <v/>
      </c>
      <c r="AN352" s="35">
        <f>AN351+AL352</f>
        <v/>
      </c>
      <c r="AO352" s="35">
        <f>J352+P352+V352+AB352+AH352</f>
        <v/>
      </c>
    </row>
    <row r="353">
      <c r="A353" t="n">
        <v>350</v>
      </c>
      <c r="B353" s="34">
        <f>EDATE(B352,1)</f>
        <v/>
      </c>
      <c r="C353">
        <f>YEAR(B353)</f>
        <v/>
      </c>
      <c r="D353" s="35">
        <f>'Parámetros Proyección'!$B$3*(1+'Parámetros Proyección'!$B$4)^(C353-YEAR('Parámetros Proyección'!$B$6))</f>
        <v/>
      </c>
      <c r="E353" s="35">
        <f>J352</f>
        <v/>
      </c>
      <c r="F353" s="35">
        <f>E353*(1+'Parámetros Proyección'!$E$11)</f>
        <v/>
      </c>
      <c r="G353" s="35">
        <f>F353*'Parámetros Proyección'!$F$11</f>
        <v/>
      </c>
      <c r="H353" s="35">
        <f>F353+G353</f>
        <v/>
      </c>
      <c r="I353" s="35">
        <f>IF((H353/AI353&gt;'Parámetros Proyección'!$G$11),0,D353*'Parámetros Proyección'!$G$11/(IF((H353/AI353&gt;'Parámetros Proyección'!$G$11),0,'Parámetros Proyección'!$G$11)+IF((N353/AI353&gt;'Parámetros Proyección'!$G$12),0,'Parámetros Proyección'!$G$12)+IF((T353/AI353&gt;'Parámetros Proyección'!$G$13),0,'Parámetros Proyección'!$G$13)+IF((Z353/AI353&gt;'Parámetros Proyección'!$G$14),0,'Parámetros Proyección'!$G$14)+IF((AF353/AI353&gt;'Parámetros Proyección'!$G$15),0,'Parámetros Proyección'!$G$15)))</f>
        <v/>
      </c>
      <c r="J353" s="35">
        <f>H353+I353</f>
        <v/>
      </c>
      <c r="K353" s="35">
        <f>P352</f>
        <v/>
      </c>
      <c r="L353" s="35">
        <f>K353*(1+'Parámetros Proyección'!$E$12)</f>
        <v/>
      </c>
      <c r="M353" s="35">
        <f>L353*'Parámetros Proyección'!$F$12</f>
        <v/>
      </c>
      <c r="N353" s="35">
        <f>L353+M353</f>
        <v/>
      </c>
      <c r="O353" s="35">
        <f>IF((N353/AI353&gt;'Parámetros Proyección'!$G$12),0,D353*'Parámetros Proyección'!$G$12/(IF((H353/AI353&gt;'Parámetros Proyección'!$G$11),0,'Parámetros Proyección'!$G$11)+IF((N353/AI353&gt;'Parámetros Proyección'!$G$12),0,'Parámetros Proyección'!$G$12)+IF((T353/AI353&gt;'Parámetros Proyección'!$G$13),0,'Parámetros Proyección'!$G$13)+IF((Z353/AI353&gt;'Parámetros Proyección'!$G$14),0,'Parámetros Proyección'!$G$14)+IF((AF353/AI353&gt;'Parámetros Proyección'!$G$15),0,'Parámetros Proyección'!$G$15)))</f>
        <v/>
      </c>
      <c r="P353" s="35">
        <f>N353+O353</f>
        <v/>
      </c>
      <c r="Q353" s="35">
        <f>V352</f>
        <v/>
      </c>
      <c r="R353" s="35">
        <f>Q353*(1+'Parámetros Proyección'!$E$13)</f>
        <v/>
      </c>
      <c r="S353" s="35">
        <f>R353*'Parámetros Proyección'!$F$13</f>
        <v/>
      </c>
      <c r="T353" s="35">
        <f>R353+S353</f>
        <v/>
      </c>
      <c r="U353" s="35">
        <f>IF((T353/AI353&gt;'Parámetros Proyección'!$G$13),0,D353*'Parámetros Proyección'!$G$13/(IF((H353/AI353&gt;'Parámetros Proyección'!$G$11),0,'Parámetros Proyección'!$G$11)+IF((N353/AI353&gt;'Parámetros Proyección'!$G$12),0,'Parámetros Proyección'!$G$12)+IF((T353/AI353&gt;'Parámetros Proyección'!$G$13),0,'Parámetros Proyección'!$G$13)+IF((Z353/AI353&gt;'Parámetros Proyección'!$G$14),0,'Parámetros Proyección'!$G$14)+IF((AF353/AI353&gt;'Parámetros Proyección'!$G$15),0,'Parámetros Proyección'!$G$15)))</f>
        <v/>
      </c>
      <c r="V353" s="35">
        <f>T353+U353</f>
        <v/>
      </c>
      <c r="W353" s="35">
        <f>AB352</f>
        <v/>
      </c>
      <c r="X353" s="35">
        <f>W353*(1+'Parámetros Proyección'!$E$14)</f>
        <v/>
      </c>
      <c r="Y353" s="35">
        <f>X353*'Parámetros Proyección'!$F$14</f>
        <v/>
      </c>
      <c r="Z353" s="35">
        <f>X353+Y353</f>
        <v/>
      </c>
      <c r="AA353" s="35">
        <f>IF((Z353/AI353&gt;'Parámetros Proyección'!$G$14),0,D353*'Parámetros Proyección'!$G$14/(IF((H353/AI353&gt;'Parámetros Proyección'!$G$11),0,'Parámetros Proyección'!$G$11)+IF((N353/AI353&gt;'Parámetros Proyección'!$G$12),0,'Parámetros Proyección'!$G$12)+IF((T353/AI353&gt;'Parámetros Proyección'!$G$13),0,'Parámetros Proyección'!$G$13)+IF((Z353/AI353&gt;'Parámetros Proyección'!$G$14),0,'Parámetros Proyección'!$G$14)+IF((AF353/AI353&gt;'Parámetros Proyección'!$G$15),0,'Parámetros Proyección'!$G$15)))</f>
        <v/>
      </c>
      <c r="AB353" s="35">
        <f>Z353+AA353</f>
        <v/>
      </c>
      <c r="AC353" s="35">
        <f>AH352</f>
        <v/>
      </c>
      <c r="AD353" s="35">
        <f>AC353*(1+'Parámetros Proyección'!$E$15)</f>
        <v/>
      </c>
      <c r="AE353" s="35">
        <f>AD353*'Parámetros Proyección'!$F$15</f>
        <v/>
      </c>
      <c r="AF353" s="35">
        <f>AD353+AE353</f>
        <v/>
      </c>
      <c r="AG353" s="35">
        <f>IF((AF353/AI353&gt;'Parámetros Proyección'!$G$15),0,D353*'Parámetros Proyección'!$G$15/(IF((H353/AI353&gt;'Parámetros Proyección'!$G$11),0,'Parámetros Proyección'!$G$11)+IF((N353/AI353&gt;'Parámetros Proyección'!$G$12),0,'Parámetros Proyección'!$G$12)+IF((T353/AI353&gt;'Parámetros Proyección'!$G$13),0,'Parámetros Proyección'!$G$13)+IF((Z353/AI353&gt;'Parámetros Proyección'!$G$14),0,'Parámetros Proyección'!$G$14)+IF((AF353/AI353&gt;'Parámetros Proyección'!$G$15),0,'Parámetros Proyección'!$G$15)))</f>
        <v/>
      </c>
      <c r="AH353" s="35">
        <f>AF353+AG353</f>
        <v/>
      </c>
      <c r="AI353" s="35">
        <f>H353+N353+T353+Z353+AF353</f>
        <v/>
      </c>
      <c r="AJ353" s="33">
        <f>AF353/AI353</f>
        <v/>
      </c>
      <c r="AK353">
        <f>IF(AJ353&gt;'Parámetros Proyección'!$B$5,1,0)</f>
        <v/>
      </c>
      <c r="AL353" s="35">
        <f>G353+M353+S353+Y353+AE353</f>
        <v/>
      </c>
      <c r="AM353" s="35">
        <f>AM352+D353</f>
        <v/>
      </c>
      <c r="AN353" s="35">
        <f>AN352+AL353</f>
        <v/>
      </c>
      <c r="AO353" s="35">
        <f>J353+P353+V353+AB353+AH353</f>
        <v/>
      </c>
    </row>
    <row r="354">
      <c r="A354" t="n">
        <v>351</v>
      </c>
      <c r="B354" s="34">
        <f>EDATE(B353,1)</f>
        <v/>
      </c>
      <c r="C354">
        <f>YEAR(B354)</f>
        <v/>
      </c>
      <c r="D354" s="35">
        <f>'Parámetros Proyección'!$B$3*(1+'Parámetros Proyección'!$B$4)^(C354-YEAR('Parámetros Proyección'!$B$6))</f>
        <v/>
      </c>
      <c r="E354" s="35">
        <f>J353</f>
        <v/>
      </c>
      <c r="F354" s="35">
        <f>E354*(1+'Parámetros Proyección'!$E$11)</f>
        <v/>
      </c>
      <c r="G354" s="35">
        <f>F354*'Parámetros Proyección'!$F$11</f>
        <v/>
      </c>
      <c r="H354" s="35">
        <f>F354+G354</f>
        <v/>
      </c>
      <c r="I354" s="35">
        <f>IF((H354/AI354&gt;'Parámetros Proyección'!$G$11),0,D354*'Parámetros Proyección'!$G$11/(IF((H354/AI354&gt;'Parámetros Proyección'!$G$11),0,'Parámetros Proyección'!$G$11)+IF((N354/AI354&gt;'Parámetros Proyección'!$G$12),0,'Parámetros Proyección'!$G$12)+IF((T354/AI354&gt;'Parámetros Proyección'!$G$13),0,'Parámetros Proyección'!$G$13)+IF((Z354/AI354&gt;'Parámetros Proyección'!$G$14),0,'Parámetros Proyección'!$G$14)+IF((AF354/AI354&gt;'Parámetros Proyección'!$G$15),0,'Parámetros Proyección'!$G$15)))</f>
        <v/>
      </c>
      <c r="J354" s="35">
        <f>H354+I354</f>
        <v/>
      </c>
      <c r="K354" s="35">
        <f>P353</f>
        <v/>
      </c>
      <c r="L354" s="35">
        <f>K354*(1+'Parámetros Proyección'!$E$12)</f>
        <v/>
      </c>
      <c r="M354" s="35">
        <f>L354*'Parámetros Proyección'!$F$12</f>
        <v/>
      </c>
      <c r="N354" s="35">
        <f>L354+M354</f>
        <v/>
      </c>
      <c r="O354" s="35">
        <f>IF((N354/AI354&gt;'Parámetros Proyección'!$G$12),0,D354*'Parámetros Proyección'!$G$12/(IF((H354/AI354&gt;'Parámetros Proyección'!$G$11),0,'Parámetros Proyección'!$G$11)+IF((N354/AI354&gt;'Parámetros Proyección'!$G$12),0,'Parámetros Proyección'!$G$12)+IF((T354/AI354&gt;'Parámetros Proyección'!$G$13),0,'Parámetros Proyección'!$G$13)+IF((Z354/AI354&gt;'Parámetros Proyección'!$G$14),0,'Parámetros Proyección'!$G$14)+IF((AF354/AI354&gt;'Parámetros Proyección'!$G$15),0,'Parámetros Proyección'!$G$15)))</f>
        <v/>
      </c>
      <c r="P354" s="35">
        <f>N354+O354</f>
        <v/>
      </c>
      <c r="Q354" s="35">
        <f>V353</f>
        <v/>
      </c>
      <c r="R354" s="35">
        <f>Q354*(1+'Parámetros Proyección'!$E$13)</f>
        <v/>
      </c>
      <c r="S354" s="35">
        <f>R354*'Parámetros Proyección'!$F$13</f>
        <v/>
      </c>
      <c r="T354" s="35">
        <f>R354+S354</f>
        <v/>
      </c>
      <c r="U354" s="35">
        <f>IF((T354/AI354&gt;'Parámetros Proyección'!$G$13),0,D354*'Parámetros Proyección'!$G$13/(IF((H354/AI354&gt;'Parámetros Proyección'!$G$11),0,'Parámetros Proyección'!$G$11)+IF((N354/AI354&gt;'Parámetros Proyección'!$G$12),0,'Parámetros Proyección'!$G$12)+IF((T354/AI354&gt;'Parámetros Proyección'!$G$13),0,'Parámetros Proyección'!$G$13)+IF((Z354/AI354&gt;'Parámetros Proyección'!$G$14),0,'Parámetros Proyección'!$G$14)+IF((AF354/AI354&gt;'Parámetros Proyección'!$G$15),0,'Parámetros Proyección'!$G$15)))</f>
        <v/>
      </c>
      <c r="V354" s="35">
        <f>T354+U354</f>
        <v/>
      </c>
      <c r="W354" s="35">
        <f>AB353</f>
        <v/>
      </c>
      <c r="X354" s="35">
        <f>W354*(1+'Parámetros Proyección'!$E$14)</f>
        <v/>
      </c>
      <c r="Y354" s="35">
        <f>X354*'Parámetros Proyección'!$F$14</f>
        <v/>
      </c>
      <c r="Z354" s="35">
        <f>X354+Y354</f>
        <v/>
      </c>
      <c r="AA354" s="35">
        <f>IF((Z354/AI354&gt;'Parámetros Proyección'!$G$14),0,D354*'Parámetros Proyección'!$G$14/(IF((H354/AI354&gt;'Parámetros Proyección'!$G$11),0,'Parámetros Proyección'!$G$11)+IF((N354/AI354&gt;'Parámetros Proyección'!$G$12),0,'Parámetros Proyección'!$G$12)+IF((T354/AI354&gt;'Parámetros Proyección'!$G$13),0,'Parámetros Proyección'!$G$13)+IF((Z354/AI354&gt;'Parámetros Proyección'!$G$14),0,'Parámetros Proyección'!$G$14)+IF((AF354/AI354&gt;'Parámetros Proyección'!$G$15),0,'Parámetros Proyección'!$G$15)))</f>
        <v/>
      </c>
      <c r="AB354" s="35">
        <f>Z354+AA354</f>
        <v/>
      </c>
      <c r="AC354" s="35">
        <f>AH353</f>
        <v/>
      </c>
      <c r="AD354" s="35">
        <f>AC354*(1+'Parámetros Proyección'!$E$15)</f>
        <v/>
      </c>
      <c r="AE354" s="35">
        <f>AD354*'Parámetros Proyección'!$F$15</f>
        <v/>
      </c>
      <c r="AF354" s="35">
        <f>AD354+AE354</f>
        <v/>
      </c>
      <c r="AG354" s="35">
        <f>IF((AF354/AI354&gt;'Parámetros Proyección'!$G$15),0,D354*'Parámetros Proyección'!$G$15/(IF((H354/AI354&gt;'Parámetros Proyección'!$G$11),0,'Parámetros Proyección'!$G$11)+IF((N354/AI354&gt;'Parámetros Proyección'!$G$12),0,'Parámetros Proyección'!$G$12)+IF((T354/AI354&gt;'Parámetros Proyección'!$G$13),0,'Parámetros Proyección'!$G$13)+IF((Z354/AI354&gt;'Parámetros Proyección'!$G$14),0,'Parámetros Proyección'!$G$14)+IF((AF354/AI354&gt;'Parámetros Proyección'!$G$15),0,'Parámetros Proyección'!$G$15)))</f>
        <v/>
      </c>
      <c r="AH354" s="35">
        <f>AF354+AG354</f>
        <v/>
      </c>
      <c r="AI354" s="35">
        <f>H354+N354+T354+Z354+AF354</f>
        <v/>
      </c>
      <c r="AJ354" s="33">
        <f>AF354/AI354</f>
        <v/>
      </c>
      <c r="AK354">
        <f>IF(AJ354&gt;'Parámetros Proyección'!$B$5,1,0)</f>
        <v/>
      </c>
      <c r="AL354" s="35">
        <f>G354+M354+S354+Y354+AE354</f>
        <v/>
      </c>
      <c r="AM354" s="35">
        <f>AM353+D354</f>
        <v/>
      </c>
      <c r="AN354" s="35">
        <f>AN353+AL354</f>
        <v/>
      </c>
      <c r="AO354" s="35">
        <f>J354+P354+V354+AB354+AH354</f>
        <v/>
      </c>
    </row>
    <row r="355">
      <c r="A355" t="n">
        <v>352</v>
      </c>
      <c r="B355" s="34">
        <f>EDATE(B354,1)</f>
        <v/>
      </c>
      <c r="C355">
        <f>YEAR(B355)</f>
        <v/>
      </c>
      <c r="D355" s="35">
        <f>'Parámetros Proyección'!$B$3*(1+'Parámetros Proyección'!$B$4)^(C355-YEAR('Parámetros Proyección'!$B$6))</f>
        <v/>
      </c>
      <c r="E355" s="35">
        <f>J354</f>
        <v/>
      </c>
      <c r="F355" s="35">
        <f>E355*(1+'Parámetros Proyección'!$E$11)</f>
        <v/>
      </c>
      <c r="G355" s="35">
        <f>F355*'Parámetros Proyección'!$F$11</f>
        <v/>
      </c>
      <c r="H355" s="35">
        <f>F355+G355</f>
        <v/>
      </c>
      <c r="I355" s="35">
        <f>IF((H355/AI355&gt;'Parámetros Proyección'!$G$11),0,D355*'Parámetros Proyección'!$G$11/(IF((H355/AI355&gt;'Parámetros Proyección'!$G$11),0,'Parámetros Proyección'!$G$11)+IF((N355/AI355&gt;'Parámetros Proyección'!$G$12),0,'Parámetros Proyección'!$G$12)+IF((T355/AI355&gt;'Parámetros Proyección'!$G$13),0,'Parámetros Proyección'!$G$13)+IF((Z355/AI355&gt;'Parámetros Proyección'!$G$14),0,'Parámetros Proyección'!$G$14)+IF((AF355/AI355&gt;'Parámetros Proyección'!$G$15),0,'Parámetros Proyección'!$G$15)))</f>
        <v/>
      </c>
      <c r="J355" s="35">
        <f>H355+I355</f>
        <v/>
      </c>
      <c r="K355" s="35">
        <f>P354</f>
        <v/>
      </c>
      <c r="L355" s="35">
        <f>K355*(1+'Parámetros Proyección'!$E$12)</f>
        <v/>
      </c>
      <c r="M355" s="35">
        <f>L355*'Parámetros Proyección'!$F$12</f>
        <v/>
      </c>
      <c r="N355" s="35">
        <f>L355+M355</f>
        <v/>
      </c>
      <c r="O355" s="35">
        <f>IF((N355/AI355&gt;'Parámetros Proyección'!$G$12),0,D355*'Parámetros Proyección'!$G$12/(IF((H355/AI355&gt;'Parámetros Proyección'!$G$11),0,'Parámetros Proyección'!$G$11)+IF((N355/AI355&gt;'Parámetros Proyección'!$G$12),0,'Parámetros Proyección'!$G$12)+IF((T355/AI355&gt;'Parámetros Proyección'!$G$13),0,'Parámetros Proyección'!$G$13)+IF((Z355/AI355&gt;'Parámetros Proyección'!$G$14),0,'Parámetros Proyección'!$G$14)+IF((AF355/AI355&gt;'Parámetros Proyección'!$G$15),0,'Parámetros Proyección'!$G$15)))</f>
        <v/>
      </c>
      <c r="P355" s="35">
        <f>N355+O355</f>
        <v/>
      </c>
      <c r="Q355" s="35">
        <f>V354</f>
        <v/>
      </c>
      <c r="R355" s="35">
        <f>Q355*(1+'Parámetros Proyección'!$E$13)</f>
        <v/>
      </c>
      <c r="S355" s="35">
        <f>R355*'Parámetros Proyección'!$F$13</f>
        <v/>
      </c>
      <c r="T355" s="35">
        <f>R355+S355</f>
        <v/>
      </c>
      <c r="U355" s="35">
        <f>IF((T355/AI355&gt;'Parámetros Proyección'!$G$13),0,D355*'Parámetros Proyección'!$G$13/(IF((H355/AI355&gt;'Parámetros Proyección'!$G$11),0,'Parámetros Proyección'!$G$11)+IF((N355/AI355&gt;'Parámetros Proyección'!$G$12),0,'Parámetros Proyección'!$G$12)+IF((T355/AI355&gt;'Parámetros Proyección'!$G$13),0,'Parámetros Proyección'!$G$13)+IF((Z355/AI355&gt;'Parámetros Proyección'!$G$14),0,'Parámetros Proyección'!$G$14)+IF((AF355/AI355&gt;'Parámetros Proyección'!$G$15),0,'Parámetros Proyección'!$G$15)))</f>
        <v/>
      </c>
      <c r="V355" s="35">
        <f>T355+U355</f>
        <v/>
      </c>
      <c r="W355" s="35">
        <f>AB354</f>
        <v/>
      </c>
      <c r="X355" s="35">
        <f>W355*(1+'Parámetros Proyección'!$E$14)</f>
        <v/>
      </c>
      <c r="Y355" s="35">
        <f>X355*'Parámetros Proyección'!$F$14</f>
        <v/>
      </c>
      <c r="Z355" s="35">
        <f>X355+Y355</f>
        <v/>
      </c>
      <c r="AA355" s="35">
        <f>IF((Z355/AI355&gt;'Parámetros Proyección'!$G$14),0,D355*'Parámetros Proyección'!$G$14/(IF((H355/AI355&gt;'Parámetros Proyección'!$G$11),0,'Parámetros Proyección'!$G$11)+IF((N355/AI355&gt;'Parámetros Proyección'!$G$12),0,'Parámetros Proyección'!$G$12)+IF((T355/AI355&gt;'Parámetros Proyección'!$G$13),0,'Parámetros Proyección'!$G$13)+IF((Z355/AI355&gt;'Parámetros Proyección'!$G$14),0,'Parámetros Proyección'!$G$14)+IF((AF355/AI355&gt;'Parámetros Proyección'!$G$15),0,'Parámetros Proyección'!$G$15)))</f>
        <v/>
      </c>
      <c r="AB355" s="35">
        <f>Z355+AA355</f>
        <v/>
      </c>
      <c r="AC355" s="35">
        <f>AH354</f>
        <v/>
      </c>
      <c r="AD355" s="35">
        <f>AC355*(1+'Parámetros Proyección'!$E$15)</f>
        <v/>
      </c>
      <c r="AE355" s="35">
        <f>AD355*'Parámetros Proyección'!$F$15</f>
        <v/>
      </c>
      <c r="AF355" s="35">
        <f>AD355+AE355</f>
        <v/>
      </c>
      <c r="AG355" s="35">
        <f>IF((AF355/AI355&gt;'Parámetros Proyección'!$G$15),0,D355*'Parámetros Proyección'!$G$15/(IF((H355/AI355&gt;'Parámetros Proyección'!$G$11),0,'Parámetros Proyección'!$G$11)+IF((N355/AI355&gt;'Parámetros Proyección'!$G$12),0,'Parámetros Proyección'!$G$12)+IF((T355/AI355&gt;'Parámetros Proyección'!$G$13),0,'Parámetros Proyección'!$G$13)+IF((Z355/AI355&gt;'Parámetros Proyección'!$G$14),0,'Parámetros Proyección'!$G$14)+IF((AF355/AI355&gt;'Parámetros Proyección'!$G$15),0,'Parámetros Proyección'!$G$15)))</f>
        <v/>
      </c>
      <c r="AH355" s="35">
        <f>AF355+AG355</f>
        <v/>
      </c>
      <c r="AI355" s="35">
        <f>H355+N355+T355+Z355+AF355</f>
        <v/>
      </c>
      <c r="AJ355" s="33">
        <f>AF355/AI355</f>
        <v/>
      </c>
      <c r="AK355">
        <f>IF(AJ355&gt;'Parámetros Proyección'!$B$5,1,0)</f>
        <v/>
      </c>
      <c r="AL355" s="35">
        <f>G355+M355+S355+Y355+AE355</f>
        <v/>
      </c>
      <c r="AM355" s="35">
        <f>AM354+D355</f>
        <v/>
      </c>
      <c r="AN355" s="35">
        <f>AN354+AL355</f>
        <v/>
      </c>
      <c r="AO355" s="35">
        <f>J355+P355+V355+AB355+AH355</f>
        <v/>
      </c>
    </row>
    <row r="356">
      <c r="A356" t="n">
        <v>353</v>
      </c>
      <c r="B356" s="34">
        <f>EDATE(B355,1)</f>
        <v/>
      </c>
      <c r="C356">
        <f>YEAR(B356)</f>
        <v/>
      </c>
      <c r="D356" s="35">
        <f>'Parámetros Proyección'!$B$3*(1+'Parámetros Proyección'!$B$4)^(C356-YEAR('Parámetros Proyección'!$B$6))</f>
        <v/>
      </c>
      <c r="E356" s="35">
        <f>J355</f>
        <v/>
      </c>
      <c r="F356" s="35">
        <f>E356*(1+'Parámetros Proyección'!$E$11)</f>
        <v/>
      </c>
      <c r="G356" s="35">
        <f>F356*'Parámetros Proyección'!$F$11</f>
        <v/>
      </c>
      <c r="H356" s="35">
        <f>F356+G356</f>
        <v/>
      </c>
      <c r="I356" s="35">
        <f>IF((H356/AI356&gt;'Parámetros Proyección'!$G$11),0,D356*'Parámetros Proyección'!$G$11/(IF((H356/AI356&gt;'Parámetros Proyección'!$G$11),0,'Parámetros Proyección'!$G$11)+IF((N356/AI356&gt;'Parámetros Proyección'!$G$12),0,'Parámetros Proyección'!$G$12)+IF((T356/AI356&gt;'Parámetros Proyección'!$G$13),0,'Parámetros Proyección'!$G$13)+IF((Z356/AI356&gt;'Parámetros Proyección'!$G$14),0,'Parámetros Proyección'!$G$14)+IF((AF356/AI356&gt;'Parámetros Proyección'!$G$15),0,'Parámetros Proyección'!$G$15)))</f>
        <v/>
      </c>
      <c r="J356" s="35">
        <f>H356+I356</f>
        <v/>
      </c>
      <c r="K356" s="35">
        <f>P355</f>
        <v/>
      </c>
      <c r="L356" s="35">
        <f>K356*(1+'Parámetros Proyección'!$E$12)</f>
        <v/>
      </c>
      <c r="M356" s="35">
        <f>L356*'Parámetros Proyección'!$F$12</f>
        <v/>
      </c>
      <c r="N356" s="35">
        <f>L356+M356</f>
        <v/>
      </c>
      <c r="O356" s="35">
        <f>IF((N356/AI356&gt;'Parámetros Proyección'!$G$12),0,D356*'Parámetros Proyección'!$G$12/(IF((H356/AI356&gt;'Parámetros Proyección'!$G$11),0,'Parámetros Proyección'!$G$11)+IF((N356/AI356&gt;'Parámetros Proyección'!$G$12),0,'Parámetros Proyección'!$G$12)+IF((T356/AI356&gt;'Parámetros Proyección'!$G$13),0,'Parámetros Proyección'!$G$13)+IF((Z356/AI356&gt;'Parámetros Proyección'!$G$14),0,'Parámetros Proyección'!$G$14)+IF((AF356/AI356&gt;'Parámetros Proyección'!$G$15),0,'Parámetros Proyección'!$G$15)))</f>
        <v/>
      </c>
      <c r="P356" s="35">
        <f>N356+O356</f>
        <v/>
      </c>
      <c r="Q356" s="35">
        <f>V355</f>
        <v/>
      </c>
      <c r="R356" s="35">
        <f>Q356*(1+'Parámetros Proyección'!$E$13)</f>
        <v/>
      </c>
      <c r="S356" s="35">
        <f>R356*'Parámetros Proyección'!$F$13</f>
        <v/>
      </c>
      <c r="T356" s="35">
        <f>R356+S356</f>
        <v/>
      </c>
      <c r="U356" s="35">
        <f>IF((T356/AI356&gt;'Parámetros Proyección'!$G$13),0,D356*'Parámetros Proyección'!$G$13/(IF((H356/AI356&gt;'Parámetros Proyección'!$G$11),0,'Parámetros Proyección'!$G$11)+IF((N356/AI356&gt;'Parámetros Proyección'!$G$12),0,'Parámetros Proyección'!$G$12)+IF((T356/AI356&gt;'Parámetros Proyección'!$G$13),0,'Parámetros Proyección'!$G$13)+IF((Z356/AI356&gt;'Parámetros Proyección'!$G$14),0,'Parámetros Proyección'!$G$14)+IF((AF356/AI356&gt;'Parámetros Proyección'!$G$15),0,'Parámetros Proyección'!$G$15)))</f>
        <v/>
      </c>
      <c r="V356" s="35">
        <f>T356+U356</f>
        <v/>
      </c>
      <c r="W356" s="35">
        <f>AB355</f>
        <v/>
      </c>
      <c r="X356" s="35">
        <f>W356*(1+'Parámetros Proyección'!$E$14)</f>
        <v/>
      </c>
      <c r="Y356" s="35">
        <f>X356*'Parámetros Proyección'!$F$14</f>
        <v/>
      </c>
      <c r="Z356" s="35">
        <f>X356+Y356</f>
        <v/>
      </c>
      <c r="AA356" s="35">
        <f>IF((Z356/AI356&gt;'Parámetros Proyección'!$G$14),0,D356*'Parámetros Proyección'!$G$14/(IF((H356/AI356&gt;'Parámetros Proyección'!$G$11),0,'Parámetros Proyección'!$G$11)+IF((N356/AI356&gt;'Parámetros Proyección'!$G$12),0,'Parámetros Proyección'!$G$12)+IF((T356/AI356&gt;'Parámetros Proyección'!$G$13),0,'Parámetros Proyección'!$G$13)+IF((Z356/AI356&gt;'Parámetros Proyección'!$G$14),0,'Parámetros Proyección'!$G$14)+IF((AF356/AI356&gt;'Parámetros Proyección'!$G$15),0,'Parámetros Proyección'!$G$15)))</f>
        <v/>
      </c>
      <c r="AB356" s="35">
        <f>Z356+AA356</f>
        <v/>
      </c>
      <c r="AC356" s="35">
        <f>AH355</f>
        <v/>
      </c>
      <c r="AD356" s="35">
        <f>AC356*(1+'Parámetros Proyección'!$E$15)</f>
        <v/>
      </c>
      <c r="AE356" s="35">
        <f>AD356*'Parámetros Proyección'!$F$15</f>
        <v/>
      </c>
      <c r="AF356" s="35">
        <f>AD356+AE356</f>
        <v/>
      </c>
      <c r="AG356" s="35">
        <f>IF((AF356/AI356&gt;'Parámetros Proyección'!$G$15),0,D356*'Parámetros Proyección'!$G$15/(IF((H356/AI356&gt;'Parámetros Proyección'!$G$11),0,'Parámetros Proyección'!$G$11)+IF((N356/AI356&gt;'Parámetros Proyección'!$G$12),0,'Parámetros Proyección'!$G$12)+IF((T356/AI356&gt;'Parámetros Proyección'!$G$13),0,'Parámetros Proyección'!$G$13)+IF((Z356/AI356&gt;'Parámetros Proyección'!$G$14),0,'Parámetros Proyección'!$G$14)+IF((AF356/AI356&gt;'Parámetros Proyección'!$G$15),0,'Parámetros Proyección'!$G$15)))</f>
        <v/>
      </c>
      <c r="AH356" s="35">
        <f>AF356+AG356</f>
        <v/>
      </c>
      <c r="AI356" s="35">
        <f>H356+N356+T356+Z356+AF356</f>
        <v/>
      </c>
      <c r="AJ356" s="33">
        <f>AF356/AI356</f>
        <v/>
      </c>
      <c r="AK356">
        <f>IF(AJ356&gt;'Parámetros Proyección'!$B$5,1,0)</f>
        <v/>
      </c>
      <c r="AL356" s="35">
        <f>G356+M356+S356+Y356+AE356</f>
        <v/>
      </c>
      <c r="AM356" s="35">
        <f>AM355+D356</f>
        <v/>
      </c>
      <c r="AN356" s="35">
        <f>AN355+AL356</f>
        <v/>
      </c>
      <c r="AO356" s="35">
        <f>J356+P356+V356+AB356+AH356</f>
        <v/>
      </c>
    </row>
    <row r="357">
      <c r="A357" t="n">
        <v>354</v>
      </c>
      <c r="B357" s="34">
        <f>EDATE(B356,1)</f>
        <v/>
      </c>
      <c r="C357">
        <f>YEAR(B357)</f>
        <v/>
      </c>
      <c r="D357" s="35">
        <f>'Parámetros Proyección'!$B$3*(1+'Parámetros Proyección'!$B$4)^(C357-YEAR('Parámetros Proyección'!$B$6))</f>
        <v/>
      </c>
      <c r="E357" s="35">
        <f>J356</f>
        <v/>
      </c>
      <c r="F357" s="35">
        <f>E357*(1+'Parámetros Proyección'!$E$11)</f>
        <v/>
      </c>
      <c r="G357" s="35">
        <f>F357*'Parámetros Proyección'!$F$11</f>
        <v/>
      </c>
      <c r="H357" s="35">
        <f>F357+G357</f>
        <v/>
      </c>
      <c r="I357" s="35">
        <f>IF((H357/AI357&gt;'Parámetros Proyección'!$G$11),0,D357*'Parámetros Proyección'!$G$11/(IF((H357/AI357&gt;'Parámetros Proyección'!$G$11),0,'Parámetros Proyección'!$G$11)+IF((N357/AI357&gt;'Parámetros Proyección'!$G$12),0,'Parámetros Proyección'!$G$12)+IF((T357/AI357&gt;'Parámetros Proyección'!$G$13),0,'Parámetros Proyección'!$G$13)+IF((Z357/AI357&gt;'Parámetros Proyección'!$G$14),0,'Parámetros Proyección'!$G$14)+IF((AF357/AI357&gt;'Parámetros Proyección'!$G$15),0,'Parámetros Proyección'!$G$15)))</f>
        <v/>
      </c>
      <c r="J357" s="35">
        <f>H357+I357</f>
        <v/>
      </c>
      <c r="K357" s="35">
        <f>P356</f>
        <v/>
      </c>
      <c r="L357" s="35">
        <f>K357*(1+'Parámetros Proyección'!$E$12)</f>
        <v/>
      </c>
      <c r="M357" s="35">
        <f>L357*'Parámetros Proyección'!$F$12</f>
        <v/>
      </c>
      <c r="N357" s="35">
        <f>L357+M357</f>
        <v/>
      </c>
      <c r="O357" s="35">
        <f>IF((N357/AI357&gt;'Parámetros Proyección'!$G$12),0,D357*'Parámetros Proyección'!$G$12/(IF((H357/AI357&gt;'Parámetros Proyección'!$G$11),0,'Parámetros Proyección'!$G$11)+IF((N357/AI357&gt;'Parámetros Proyección'!$G$12),0,'Parámetros Proyección'!$G$12)+IF((T357/AI357&gt;'Parámetros Proyección'!$G$13),0,'Parámetros Proyección'!$G$13)+IF((Z357/AI357&gt;'Parámetros Proyección'!$G$14),0,'Parámetros Proyección'!$G$14)+IF((AF357/AI357&gt;'Parámetros Proyección'!$G$15),0,'Parámetros Proyección'!$G$15)))</f>
        <v/>
      </c>
      <c r="P357" s="35">
        <f>N357+O357</f>
        <v/>
      </c>
      <c r="Q357" s="35">
        <f>V356</f>
        <v/>
      </c>
      <c r="R357" s="35">
        <f>Q357*(1+'Parámetros Proyección'!$E$13)</f>
        <v/>
      </c>
      <c r="S357" s="35">
        <f>R357*'Parámetros Proyección'!$F$13</f>
        <v/>
      </c>
      <c r="T357" s="35">
        <f>R357+S357</f>
        <v/>
      </c>
      <c r="U357" s="35">
        <f>IF((T357/AI357&gt;'Parámetros Proyección'!$G$13),0,D357*'Parámetros Proyección'!$G$13/(IF((H357/AI357&gt;'Parámetros Proyección'!$G$11),0,'Parámetros Proyección'!$G$11)+IF((N357/AI357&gt;'Parámetros Proyección'!$G$12),0,'Parámetros Proyección'!$G$12)+IF((T357/AI357&gt;'Parámetros Proyección'!$G$13),0,'Parámetros Proyección'!$G$13)+IF((Z357/AI357&gt;'Parámetros Proyección'!$G$14),0,'Parámetros Proyección'!$G$14)+IF((AF357/AI357&gt;'Parámetros Proyección'!$G$15),0,'Parámetros Proyección'!$G$15)))</f>
        <v/>
      </c>
      <c r="V357" s="35">
        <f>T357+U357</f>
        <v/>
      </c>
      <c r="W357" s="35">
        <f>AB356</f>
        <v/>
      </c>
      <c r="X357" s="35">
        <f>W357*(1+'Parámetros Proyección'!$E$14)</f>
        <v/>
      </c>
      <c r="Y357" s="35">
        <f>X357*'Parámetros Proyección'!$F$14</f>
        <v/>
      </c>
      <c r="Z357" s="35">
        <f>X357+Y357</f>
        <v/>
      </c>
      <c r="AA357" s="35">
        <f>IF((Z357/AI357&gt;'Parámetros Proyección'!$G$14),0,D357*'Parámetros Proyección'!$G$14/(IF((H357/AI357&gt;'Parámetros Proyección'!$G$11),0,'Parámetros Proyección'!$G$11)+IF((N357/AI357&gt;'Parámetros Proyección'!$G$12),0,'Parámetros Proyección'!$G$12)+IF((T357/AI357&gt;'Parámetros Proyección'!$G$13),0,'Parámetros Proyección'!$G$13)+IF((Z357/AI357&gt;'Parámetros Proyección'!$G$14),0,'Parámetros Proyección'!$G$14)+IF((AF357/AI357&gt;'Parámetros Proyección'!$G$15),0,'Parámetros Proyección'!$G$15)))</f>
        <v/>
      </c>
      <c r="AB357" s="35">
        <f>Z357+AA357</f>
        <v/>
      </c>
      <c r="AC357" s="35">
        <f>AH356</f>
        <v/>
      </c>
      <c r="AD357" s="35">
        <f>AC357*(1+'Parámetros Proyección'!$E$15)</f>
        <v/>
      </c>
      <c r="AE357" s="35">
        <f>AD357*'Parámetros Proyección'!$F$15</f>
        <v/>
      </c>
      <c r="AF357" s="35">
        <f>AD357+AE357</f>
        <v/>
      </c>
      <c r="AG357" s="35">
        <f>IF((AF357/AI357&gt;'Parámetros Proyección'!$G$15),0,D357*'Parámetros Proyección'!$G$15/(IF((H357/AI357&gt;'Parámetros Proyección'!$G$11),0,'Parámetros Proyección'!$G$11)+IF((N357/AI357&gt;'Parámetros Proyección'!$G$12),0,'Parámetros Proyección'!$G$12)+IF((T357/AI357&gt;'Parámetros Proyección'!$G$13),0,'Parámetros Proyección'!$G$13)+IF((Z357/AI357&gt;'Parámetros Proyección'!$G$14),0,'Parámetros Proyección'!$G$14)+IF((AF357/AI357&gt;'Parámetros Proyección'!$G$15),0,'Parámetros Proyección'!$G$15)))</f>
        <v/>
      </c>
      <c r="AH357" s="35">
        <f>AF357+AG357</f>
        <v/>
      </c>
      <c r="AI357" s="35">
        <f>H357+N357+T357+Z357+AF357</f>
        <v/>
      </c>
      <c r="AJ357" s="33">
        <f>AF357/AI357</f>
        <v/>
      </c>
      <c r="AK357">
        <f>IF(AJ357&gt;'Parámetros Proyección'!$B$5,1,0)</f>
        <v/>
      </c>
      <c r="AL357" s="35">
        <f>G357+M357+S357+Y357+AE357</f>
        <v/>
      </c>
      <c r="AM357" s="35">
        <f>AM356+D357</f>
        <v/>
      </c>
      <c r="AN357" s="35">
        <f>AN356+AL357</f>
        <v/>
      </c>
      <c r="AO357" s="35">
        <f>J357+P357+V357+AB357+AH357</f>
        <v/>
      </c>
    </row>
    <row r="358">
      <c r="A358" t="n">
        <v>355</v>
      </c>
      <c r="B358" s="34">
        <f>EDATE(B357,1)</f>
        <v/>
      </c>
      <c r="C358">
        <f>YEAR(B358)</f>
        <v/>
      </c>
      <c r="D358" s="35">
        <f>'Parámetros Proyección'!$B$3*(1+'Parámetros Proyección'!$B$4)^(C358-YEAR('Parámetros Proyección'!$B$6))</f>
        <v/>
      </c>
      <c r="E358" s="35">
        <f>J357</f>
        <v/>
      </c>
      <c r="F358" s="35">
        <f>E358*(1+'Parámetros Proyección'!$E$11)</f>
        <v/>
      </c>
      <c r="G358" s="35">
        <f>F358*'Parámetros Proyección'!$F$11</f>
        <v/>
      </c>
      <c r="H358" s="35">
        <f>F358+G358</f>
        <v/>
      </c>
      <c r="I358" s="35">
        <f>IF((H358/AI358&gt;'Parámetros Proyección'!$G$11),0,D358*'Parámetros Proyección'!$G$11/(IF((H358/AI358&gt;'Parámetros Proyección'!$G$11),0,'Parámetros Proyección'!$G$11)+IF((N358/AI358&gt;'Parámetros Proyección'!$G$12),0,'Parámetros Proyección'!$G$12)+IF((T358/AI358&gt;'Parámetros Proyección'!$G$13),0,'Parámetros Proyección'!$G$13)+IF((Z358/AI358&gt;'Parámetros Proyección'!$G$14),0,'Parámetros Proyección'!$G$14)+IF((AF358/AI358&gt;'Parámetros Proyección'!$G$15),0,'Parámetros Proyección'!$G$15)))</f>
        <v/>
      </c>
      <c r="J358" s="35">
        <f>H358+I358</f>
        <v/>
      </c>
      <c r="K358" s="35">
        <f>P357</f>
        <v/>
      </c>
      <c r="L358" s="35">
        <f>K358*(1+'Parámetros Proyección'!$E$12)</f>
        <v/>
      </c>
      <c r="M358" s="35">
        <f>L358*'Parámetros Proyección'!$F$12</f>
        <v/>
      </c>
      <c r="N358" s="35">
        <f>L358+M358</f>
        <v/>
      </c>
      <c r="O358" s="35">
        <f>IF((N358/AI358&gt;'Parámetros Proyección'!$G$12),0,D358*'Parámetros Proyección'!$G$12/(IF((H358/AI358&gt;'Parámetros Proyección'!$G$11),0,'Parámetros Proyección'!$G$11)+IF((N358/AI358&gt;'Parámetros Proyección'!$G$12),0,'Parámetros Proyección'!$G$12)+IF((T358/AI358&gt;'Parámetros Proyección'!$G$13),0,'Parámetros Proyección'!$G$13)+IF((Z358/AI358&gt;'Parámetros Proyección'!$G$14),0,'Parámetros Proyección'!$G$14)+IF((AF358/AI358&gt;'Parámetros Proyección'!$G$15),0,'Parámetros Proyección'!$G$15)))</f>
        <v/>
      </c>
      <c r="P358" s="35">
        <f>N358+O358</f>
        <v/>
      </c>
      <c r="Q358" s="35">
        <f>V357</f>
        <v/>
      </c>
      <c r="R358" s="35">
        <f>Q358*(1+'Parámetros Proyección'!$E$13)</f>
        <v/>
      </c>
      <c r="S358" s="35">
        <f>R358*'Parámetros Proyección'!$F$13</f>
        <v/>
      </c>
      <c r="T358" s="35">
        <f>R358+S358</f>
        <v/>
      </c>
      <c r="U358" s="35">
        <f>IF((T358/AI358&gt;'Parámetros Proyección'!$G$13),0,D358*'Parámetros Proyección'!$G$13/(IF((H358/AI358&gt;'Parámetros Proyección'!$G$11),0,'Parámetros Proyección'!$G$11)+IF((N358/AI358&gt;'Parámetros Proyección'!$G$12),0,'Parámetros Proyección'!$G$12)+IF((T358/AI358&gt;'Parámetros Proyección'!$G$13),0,'Parámetros Proyección'!$G$13)+IF((Z358/AI358&gt;'Parámetros Proyección'!$G$14),0,'Parámetros Proyección'!$G$14)+IF((AF358/AI358&gt;'Parámetros Proyección'!$G$15),0,'Parámetros Proyección'!$G$15)))</f>
        <v/>
      </c>
      <c r="V358" s="35">
        <f>T358+U358</f>
        <v/>
      </c>
      <c r="W358" s="35">
        <f>AB357</f>
        <v/>
      </c>
      <c r="X358" s="35">
        <f>W358*(1+'Parámetros Proyección'!$E$14)</f>
        <v/>
      </c>
      <c r="Y358" s="35">
        <f>X358*'Parámetros Proyección'!$F$14</f>
        <v/>
      </c>
      <c r="Z358" s="35">
        <f>X358+Y358</f>
        <v/>
      </c>
      <c r="AA358" s="35">
        <f>IF((Z358/AI358&gt;'Parámetros Proyección'!$G$14),0,D358*'Parámetros Proyección'!$G$14/(IF((H358/AI358&gt;'Parámetros Proyección'!$G$11),0,'Parámetros Proyección'!$G$11)+IF((N358/AI358&gt;'Parámetros Proyección'!$G$12),0,'Parámetros Proyección'!$G$12)+IF((T358/AI358&gt;'Parámetros Proyección'!$G$13),0,'Parámetros Proyección'!$G$13)+IF((Z358/AI358&gt;'Parámetros Proyección'!$G$14),0,'Parámetros Proyección'!$G$14)+IF((AF358/AI358&gt;'Parámetros Proyección'!$G$15),0,'Parámetros Proyección'!$G$15)))</f>
        <v/>
      </c>
      <c r="AB358" s="35">
        <f>Z358+AA358</f>
        <v/>
      </c>
      <c r="AC358" s="35">
        <f>AH357</f>
        <v/>
      </c>
      <c r="AD358" s="35">
        <f>AC358*(1+'Parámetros Proyección'!$E$15)</f>
        <v/>
      </c>
      <c r="AE358" s="35">
        <f>AD358*'Parámetros Proyección'!$F$15</f>
        <v/>
      </c>
      <c r="AF358" s="35">
        <f>AD358+AE358</f>
        <v/>
      </c>
      <c r="AG358" s="35">
        <f>IF((AF358/AI358&gt;'Parámetros Proyección'!$G$15),0,D358*'Parámetros Proyección'!$G$15/(IF((H358/AI358&gt;'Parámetros Proyección'!$G$11),0,'Parámetros Proyección'!$G$11)+IF((N358/AI358&gt;'Parámetros Proyección'!$G$12),0,'Parámetros Proyección'!$G$12)+IF((T358/AI358&gt;'Parámetros Proyección'!$G$13),0,'Parámetros Proyección'!$G$13)+IF((Z358/AI358&gt;'Parámetros Proyección'!$G$14),0,'Parámetros Proyección'!$G$14)+IF((AF358/AI358&gt;'Parámetros Proyección'!$G$15),0,'Parámetros Proyección'!$G$15)))</f>
        <v/>
      </c>
      <c r="AH358" s="35">
        <f>AF358+AG358</f>
        <v/>
      </c>
      <c r="AI358" s="35">
        <f>H358+N358+T358+Z358+AF358</f>
        <v/>
      </c>
      <c r="AJ358" s="33">
        <f>AF358/AI358</f>
        <v/>
      </c>
      <c r="AK358">
        <f>IF(AJ358&gt;'Parámetros Proyección'!$B$5,1,0)</f>
        <v/>
      </c>
      <c r="AL358" s="35">
        <f>G358+M358+S358+Y358+AE358</f>
        <v/>
      </c>
      <c r="AM358" s="35">
        <f>AM357+D358</f>
        <v/>
      </c>
      <c r="AN358" s="35">
        <f>AN357+AL358</f>
        <v/>
      </c>
      <c r="AO358" s="35">
        <f>J358+P358+V358+AB358+AH358</f>
        <v/>
      </c>
    </row>
    <row r="359">
      <c r="A359" t="n">
        <v>356</v>
      </c>
      <c r="B359" s="34">
        <f>EDATE(B358,1)</f>
        <v/>
      </c>
      <c r="C359">
        <f>YEAR(B359)</f>
        <v/>
      </c>
      <c r="D359" s="35">
        <f>'Parámetros Proyección'!$B$3*(1+'Parámetros Proyección'!$B$4)^(C359-YEAR('Parámetros Proyección'!$B$6))</f>
        <v/>
      </c>
      <c r="E359" s="35">
        <f>J358</f>
        <v/>
      </c>
      <c r="F359" s="35">
        <f>E359*(1+'Parámetros Proyección'!$E$11)</f>
        <v/>
      </c>
      <c r="G359" s="35">
        <f>F359*'Parámetros Proyección'!$F$11</f>
        <v/>
      </c>
      <c r="H359" s="35">
        <f>F359+G359</f>
        <v/>
      </c>
      <c r="I359" s="35">
        <f>IF((H359/AI359&gt;'Parámetros Proyección'!$G$11),0,D359*'Parámetros Proyección'!$G$11/(IF((H359/AI359&gt;'Parámetros Proyección'!$G$11),0,'Parámetros Proyección'!$G$11)+IF((N359/AI359&gt;'Parámetros Proyección'!$G$12),0,'Parámetros Proyección'!$G$12)+IF((T359/AI359&gt;'Parámetros Proyección'!$G$13),0,'Parámetros Proyección'!$G$13)+IF((Z359/AI359&gt;'Parámetros Proyección'!$G$14),0,'Parámetros Proyección'!$G$14)+IF((AF359/AI359&gt;'Parámetros Proyección'!$G$15),0,'Parámetros Proyección'!$G$15)))</f>
        <v/>
      </c>
      <c r="J359" s="35">
        <f>H359+I359</f>
        <v/>
      </c>
      <c r="K359" s="35">
        <f>P358</f>
        <v/>
      </c>
      <c r="L359" s="35">
        <f>K359*(1+'Parámetros Proyección'!$E$12)</f>
        <v/>
      </c>
      <c r="M359" s="35">
        <f>L359*'Parámetros Proyección'!$F$12</f>
        <v/>
      </c>
      <c r="N359" s="35">
        <f>L359+M359</f>
        <v/>
      </c>
      <c r="O359" s="35">
        <f>IF((N359/AI359&gt;'Parámetros Proyección'!$G$12),0,D359*'Parámetros Proyección'!$G$12/(IF((H359/AI359&gt;'Parámetros Proyección'!$G$11),0,'Parámetros Proyección'!$G$11)+IF((N359/AI359&gt;'Parámetros Proyección'!$G$12),0,'Parámetros Proyección'!$G$12)+IF((T359/AI359&gt;'Parámetros Proyección'!$G$13),0,'Parámetros Proyección'!$G$13)+IF((Z359/AI359&gt;'Parámetros Proyección'!$G$14),0,'Parámetros Proyección'!$G$14)+IF((AF359/AI359&gt;'Parámetros Proyección'!$G$15),0,'Parámetros Proyección'!$G$15)))</f>
        <v/>
      </c>
      <c r="P359" s="35">
        <f>N359+O359</f>
        <v/>
      </c>
      <c r="Q359" s="35">
        <f>V358</f>
        <v/>
      </c>
      <c r="R359" s="35">
        <f>Q359*(1+'Parámetros Proyección'!$E$13)</f>
        <v/>
      </c>
      <c r="S359" s="35">
        <f>R359*'Parámetros Proyección'!$F$13</f>
        <v/>
      </c>
      <c r="T359" s="35">
        <f>R359+S359</f>
        <v/>
      </c>
      <c r="U359" s="35">
        <f>IF((T359/AI359&gt;'Parámetros Proyección'!$G$13),0,D359*'Parámetros Proyección'!$G$13/(IF((H359/AI359&gt;'Parámetros Proyección'!$G$11),0,'Parámetros Proyección'!$G$11)+IF((N359/AI359&gt;'Parámetros Proyección'!$G$12),0,'Parámetros Proyección'!$G$12)+IF((T359/AI359&gt;'Parámetros Proyección'!$G$13),0,'Parámetros Proyección'!$G$13)+IF((Z359/AI359&gt;'Parámetros Proyección'!$G$14),0,'Parámetros Proyección'!$G$14)+IF((AF359/AI359&gt;'Parámetros Proyección'!$G$15),0,'Parámetros Proyección'!$G$15)))</f>
        <v/>
      </c>
      <c r="V359" s="35">
        <f>T359+U359</f>
        <v/>
      </c>
      <c r="W359" s="35">
        <f>AB358</f>
        <v/>
      </c>
      <c r="X359" s="35">
        <f>W359*(1+'Parámetros Proyección'!$E$14)</f>
        <v/>
      </c>
      <c r="Y359" s="35">
        <f>X359*'Parámetros Proyección'!$F$14</f>
        <v/>
      </c>
      <c r="Z359" s="35">
        <f>X359+Y359</f>
        <v/>
      </c>
      <c r="AA359" s="35">
        <f>IF((Z359/AI359&gt;'Parámetros Proyección'!$G$14),0,D359*'Parámetros Proyección'!$G$14/(IF((H359/AI359&gt;'Parámetros Proyección'!$G$11),0,'Parámetros Proyección'!$G$11)+IF((N359/AI359&gt;'Parámetros Proyección'!$G$12),0,'Parámetros Proyección'!$G$12)+IF((T359/AI359&gt;'Parámetros Proyección'!$G$13),0,'Parámetros Proyección'!$G$13)+IF((Z359/AI359&gt;'Parámetros Proyección'!$G$14),0,'Parámetros Proyección'!$G$14)+IF((AF359/AI359&gt;'Parámetros Proyección'!$G$15),0,'Parámetros Proyección'!$G$15)))</f>
        <v/>
      </c>
      <c r="AB359" s="35">
        <f>Z359+AA359</f>
        <v/>
      </c>
      <c r="AC359" s="35">
        <f>AH358</f>
        <v/>
      </c>
      <c r="AD359" s="35">
        <f>AC359*(1+'Parámetros Proyección'!$E$15)</f>
        <v/>
      </c>
      <c r="AE359" s="35">
        <f>AD359*'Parámetros Proyección'!$F$15</f>
        <v/>
      </c>
      <c r="AF359" s="35">
        <f>AD359+AE359</f>
        <v/>
      </c>
      <c r="AG359" s="35">
        <f>IF((AF359/AI359&gt;'Parámetros Proyección'!$G$15),0,D359*'Parámetros Proyección'!$G$15/(IF((H359/AI359&gt;'Parámetros Proyección'!$G$11),0,'Parámetros Proyección'!$G$11)+IF((N359/AI359&gt;'Parámetros Proyección'!$G$12),0,'Parámetros Proyección'!$G$12)+IF((T359/AI359&gt;'Parámetros Proyección'!$G$13),0,'Parámetros Proyección'!$G$13)+IF((Z359/AI359&gt;'Parámetros Proyección'!$G$14),0,'Parámetros Proyección'!$G$14)+IF((AF359/AI359&gt;'Parámetros Proyección'!$G$15),0,'Parámetros Proyección'!$G$15)))</f>
        <v/>
      </c>
      <c r="AH359" s="35">
        <f>AF359+AG359</f>
        <v/>
      </c>
      <c r="AI359" s="35">
        <f>H359+N359+T359+Z359+AF359</f>
        <v/>
      </c>
      <c r="AJ359" s="33">
        <f>AF359/AI359</f>
        <v/>
      </c>
      <c r="AK359">
        <f>IF(AJ359&gt;'Parámetros Proyección'!$B$5,1,0)</f>
        <v/>
      </c>
      <c r="AL359" s="35">
        <f>G359+M359+S359+Y359+AE359</f>
        <v/>
      </c>
      <c r="AM359" s="35">
        <f>AM358+D359</f>
        <v/>
      </c>
      <c r="AN359" s="35">
        <f>AN358+AL359</f>
        <v/>
      </c>
      <c r="AO359" s="35">
        <f>J359+P359+V359+AB359+AH359</f>
        <v/>
      </c>
    </row>
    <row r="360">
      <c r="A360" t="n">
        <v>357</v>
      </c>
      <c r="B360" s="34">
        <f>EDATE(B359,1)</f>
        <v/>
      </c>
      <c r="C360">
        <f>YEAR(B360)</f>
        <v/>
      </c>
      <c r="D360" s="35">
        <f>'Parámetros Proyección'!$B$3*(1+'Parámetros Proyección'!$B$4)^(C360-YEAR('Parámetros Proyección'!$B$6))</f>
        <v/>
      </c>
      <c r="E360" s="35">
        <f>J359</f>
        <v/>
      </c>
      <c r="F360" s="35">
        <f>E360*(1+'Parámetros Proyección'!$E$11)</f>
        <v/>
      </c>
      <c r="G360" s="35">
        <f>F360*'Parámetros Proyección'!$F$11</f>
        <v/>
      </c>
      <c r="H360" s="35">
        <f>F360+G360</f>
        <v/>
      </c>
      <c r="I360" s="35">
        <f>IF((H360/AI360&gt;'Parámetros Proyección'!$G$11),0,D360*'Parámetros Proyección'!$G$11/(IF((H360/AI360&gt;'Parámetros Proyección'!$G$11),0,'Parámetros Proyección'!$G$11)+IF((N360/AI360&gt;'Parámetros Proyección'!$G$12),0,'Parámetros Proyección'!$G$12)+IF((T360/AI360&gt;'Parámetros Proyección'!$G$13),0,'Parámetros Proyección'!$G$13)+IF((Z360/AI360&gt;'Parámetros Proyección'!$G$14),0,'Parámetros Proyección'!$G$14)+IF((AF360/AI360&gt;'Parámetros Proyección'!$G$15),0,'Parámetros Proyección'!$G$15)))</f>
        <v/>
      </c>
      <c r="J360" s="35">
        <f>H360+I360</f>
        <v/>
      </c>
      <c r="K360" s="35">
        <f>P359</f>
        <v/>
      </c>
      <c r="L360" s="35">
        <f>K360*(1+'Parámetros Proyección'!$E$12)</f>
        <v/>
      </c>
      <c r="M360" s="35">
        <f>L360*'Parámetros Proyección'!$F$12</f>
        <v/>
      </c>
      <c r="N360" s="35">
        <f>L360+M360</f>
        <v/>
      </c>
      <c r="O360" s="35">
        <f>IF((N360/AI360&gt;'Parámetros Proyección'!$G$12),0,D360*'Parámetros Proyección'!$G$12/(IF((H360/AI360&gt;'Parámetros Proyección'!$G$11),0,'Parámetros Proyección'!$G$11)+IF((N360/AI360&gt;'Parámetros Proyección'!$G$12),0,'Parámetros Proyección'!$G$12)+IF((T360/AI360&gt;'Parámetros Proyección'!$G$13),0,'Parámetros Proyección'!$G$13)+IF((Z360/AI360&gt;'Parámetros Proyección'!$G$14),0,'Parámetros Proyección'!$G$14)+IF((AF360/AI360&gt;'Parámetros Proyección'!$G$15),0,'Parámetros Proyección'!$G$15)))</f>
        <v/>
      </c>
      <c r="P360" s="35">
        <f>N360+O360</f>
        <v/>
      </c>
      <c r="Q360" s="35">
        <f>V359</f>
        <v/>
      </c>
      <c r="R360" s="35">
        <f>Q360*(1+'Parámetros Proyección'!$E$13)</f>
        <v/>
      </c>
      <c r="S360" s="35">
        <f>R360*'Parámetros Proyección'!$F$13</f>
        <v/>
      </c>
      <c r="T360" s="35">
        <f>R360+S360</f>
        <v/>
      </c>
      <c r="U360" s="35">
        <f>IF((T360/AI360&gt;'Parámetros Proyección'!$G$13),0,D360*'Parámetros Proyección'!$G$13/(IF((H360/AI360&gt;'Parámetros Proyección'!$G$11),0,'Parámetros Proyección'!$G$11)+IF((N360/AI360&gt;'Parámetros Proyección'!$G$12),0,'Parámetros Proyección'!$G$12)+IF((T360/AI360&gt;'Parámetros Proyección'!$G$13),0,'Parámetros Proyección'!$G$13)+IF((Z360/AI360&gt;'Parámetros Proyección'!$G$14),0,'Parámetros Proyección'!$G$14)+IF((AF360/AI360&gt;'Parámetros Proyección'!$G$15),0,'Parámetros Proyección'!$G$15)))</f>
        <v/>
      </c>
      <c r="V360" s="35">
        <f>T360+U360</f>
        <v/>
      </c>
      <c r="W360" s="35">
        <f>AB359</f>
        <v/>
      </c>
      <c r="X360" s="35">
        <f>W360*(1+'Parámetros Proyección'!$E$14)</f>
        <v/>
      </c>
      <c r="Y360" s="35">
        <f>X360*'Parámetros Proyección'!$F$14</f>
        <v/>
      </c>
      <c r="Z360" s="35">
        <f>X360+Y360</f>
        <v/>
      </c>
      <c r="AA360" s="35">
        <f>IF((Z360/AI360&gt;'Parámetros Proyección'!$G$14),0,D360*'Parámetros Proyección'!$G$14/(IF((H360/AI360&gt;'Parámetros Proyección'!$G$11),0,'Parámetros Proyección'!$G$11)+IF((N360/AI360&gt;'Parámetros Proyección'!$G$12),0,'Parámetros Proyección'!$G$12)+IF((T360/AI360&gt;'Parámetros Proyección'!$G$13),0,'Parámetros Proyección'!$G$13)+IF((Z360/AI360&gt;'Parámetros Proyección'!$G$14),0,'Parámetros Proyección'!$G$14)+IF((AF360/AI360&gt;'Parámetros Proyección'!$G$15),0,'Parámetros Proyección'!$G$15)))</f>
        <v/>
      </c>
      <c r="AB360" s="35">
        <f>Z360+AA360</f>
        <v/>
      </c>
      <c r="AC360" s="35">
        <f>AH359</f>
        <v/>
      </c>
      <c r="AD360" s="35">
        <f>AC360*(1+'Parámetros Proyección'!$E$15)</f>
        <v/>
      </c>
      <c r="AE360" s="35">
        <f>AD360*'Parámetros Proyección'!$F$15</f>
        <v/>
      </c>
      <c r="AF360" s="35">
        <f>AD360+AE360</f>
        <v/>
      </c>
      <c r="AG360" s="35">
        <f>IF((AF360/AI360&gt;'Parámetros Proyección'!$G$15),0,D360*'Parámetros Proyección'!$G$15/(IF((H360/AI360&gt;'Parámetros Proyección'!$G$11),0,'Parámetros Proyección'!$G$11)+IF((N360/AI360&gt;'Parámetros Proyección'!$G$12),0,'Parámetros Proyección'!$G$12)+IF((T360/AI360&gt;'Parámetros Proyección'!$G$13),0,'Parámetros Proyección'!$G$13)+IF((Z360/AI360&gt;'Parámetros Proyección'!$G$14),0,'Parámetros Proyección'!$G$14)+IF((AF360/AI360&gt;'Parámetros Proyección'!$G$15),0,'Parámetros Proyección'!$G$15)))</f>
        <v/>
      </c>
      <c r="AH360" s="35">
        <f>AF360+AG360</f>
        <v/>
      </c>
      <c r="AI360" s="35">
        <f>H360+N360+T360+Z360+AF360</f>
        <v/>
      </c>
      <c r="AJ360" s="33">
        <f>AF360/AI360</f>
        <v/>
      </c>
      <c r="AK360">
        <f>IF(AJ360&gt;'Parámetros Proyección'!$B$5,1,0)</f>
        <v/>
      </c>
      <c r="AL360" s="35">
        <f>G360+M360+S360+Y360+AE360</f>
        <v/>
      </c>
      <c r="AM360" s="35">
        <f>AM359+D360</f>
        <v/>
      </c>
      <c r="AN360" s="35">
        <f>AN359+AL360</f>
        <v/>
      </c>
      <c r="AO360" s="35">
        <f>J360+P360+V360+AB360+AH360</f>
        <v/>
      </c>
    </row>
    <row r="361">
      <c r="A361" t="n">
        <v>358</v>
      </c>
      <c r="B361" s="34">
        <f>EDATE(B360,1)</f>
        <v/>
      </c>
      <c r="C361">
        <f>YEAR(B361)</f>
        <v/>
      </c>
      <c r="D361" s="35">
        <f>'Parámetros Proyección'!$B$3*(1+'Parámetros Proyección'!$B$4)^(C361-YEAR('Parámetros Proyección'!$B$6))</f>
        <v/>
      </c>
      <c r="E361" s="35">
        <f>J360</f>
        <v/>
      </c>
      <c r="F361" s="35">
        <f>E361*(1+'Parámetros Proyección'!$E$11)</f>
        <v/>
      </c>
      <c r="G361" s="35">
        <f>F361*'Parámetros Proyección'!$F$11</f>
        <v/>
      </c>
      <c r="H361" s="35">
        <f>F361+G361</f>
        <v/>
      </c>
      <c r="I361" s="35">
        <f>IF((H361/AI361&gt;'Parámetros Proyección'!$G$11),0,D361*'Parámetros Proyección'!$G$11/(IF((H361/AI361&gt;'Parámetros Proyección'!$G$11),0,'Parámetros Proyección'!$G$11)+IF((N361/AI361&gt;'Parámetros Proyección'!$G$12),0,'Parámetros Proyección'!$G$12)+IF((T361/AI361&gt;'Parámetros Proyección'!$G$13),0,'Parámetros Proyección'!$G$13)+IF((Z361/AI361&gt;'Parámetros Proyección'!$G$14),0,'Parámetros Proyección'!$G$14)+IF((AF361/AI361&gt;'Parámetros Proyección'!$G$15),0,'Parámetros Proyección'!$G$15)))</f>
        <v/>
      </c>
      <c r="J361" s="35">
        <f>H361+I361</f>
        <v/>
      </c>
      <c r="K361" s="35">
        <f>P360</f>
        <v/>
      </c>
      <c r="L361" s="35">
        <f>K361*(1+'Parámetros Proyección'!$E$12)</f>
        <v/>
      </c>
      <c r="M361" s="35">
        <f>L361*'Parámetros Proyección'!$F$12</f>
        <v/>
      </c>
      <c r="N361" s="35">
        <f>L361+M361</f>
        <v/>
      </c>
      <c r="O361" s="35">
        <f>IF((N361/AI361&gt;'Parámetros Proyección'!$G$12),0,D361*'Parámetros Proyección'!$G$12/(IF((H361/AI361&gt;'Parámetros Proyección'!$G$11),0,'Parámetros Proyección'!$G$11)+IF((N361/AI361&gt;'Parámetros Proyección'!$G$12),0,'Parámetros Proyección'!$G$12)+IF((T361/AI361&gt;'Parámetros Proyección'!$G$13),0,'Parámetros Proyección'!$G$13)+IF((Z361/AI361&gt;'Parámetros Proyección'!$G$14),0,'Parámetros Proyección'!$G$14)+IF((AF361/AI361&gt;'Parámetros Proyección'!$G$15),0,'Parámetros Proyección'!$G$15)))</f>
        <v/>
      </c>
      <c r="P361" s="35">
        <f>N361+O361</f>
        <v/>
      </c>
      <c r="Q361" s="35">
        <f>V360</f>
        <v/>
      </c>
      <c r="R361" s="35">
        <f>Q361*(1+'Parámetros Proyección'!$E$13)</f>
        <v/>
      </c>
      <c r="S361" s="35">
        <f>R361*'Parámetros Proyección'!$F$13</f>
        <v/>
      </c>
      <c r="T361" s="35">
        <f>R361+S361</f>
        <v/>
      </c>
      <c r="U361" s="35">
        <f>IF((T361/AI361&gt;'Parámetros Proyección'!$G$13),0,D361*'Parámetros Proyección'!$G$13/(IF((H361/AI361&gt;'Parámetros Proyección'!$G$11),0,'Parámetros Proyección'!$G$11)+IF((N361/AI361&gt;'Parámetros Proyección'!$G$12),0,'Parámetros Proyección'!$G$12)+IF((T361/AI361&gt;'Parámetros Proyección'!$G$13),0,'Parámetros Proyección'!$G$13)+IF((Z361/AI361&gt;'Parámetros Proyección'!$G$14),0,'Parámetros Proyección'!$G$14)+IF((AF361/AI361&gt;'Parámetros Proyección'!$G$15),0,'Parámetros Proyección'!$G$15)))</f>
        <v/>
      </c>
      <c r="V361" s="35">
        <f>T361+U361</f>
        <v/>
      </c>
      <c r="W361" s="35">
        <f>AB360</f>
        <v/>
      </c>
      <c r="X361" s="35">
        <f>W361*(1+'Parámetros Proyección'!$E$14)</f>
        <v/>
      </c>
      <c r="Y361" s="35">
        <f>X361*'Parámetros Proyección'!$F$14</f>
        <v/>
      </c>
      <c r="Z361" s="35">
        <f>X361+Y361</f>
        <v/>
      </c>
      <c r="AA361" s="35">
        <f>IF((Z361/AI361&gt;'Parámetros Proyección'!$G$14),0,D361*'Parámetros Proyección'!$G$14/(IF((H361/AI361&gt;'Parámetros Proyección'!$G$11),0,'Parámetros Proyección'!$G$11)+IF((N361/AI361&gt;'Parámetros Proyección'!$G$12),0,'Parámetros Proyección'!$G$12)+IF((T361/AI361&gt;'Parámetros Proyección'!$G$13),0,'Parámetros Proyección'!$G$13)+IF((Z361/AI361&gt;'Parámetros Proyección'!$G$14),0,'Parámetros Proyección'!$G$14)+IF((AF361/AI361&gt;'Parámetros Proyección'!$G$15),0,'Parámetros Proyección'!$G$15)))</f>
        <v/>
      </c>
      <c r="AB361" s="35">
        <f>Z361+AA361</f>
        <v/>
      </c>
      <c r="AC361" s="35">
        <f>AH360</f>
        <v/>
      </c>
      <c r="AD361" s="35">
        <f>AC361*(1+'Parámetros Proyección'!$E$15)</f>
        <v/>
      </c>
      <c r="AE361" s="35">
        <f>AD361*'Parámetros Proyección'!$F$15</f>
        <v/>
      </c>
      <c r="AF361" s="35">
        <f>AD361+AE361</f>
        <v/>
      </c>
      <c r="AG361" s="35">
        <f>IF((AF361/AI361&gt;'Parámetros Proyección'!$G$15),0,D361*'Parámetros Proyección'!$G$15/(IF((H361/AI361&gt;'Parámetros Proyección'!$G$11),0,'Parámetros Proyección'!$G$11)+IF((N361/AI361&gt;'Parámetros Proyección'!$G$12),0,'Parámetros Proyección'!$G$12)+IF((T361/AI361&gt;'Parámetros Proyección'!$G$13),0,'Parámetros Proyección'!$G$13)+IF((Z361/AI361&gt;'Parámetros Proyección'!$G$14),0,'Parámetros Proyección'!$G$14)+IF((AF361/AI361&gt;'Parámetros Proyección'!$G$15),0,'Parámetros Proyección'!$G$15)))</f>
        <v/>
      </c>
      <c r="AH361" s="35">
        <f>AF361+AG361</f>
        <v/>
      </c>
      <c r="AI361" s="35">
        <f>H361+N361+T361+Z361+AF361</f>
        <v/>
      </c>
      <c r="AJ361" s="33">
        <f>AF361/AI361</f>
        <v/>
      </c>
      <c r="AK361">
        <f>IF(AJ361&gt;'Parámetros Proyección'!$B$5,1,0)</f>
        <v/>
      </c>
      <c r="AL361" s="35">
        <f>G361+M361+S361+Y361+AE361</f>
        <v/>
      </c>
      <c r="AM361" s="35">
        <f>AM360+D361</f>
        <v/>
      </c>
      <c r="AN361" s="35">
        <f>AN360+AL361</f>
        <v/>
      </c>
      <c r="AO361" s="35">
        <f>J361+P361+V361+AB361+AH361</f>
        <v/>
      </c>
    </row>
    <row r="362">
      <c r="A362" t="n">
        <v>359</v>
      </c>
      <c r="B362" s="34">
        <f>EDATE(B361,1)</f>
        <v/>
      </c>
      <c r="C362">
        <f>YEAR(B362)</f>
        <v/>
      </c>
      <c r="D362" s="35">
        <f>'Parámetros Proyección'!$B$3*(1+'Parámetros Proyección'!$B$4)^(C362-YEAR('Parámetros Proyección'!$B$6))</f>
        <v/>
      </c>
      <c r="E362" s="35">
        <f>J361</f>
        <v/>
      </c>
      <c r="F362" s="35">
        <f>E362*(1+'Parámetros Proyección'!$E$11)</f>
        <v/>
      </c>
      <c r="G362" s="35">
        <f>F362*'Parámetros Proyección'!$F$11</f>
        <v/>
      </c>
      <c r="H362" s="35">
        <f>F362+G362</f>
        <v/>
      </c>
      <c r="I362" s="35">
        <f>IF((H362/AI362&gt;'Parámetros Proyección'!$G$11),0,D362*'Parámetros Proyección'!$G$11/(IF((H362/AI362&gt;'Parámetros Proyección'!$G$11),0,'Parámetros Proyección'!$G$11)+IF((N362/AI362&gt;'Parámetros Proyección'!$G$12),0,'Parámetros Proyección'!$G$12)+IF((T362/AI362&gt;'Parámetros Proyección'!$G$13),0,'Parámetros Proyección'!$G$13)+IF((Z362/AI362&gt;'Parámetros Proyección'!$G$14),0,'Parámetros Proyección'!$G$14)+IF((AF362/AI362&gt;'Parámetros Proyección'!$G$15),0,'Parámetros Proyección'!$G$15)))</f>
        <v/>
      </c>
      <c r="J362" s="35">
        <f>H362+I362</f>
        <v/>
      </c>
      <c r="K362" s="35">
        <f>P361</f>
        <v/>
      </c>
      <c r="L362" s="35">
        <f>K362*(1+'Parámetros Proyección'!$E$12)</f>
        <v/>
      </c>
      <c r="M362" s="35">
        <f>L362*'Parámetros Proyección'!$F$12</f>
        <v/>
      </c>
      <c r="N362" s="35">
        <f>L362+M362</f>
        <v/>
      </c>
      <c r="O362" s="35">
        <f>IF((N362/AI362&gt;'Parámetros Proyección'!$G$12),0,D362*'Parámetros Proyección'!$G$12/(IF((H362/AI362&gt;'Parámetros Proyección'!$G$11),0,'Parámetros Proyección'!$G$11)+IF((N362/AI362&gt;'Parámetros Proyección'!$G$12),0,'Parámetros Proyección'!$G$12)+IF((T362/AI362&gt;'Parámetros Proyección'!$G$13),0,'Parámetros Proyección'!$G$13)+IF((Z362/AI362&gt;'Parámetros Proyección'!$G$14),0,'Parámetros Proyección'!$G$14)+IF((AF362/AI362&gt;'Parámetros Proyección'!$G$15),0,'Parámetros Proyección'!$G$15)))</f>
        <v/>
      </c>
      <c r="P362" s="35">
        <f>N362+O362</f>
        <v/>
      </c>
      <c r="Q362" s="35">
        <f>V361</f>
        <v/>
      </c>
      <c r="R362" s="35">
        <f>Q362*(1+'Parámetros Proyección'!$E$13)</f>
        <v/>
      </c>
      <c r="S362" s="35">
        <f>R362*'Parámetros Proyección'!$F$13</f>
        <v/>
      </c>
      <c r="T362" s="35">
        <f>R362+S362</f>
        <v/>
      </c>
      <c r="U362" s="35">
        <f>IF((T362/AI362&gt;'Parámetros Proyección'!$G$13),0,D362*'Parámetros Proyección'!$G$13/(IF((H362/AI362&gt;'Parámetros Proyección'!$G$11),0,'Parámetros Proyección'!$G$11)+IF((N362/AI362&gt;'Parámetros Proyección'!$G$12),0,'Parámetros Proyección'!$G$12)+IF((T362/AI362&gt;'Parámetros Proyección'!$G$13),0,'Parámetros Proyección'!$G$13)+IF((Z362/AI362&gt;'Parámetros Proyección'!$G$14),0,'Parámetros Proyección'!$G$14)+IF((AF362/AI362&gt;'Parámetros Proyección'!$G$15),0,'Parámetros Proyección'!$G$15)))</f>
        <v/>
      </c>
      <c r="V362" s="35">
        <f>T362+U362</f>
        <v/>
      </c>
      <c r="W362" s="35">
        <f>AB361</f>
        <v/>
      </c>
      <c r="X362" s="35">
        <f>W362*(1+'Parámetros Proyección'!$E$14)</f>
        <v/>
      </c>
      <c r="Y362" s="35">
        <f>X362*'Parámetros Proyección'!$F$14</f>
        <v/>
      </c>
      <c r="Z362" s="35">
        <f>X362+Y362</f>
        <v/>
      </c>
      <c r="AA362" s="35">
        <f>IF((Z362/AI362&gt;'Parámetros Proyección'!$G$14),0,D362*'Parámetros Proyección'!$G$14/(IF((H362/AI362&gt;'Parámetros Proyección'!$G$11),0,'Parámetros Proyección'!$G$11)+IF((N362/AI362&gt;'Parámetros Proyección'!$G$12),0,'Parámetros Proyección'!$G$12)+IF((T362/AI362&gt;'Parámetros Proyección'!$G$13),0,'Parámetros Proyección'!$G$13)+IF((Z362/AI362&gt;'Parámetros Proyección'!$G$14),0,'Parámetros Proyección'!$G$14)+IF((AF362/AI362&gt;'Parámetros Proyección'!$G$15),0,'Parámetros Proyección'!$G$15)))</f>
        <v/>
      </c>
      <c r="AB362" s="35">
        <f>Z362+AA362</f>
        <v/>
      </c>
      <c r="AC362" s="35">
        <f>AH361</f>
        <v/>
      </c>
      <c r="AD362" s="35">
        <f>AC362*(1+'Parámetros Proyección'!$E$15)</f>
        <v/>
      </c>
      <c r="AE362" s="35">
        <f>AD362*'Parámetros Proyección'!$F$15</f>
        <v/>
      </c>
      <c r="AF362" s="35">
        <f>AD362+AE362</f>
        <v/>
      </c>
      <c r="AG362" s="35">
        <f>IF((AF362/AI362&gt;'Parámetros Proyección'!$G$15),0,D362*'Parámetros Proyección'!$G$15/(IF((H362/AI362&gt;'Parámetros Proyección'!$G$11),0,'Parámetros Proyección'!$G$11)+IF((N362/AI362&gt;'Parámetros Proyección'!$G$12),0,'Parámetros Proyección'!$G$12)+IF((T362/AI362&gt;'Parámetros Proyección'!$G$13),0,'Parámetros Proyección'!$G$13)+IF((Z362/AI362&gt;'Parámetros Proyección'!$G$14),0,'Parámetros Proyección'!$G$14)+IF((AF362/AI362&gt;'Parámetros Proyección'!$G$15),0,'Parámetros Proyección'!$G$15)))</f>
        <v/>
      </c>
      <c r="AH362" s="35">
        <f>AF362+AG362</f>
        <v/>
      </c>
      <c r="AI362" s="35">
        <f>H362+N362+T362+Z362+AF362</f>
        <v/>
      </c>
      <c r="AJ362" s="33">
        <f>AF362/AI362</f>
        <v/>
      </c>
      <c r="AK362">
        <f>IF(AJ362&gt;'Parámetros Proyección'!$B$5,1,0)</f>
        <v/>
      </c>
      <c r="AL362" s="35">
        <f>G362+M362+S362+Y362+AE362</f>
        <v/>
      </c>
      <c r="AM362" s="35">
        <f>AM361+D362</f>
        <v/>
      </c>
      <c r="AN362" s="35">
        <f>AN361+AL362</f>
        <v/>
      </c>
      <c r="AO362" s="35">
        <f>J362+P362+V362+AB362+AH362</f>
        <v/>
      </c>
    </row>
    <row r="363">
      <c r="A363" t="n">
        <v>360</v>
      </c>
      <c r="B363" s="34">
        <f>EDATE(B362,1)</f>
        <v/>
      </c>
      <c r="C363">
        <f>YEAR(B363)</f>
        <v/>
      </c>
      <c r="D363" s="35">
        <f>'Parámetros Proyección'!$B$3*(1+'Parámetros Proyección'!$B$4)^(C363-YEAR('Parámetros Proyección'!$B$6))</f>
        <v/>
      </c>
      <c r="E363" s="35">
        <f>J362</f>
        <v/>
      </c>
      <c r="F363" s="35">
        <f>E363*(1+'Parámetros Proyección'!$E$11)</f>
        <v/>
      </c>
      <c r="G363" s="35">
        <f>F363*'Parámetros Proyección'!$F$11</f>
        <v/>
      </c>
      <c r="H363" s="35">
        <f>F363+G363</f>
        <v/>
      </c>
      <c r="I363" s="35">
        <f>IF((H363/AI363&gt;'Parámetros Proyección'!$G$11),0,D363*'Parámetros Proyección'!$G$11/(IF((H363/AI363&gt;'Parámetros Proyección'!$G$11),0,'Parámetros Proyección'!$G$11)+IF((N363/AI363&gt;'Parámetros Proyección'!$G$12),0,'Parámetros Proyección'!$G$12)+IF((T363/AI363&gt;'Parámetros Proyección'!$G$13),0,'Parámetros Proyección'!$G$13)+IF((Z363/AI363&gt;'Parámetros Proyección'!$G$14),0,'Parámetros Proyección'!$G$14)+IF((AF363/AI363&gt;'Parámetros Proyección'!$G$15),0,'Parámetros Proyección'!$G$15)))</f>
        <v/>
      </c>
      <c r="J363" s="35">
        <f>H363+I363</f>
        <v/>
      </c>
      <c r="K363" s="35">
        <f>P362</f>
        <v/>
      </c>
      <c r="L363" s="35">
        <f>K363*(1+'Parámetros Proyección'!$E$12)</f>
        <v/>
      </c>
      <c r="M363" s="35">
        <f>L363*'Parámetros Proyección'!$F$12</f>
        <v/>
      </c>
      <c r="N363" s="35">
        <f>L363+M363</f>
        <v/>
      </c>
      <c r="O363" s="35">
        <f>IF((N363/AI363&gt;'Parámetros Proyección'!$G$12),0,D363*'Parámetros Proyección'!$G$12/(IF((H363/AI363&gt;'Parámetros Proyección'!$G$11),0,'Parámetros Proyección'!$G$11)+IF((N363/AI363&gt;'Parámetros Proyección'!$G$12),0,'Parámetros Proyección'!$G$12)+IF((T363/AI363&gt;'Parámetros Proyección'!$G$13),0,'Parámetros Proyección'!$G$13)+IF((Z363/AI363&gt;'Parámetros Proyección'!$G$14),0,'Parámetros Proyección'!$G$14)+IF((AF363/AI363&gt;'Parámetros Proyección'!$G$15),0,'Parámetros Proyección'!$G$15)))</f>
        <v/>
      </c>
      <c r="P363" s="35">
        <f>N363+O363</f>
        <v/>
      </c>
      <c r="Q363" s="35">
        <f>V362</f>
        <v/>
      </c>
      <c r="R363" s="35">
        <f>Q363*(1+'Parámetros Proyección'!$E$13)</f>
        <v/>
      </c>
      <c r="S363" s="35">
        <f>R363*'Parámetros Proyección'!$F$13</f>
        <v/>
      </c>
      <c r="T363" s="35">
        <f>R363+S363</f>
        <v/>
      </c>
      <c r="U363" s="35">
        <f>IF((T363/AI363&gt;'Parámetros Proyección'!$G$13),0,D363*'Parámetros Proyección'!$G$13/(IF((H363/AI363&gt;'Parámetros Proyección'!$G$11),0,'Parámetros Proyección'!$G$11)+IF((N363/AI363&gt;'Parámetros Proyección'!$G$12),0,'Parámetros Proyección'!$G$12)+IF((T363/AI363&gt;'Parámetros Proyección'!$G$13),0,'Parámetros Proyección'!$G$13)+IF((Z363/AI363&gt;'Parámetros Proyección'!$G$14),0,'Parámetros Proyección'!$G$14)+IF((AF363/AI363&gt;'Parámetros Proyección'!$G$15),0,'Parámetros Proyección'!$G$15)))</f>
        <v/>
      </c>
      <c r="V363" s="35">
        <f>T363+U363</f>
        <v/>
      </c>
      <c r="W363" s="35">
        <f>AB362</f>
        <v/>
      </c>
      <c r="X363" s="35">
        <f>W363*(1+'Parámetros Proyección'!$E$14)</f>
        <v/>
      </c>
      <c r="Y363" s="35">
        <f>X363*'Parámetros Proyección'!$F$14</f>
        <v/>
      </c>
      <c r="Z363" s="35">
        <f>X363+Y363</f>
        <v/>
      </c>
      <c r="AA363" s="35">
        <f>IF((Z363/AI363&gt;'Parámetros Proyección'!$G$14),0,D363*'Parámetros Proyección'!$G$14/(IF((H363/AI363&gt;'Parámetros Proyección'!$G$11),0,'Parámetros Proyección'!$G$11)+IF((N363/AI363&gt;'Parámetros Proyección'!$G$12),0,'Parámetros Proyección'!$G$12)+IF((T363/AI363&gt;'Parámetros Proyección'!$G$13),0,'Parámetros Proyección'!$G$13)+IF((Z363/AI363&gt;'Parámetros Proyección'!$G$14),0,'Parámetros Proyección'!$G$14)+IF((AF363/AI363&gt;'Parámetros Proyección'!$G$15),0,'Parámetros Proyección'!$G$15)))</f>
        <v/>
      </c>
      <c r="AB363" s="35">
        <f>Z363+AA363</f>
        <v/>
      </c>
      <c r="AC363" s="35">
        <f>AH362</f>
        <v/>
      </c>
      <c r="AD363" s="35">
        <f>AC363*(1+'Parámetros Proyección'!$E$15)</f>
        <v/>
      </c>
      <c r="AE363" s="35">
        <f>AD363*'Parámetros Proyección'!$F$15</f>
        <v/>
      </c>
      <c r="AF363" s="35">
        <f>AD363+AE363</f>
        <v/>
      </c>
      <c r="AG363" s="35">
        <f>IF((AF363/AI363&gt;'Parámetros Proyección'!$G$15),0,D363*'Parámetros Proyección'!$G$15/(IF((H363/AI363&gt;'Parámetros Proyección'!$G$11),0,'Parámetros Proyección'!$G$11)+IF((N363/AI363&gt;'Parámetros Proyección'!$G$12),0,'Parámetros Proyección'!$G$12)+IF((T363/AI363&gt;'Parámetros Proyección'!$G$13),0,'Parámetros Proyección'!$G$13)+IF((Z363/AI363&gt;'Parámetros Proyección'!$G$14),0,'Parámetros Proyección'!$G$14)+IF((AF363/AI363&gt;'Parámetros Proyección'!$G$15),0,'Parámetros Proyección'!$G$15)))</f>
        <v/>
      </c>
      <c r="AH363" s="35">
        <f>AF363+AG363</f>
        <v/>
      </c>
      <c r="AI363" s="35">
        <f>H363+N363+T363+Z363+AF363</f>
        <v/>
      </c>
      <c r="AJ363" s="33">
        <f>AF363/AI363</f>
        <v/>
      </c>
      <c r="AK363">
        <f>IF(AJ363&gt;'Parámetros Proyección'!$B$5,1,0)</f>
        <v/>
      </c>
      <c r="AL363" s="35">
        <f>G363+M363+S363+Y363+AE363</f>
        <v/>
      </c>
      <c r="AM363" s="35">
        <f>AM362+D363</f>
        <v/>
      </c>
      <c r="AN363" s="35">
        <f>AN362+AL363</f>
        <v/>
      </c>
      <c r="AO363" s="35">
        <f>J363+P363+V363+AB363+AH363</f>
        <v/>
      </c>
    </row>
    <row r="364">
      <c r="A364" t="n">
        <v>361</v>
      </c>
      <c r="B364" s="34">
        <f>EDATE(B363,1)</f>
        <v/>
      </c>
      <c r="C364">
        <f>YEAR(B364)</f>
        <v/>
      </c>
      <c r="D364" s="35">
        <f>'Parámetros Proyección'!$B$3*(1+'Parámetros Proyección'!$B$4)^(C364-YEAR('Parámetros Proyección'!$B$6))</f>
        <v/>
      </c>
      <c r="E364" s="35">
        <f>J363</f>
        <v/>
      </c>
      <c r="F364" s="35">
        <f>E364*(1+'Parámetros Proyección'!$E$11)</f>
        <v/>
      </c>
      <c r="G364" s="35">
        <f>F364*'Parámetros Proyección'!$F$11</f>
        <v/>
      </c>
      <c r="H364" s="35">
        <f>F364+G364</f>
        <v/>
      </c>
      <c r="I364" s="35">
        <f>IF((H364/AI364&gt;'Parámetros Proyección'!$G$11),0,D364*'Parámetros Proyección'!$G$11/(IF((H364/AI364&gt;'Parámetros Proyección'!$G$11),0,'Parámetros Proyección'!$G$11)+IF((N364/AI364&gt;'Parámetros Proyección'!$G$12),0,'Parámetros Proyección'!$G$12)+IF((T364/AI364&gt;'Parámetros Proyección'!$G$13),0,'Parámetros Proyección'!$G$13)+IF((Z364/AI364&gt;'Parámetros Proyección'!$G$14),0,'Parámetros Proyección'!$G$14)+IF((AF364/AI364&gt;'Parámetros Proyección'!$G$15),0,'Parámetros Proyección'!$G$15)))</f>
        <v/>
      </c>
      <c r="J364" s="35">
        <f>H364+I364</f>
        <v/>
      </c>
      <c r="K364" s="35">
        <f>P363</f>
        <v/>
      </c>
      <c r="L364" s="35">
        <f>K364*(1+'Parámetros Proyección'!$E$12)</f>
        <v/>
      </c>
      <c r="M364" s="35">
        <f>L364*'Parámetros Proyección'!$F$12</f>
        <v/>
      </c>
      <c r="N364" s="35">
        <f>L364+M364</f>
        <v/>
      </c>
      <c r="O364" s="35">
        <f>IF((N364/AI364&gt;'Parámetros Proyección'!$G$12),0,D364*'Parámetros Proyección'!$G$12/(IF((H364/AI364&gt;'Parámetros Proyección'!$G$11),0,'Parámetros Proyección'!$G$11)+IF((N364/AI364&gt;'Parámetros Proyección'!$G$12),0,'Parámetros Proyección'!$G$12)+IF((T364/AI364&gt;'Parámetros Proyección'!$G$13),0,'Parámetros Proyección'!$G$13)+IF((Z364/AI364&gt;'Parámetros Proyección'!$G$14),0,'Parámetros Proyección'!$G$14)+IF((AF364/AI364&gt;'Parámetros Proyección'!$G$15),0,'Parámetros Proyección'!$G$15)))</f>
        <v/>
      </c>
      <c r="P364" s="35">
        <f>N364+O364</f>
        <v/>
      </c>
      <c r="Q364" s="35">
        <f>V363</f>
        <v/>
      </c>
      <c r="R364" s="35">
        <f>Q364*(1+'Parámetros Proyección'!$E$13)</f>
        <v/>
      </c>
      <c r="S364" s="35">
        <f>R364*'Parámetros Proyección'!$F$13</f>
        <v/>
      </c>
      <c r="T364" s="35">
        <f>R364+S364</f>
        <v/>
      </c>
      <c r="U364" s="35">
        <f>IF((T364/AI364&gt;'Parámetros Proyección'!$G$13),0,D364*'Parámetros Proyección'!$G$13/(IF((H364/AI364&gt;'Parámetros Proyección'!$G$11),0,'Parámetros Proyección'!$G$11)+IF((N364/AI364&gt;'Parámetros Proyección'!$G$12),0,'Parámetros Proyección'!$G$12)+IF((T364/AI364&gt;'Parámetros Proyección'!$G$13),0,'Parámetros Proyección'!$G$13)+IF((Z364/AI364&gt;'Parámetros Proyección'!$G$14),0,'Parámetros Proyección'!$G$14)+IF((AF364/AI364&gt;'Parámetros Proyección'!$G$15),0,'Parámetros Proyección'!$G$15)))</f>
        <v/>
      </c>
      <c r="V364" s="35">
        <f>T364+U364</f>
        <v/>
      </c>
      <c r="W364" s="35">
        <f>AB363</f>
        <v/>
      </c>
      <c r="X364" s="35">
        <f>W364*(1+'Parámetros Proyección'!$E$14)</f>
        <v/>
      </c>
      <c r="Y364" s="35">
        <f>X364*'Parámetros Proyección'!$F$14</f>
        <v/>
      </c>
      <c r="Z364" s="35">
        <f>X364+Y364</f>
        <v/>
      </c>
      <c r="AA364" s="35">
        <f>IF((Z364/AI364&gt;'Parámetros Proyección'!$G$14),0,D364*'Parámetros Proyección'!$G$14/(IF((H364/AI364&gt;'Parámetros Proyección'!$G$11),0,'Parámetros Proyección'!$G$11)+IF((N364/AI364&gt;'Parámetros Proyección'!$G$12),0,'Parámetros Proyección'!$G$12)+IF((T364/AI364&gt;'Parámetros Proyección'!$G$13),0,'Parámetros Proyección'!$G$13)+IF((Z364/AI364&gt;'Parámetros Proyección'!$G$14),0,'Parámetros Proyección'!$G$14)+IF((AF364/AI364&gt;'Parámetros Proyección'!$G$15),0,'Parámetros Proyección'!$G$15)))</f>
        <v/>
      </c>
      <c r="AB364" s="35">
        <f>Z364+AA364</f>
        <v/>
      </c>
      <c r="AC364" s="35">
        <f>AH363</f>
        <v/>
      </c>
      <c r="AD364" s="35">
        <f>AC364*(1+'Parámetros Proyección'!$E$15)</f>
        <v/>
      </c>
      <c r="AE364" s="35">
        <f>AD364*'Parámetros Proyección'!$F$15</f>
        <v/>
      </c>
      <c r="AF364" s="35">
        <f>AD364+AE364</f>
        <v/>
      </c>
      <c r="AG364" s="35">
        <f>IF((AF364/AI364&gt;'Parámetros Proyección'!$G$15),0,D364*'Parámetros Proyección'!$G$15/(IF((H364/AI364&gt;'Parámetros Proyección'!$G$11),0,'Parámetros Proyección'!$G$11)+IF((N364/AI364&gt;'Parámetros Proyección'!$G$12),0,'Parámetros Proyección'!$G$12)+IF((T364/AI364&gt;'Parámetros Proyección'!$G$13),0,'Parámetros Proyección'!$G$13)+IF((Z364/AI364&gt;'Parámetros Proyección'!$G$14),0,'Parámetros Proyección'!$G$14)+IF((AF364/AI364&gt;'Parámetros Proyección'!$G$15),0,'Parámetros Proyección'!$G$15)))</f>
        <v/>
      </c>
      <c r="AH364" s="35">
        <f>AF364+AG364</f>
        <v/>
      </c>
      <c r="AI364" s="35">
        <f>H364+N364+T364+Z364+AF364</f>
        <v/>
      </c>
      <c r="AJ364" s="33">
        <f>AF364/AI364</f>
        <v/>
      </c>
      <c r="AK364">
        <f>IF(AJ364&gt;'Parámetros Proyección'!$B$5,1,0)</f>
        <v/>
      </c>
      <c r="AL364" s="35">
        <f>G364+M364+S364+Y364+AE364</f>
        <v/>
      </c>
      <c r="AM364" s="35">
        <f>AM363+D364</f>
        <v/>
      </c>
      <c r="AN364" s="35">
        <f>AN363+AL364</f>
        <v/>
      </c>
      <c r="AO364" s="35">
        <f>J364+P364+V364+AB364+AH364</f>
        <v/>
      </c>
    </row>
    <row r="365">
      <c r="A365" t="n">
        <v>362</v>
      </c>
      <c r="B365" s="34">
        <f>EDATE(B364,1)</f>
        <v/>
      </c>
      <c r="C365">
        <f>YEAR(B365)</f>
        <v/>
      </c>
      <c r="D365" s="35">
        <f>'Parámetros Proyección'!$B$3*(1+'Parámetros Proyección'!$B$4)^(C365-YEAR('Parámetros Proyección'!$B$6))</f>
        <v/>
      </c>
      <c r="E365" s="35">
        <f>J364</f>
        <v/>
      </c>
      <c r="F365" s="35">
        <f>E365*(1+'Parámetros Proyección'!$E$11)</f>
        <v/>
      </c>
      <c r="G365" s="35">
        <f>F365*'Parámetros Proyección'!$F$11</f>
        <v/>
      </c>
      <c r="H365" s="35">
        <f>F365+G365</f>
        <v/>
      </c>
      <c r="I365" s="35">
        <f>IF((H365/AI365&gt;'Parámetros Proyección'!$G$11),0,D365*'Parámetros Proyección'!$G$11/(IF((H365/AI365&gt;'Parámetros Proyección'!$G$11),0,'Parámetros Proyección'!$G$11)+IF((N365/AI365&gt;'Parámetros Proyección'!$G$12),0,'Parámetros Proyección'!$G$12)+IF((T365/AI365&gt;'Parámetros Proyección'!$G$13),0,'Parámetros Proyección'!$G$13)+IF((Z365/AI365&gt;'Parámetros Proyección'!$G$14),0,'Parámetros Proyección'!$G$14)+IF((AF365/AI365&gt;'Parámetros Proyección'!$G$15),0,'Parámetros Proyección'!$G$15)))</f>
        <v/>
      </c>
      <c r="J365" s="35">
        <f>H365+I365</f>
        <v/>
      </c>
      <c r="K365" s="35">
        <f>P364</f>
        <v/>
      </c>
      <c r="L365" s="35">
        <f>K365*(1+'Parámetros Proyección'!$E$12)</f>
        <v/>
      </c>
      <c r="M365" s="35">
        <f>L365*'Parámetros Proyección'!$F$12</f>
        <v/>
      </c>
      <c r="N365" s="35">
        <f>L365+M365</f>
        <v/>
      </c>
      <c r="O365" s="35">
        <f>IF((N365/AI365&gt;'Parámetros Proyección'!$G$12),0,D365*'Parámetros Proyección'!$G$12/(IF((H365/AI365&gt;'Parámetros Proyección'!$G$11),0,'Parámetros Proyección'!$G$11)+IF((N365/AI365&gt;'Parámetros Proyección'!$G$12),0,'Parámetros Proyección'!$G$12)+IF((T365/AI365&gt;'Parámetros Proyección'!$G$13),0,'Parámetros Proyección'!$G$13)+IF((Z365/AI365&gt;'Parámetros Proyección'!$G$14),0,'Parámetros Proyección'!$G$14)+IF((AF365/AI365&gt;'Parámetros Proyección'!$G$15),0,'Parámetros Proyección'!$G$15)))</f>
        <v/>
      </c>
      <c r="P365" s="35">
        <f>N365+O365</f>
        <v/>
      </c>
      <c r="Q365" s="35">
        <f>V364</f>
        <v/>
      </c>
      <c r="R365" s="35">
        <f>Q365*(1+'Parámetros Proyección'!$E$13)</f>
        <v/>
      </c>
      <c r="S365" s="35">
        <f>R365*'Parámetros Proyección'!$F$13</f>
        <v/>
      </c>
      <c r="T365" s="35">
        <f>R365+S365</f>
        <v/>
      </c>
      <c r="U365" s="35">
        <f>IF((T365/AI365&gt;'Parámetros Proyección'!$G$13),0,D365*'Parámetros Proyección'!$G$13/(IF((H365/AI365&gt;'Parámetros Proyección'!$G$11),0,'Parámetros Proyección'!$G$11)+IF((N365/AI365&gt;'Parámetros Proyección'!$G$12),0,'Parámetros Proyección'!$G$12)+IF((T365/AI365&gt;'Parámetros Proyección'!$G$13),0,'Parámetros Proyección'!$G$13)+IF((Z365/AI365&gt;'Parámetros Proyección'!$G$14),0,'Parámetros Proyección'!$G$14)+IF((AF365/AI365&gt;'Parámetros Proyección'!$G$15),0,'Parámetros Proyección'!$G$15)))</f>
        <v/>
      </c>
      <c r="V365" s="35">
        <f>T365+U365</f>
        <v/>
      </c>
      <c r="W365" s="35">
        <f>AB364</f>
        <v/>
      </c>
      <c r="X365" s="35">
        <f>W365*(1+'Parámetros Proyección'!$E$14)</f>
        <v/>
      </c>
      <c r="Y365" s="35">
        <f>X365*'Parámetros Proyección'!$F$14</f>
        <v/>
      </c>
      <c r="Z365" s="35">
        <f>X365+Y365</f>
        <v/>
      </c>
      <c r="AA365" s="35">
        <f>IF((Z365/AI365&gt;'Parámetros Proyección'!$G$14),0,D365*'Parámetros Proyección'!$G$14/(IF((H365/AI365&gt;'Parámetros Proyección'!$G$11),0,'Parámetros Proyección'!$G$11)+IF((N365/AI365&gt;'Parámetros Proyección'!$G$12),0,'Parámetros Proyección'!$G$12)+IF((T365/AI365&gt;'Parámetros Proyección'!$G$13),0,'Parámetros Proyección'!$G$13)+IF((Z365/AI365&gt;'Parámetros Proyección'!$G$14),0,'Parámetros Proyección'!$G$14)+IF((AF365/AI365&gt;'Parámetros Proyección'!$G$15),0,'Parámetros Proyección'!$G$15)))</f>
        <v/>
      </c>
      <c r="AB365" s="35">
        <f>Z365+AA365</f>
        <v/>
      </c>
      <c r="AC365" s="35">
        <f>AH364</f>
        <v/>
      </c>
      <c r="AD365" s="35">
        <f>AC365*(1+'Parámetros Proyección'!$E$15)</f>
        <v/>
      </c>
      <c r="AE365" s="35">
        <f>AD365*'Parámetros Proyección'!$F$15</f>
        <v/>
      </c>
      <c r="AF365" s="35">
        <f>AD365+AE365</f>
        <v/>
      </c>
      <c r="AG365" s="35">
        <f>IF((AF365/AI365&gt;'Parámetros Proyección'!$G$15),0,D365*'Parámetros Proyección'!$G$15/(IF((H365/AI365&gt;'Parámetros Proyección'!$G$11),0,'Parámetros Proyección'!$G$11)+IF((N365/AI365&gt;'Parámetros Proyección'!$G$12),0,'Parámetros Proyección'!$G$12)+IF((T365/AI365&gt;'Parámetros Proyección'!$G$13),0,'Parámetros Proyección'!$G$13)+IF((Z365/AI365&gt;'Parámetros Proyección'!$G$14),0,'Parámetros Proyección'!$G$14)+IF((AF365/AI365&gt;'Parámetros Proyección'!$G$15),0,'Parámetros Proyección'!$G$15)))</f>
        <v/>
      </c>
      <c r="AH365" s="35">
        <f>AF365+AG365</f>
        <v/>
      </c>
      <c r="AI365" s="35">
        <f>H365+N365+T365+Z365+AF365</f>
        <v/>
      </c>
      <c r="AJ365" s="33">
        <f>AF365/AI365</f>
        <v/>
      </c>
      <c r="AK365">
        <f>IF(AJ365&gt;'Parámetros Proyección'!$B$5,1,0)</f>
        <v/>
      </c>
      <c r="AL365" s="35">
        <f>G365+M365+S365+Y365+AE365</f>
        <v/>
      </c>
      <c r="AM365" s="35">
        <f>AM364+D365</f>
        <v/>
      </c>
      <c r="AN365" s="35">
        <f>AN364+AL365</f>
        <v/>
      </c>
      <c r="AO365" s="35">
        <f>J365+P365+V365+AB365+AH365</f>
        <v/>
      </c>
    </row>
    <row r="366">
      <c r="A366" t="n">
        <v>363</v>
      </c>
      <c r="B366" s="34">
        <f>EDATE(B365,1)</f>
        <v/>
      </c>
      <c r="C366">
        <f>YEAR(B366)</f>
        <v/>
      </c>
      <c r="D366" s="35">
        <f>'Parámetros Proyección'!$B$3*(1+'Parámetros Proyección'!$B$4)^(C366-YEAR('Parámetros Proyección'!$B$6))</f>
        <v/>
      </c>
      <c r="E366" s="35">
        <f>J365</f>
        <v/>
      </c>
      <c r="F366" s="35">
        <f>E366*(1+'Parámetros Proyección'!$E$11)</f>
        <v/>
      </c>
      <c r="G366" s="35">
        <f>F366*'Parámetros Proyección'!$F$11</f>
        <v/>
      </c>
      <c r="H366" s="35">
        <f>F366+G366</f>
        <v/>
      </c>
      <c r="I366" s="35">
        <f>IF((H366/AI366&gt;'Parámetros Proyección'!$G$11),0,D366*'Parámetros Proyección'!$G$11/(IF((H366/AI366&gt;'Parámetros Proyección'!$G$11),0,'Parámetros Proyección'!$G$11)+IF((N366/AI366&gt;'Parámetros Proyección'!$G$12),0,'Parámetros Proyección'!$G$12)+IF((T366/AI366&gt;'Parámetros Proyección'!$G$13),0,'Parámetros Proyección'!$G$13)+IF((Z366/AI366&gt;'Parámetros Proyección'!$G$14),0,'Parámetros Proyección'!$G$14)+IF((AF366/AI366&gt;'Parámetros Proyección'!$G$15),0,'Parámetros Proyección'!$G$15)))</f>
        <v/>
      </c>
      <c r="J366" s="35">
        <f>H366+I366</f>
        <v/>
      </c>
      <c r="K366" s="35">
        <f>P365</f>
        <v/>
      </c>
      <c r="L366" s="35">
        <f>K366*(1+'Parámetros Proyección'!$E$12)</f>
        <v/>
      </c>
      <c r="M366" s="35">
        <f>L366*'Parámetros Proyección'!$F$12</f>
        <v/>
      </c>
      <c r="N366" s="35">
        <f>L366+M366</f>
        <v/>
      </c>
      <c r="O366" s="35">
        <f>IF((N366/AI366&gt;'Parámetros Proyección'!$G$12),0,D366*'Parámetros Proyección'!$G$12/(IF((H366/AI366&gt;'Parámetros Proyección'!$G$11),0,'Parámetros Proyección'!$G$11)+IF((N366/AI366&gt;'Parámetros Proyección'!$G$12),0,'Parámetros Proyección'!$G$12)+IF((T366/AI366&gt;'Parámetros Proyección'!$G$13),0,'Parámetros Proyección'!$G$13)+IF((Z366/AI366&gt;'Parámetros Proyección'!$G$14),0,'Parámetros Proyección'!$G$14)+IF((AF366/AI366&gt;'Parámetros Proyección'!$G$15),0,'Parámetros Proyección'!$G$15)))</f>
        <v/>
      </c>
      <c r="P366" s="35">
        <f>N366+O366</f>
        <v/>
      </c>
      <c r="Q366" s="35">
        <f>V365</f>
        <v/>
      </c>
      <c r="R366" s="35">
        <f>Q366*(1+'Parámetros Proyección'!$E$13)</f>
        <v/>
      </c>
      <c r="S366" s="35">
        <f>R366*'Parámetros Proyección'!$F$13</f>
        <v/>
      </c>
      <c r="T366" s="35">
        <f>R366+S366</f>
        <v/>
      </c>
      <c r="U366" s="35">
        <f>IF((T366/AI366&gt;'Parámetros Proyección'!$G$13),0,D366*'Parámetros Proyección'!$G$13/(IF((H366/AI366&gt;'Parámetros Proyección'!$G$11),0,'Parámetros Proyección'!$G$11)+IF((N366/AI366&gt;'Parámetros Proyección'!$G$12),0,'Parámetros Proyección'!$G$12)+IF((T366/AI366&gt;'Parámetros Proyección'!$G$13),0,'Parámetros Proyección'!$G$13)+IF((Z366/AI366&gt;'Parámetros Proyección'!$G$14),0,'Parámetros Proyección'!$G$14)+IF((AF366/AI366&gt;'Parámetros Proyección'!$G$15),0,'Parámetros Proyección'!$G$15)))</f>
        <v/>
      </c>
      <c r="V366" s="35">
        <f>T366+U366</f>
        <v/>
      </c>
      <c r="W366" s="35">
        <f>AB365</f>
        <v/>
      </c>
      <c r="X366" s="35">
        <f>W366*(1+'Parámetros Proyección'!$E$14)</f>
        <v/>
      </c>
      <c r="Y366" s="35">
        <f>X366*'Parámetros Proyección'!$F$14</f>
        <v/>
      </c>
      <c r="Z366" s="35">
        <f>X366+Y366</f>
        <v/>
      </c>
      <c r="AA366" s="35">
        <f>IF((Z366/AI366&gt;'Parámetros Proyección'!$G$14),0,D366*'Parámetros Proyección'!$G$14/(IF((H366/AI366&gt;'Parámetros Proyección'!$G$11),0,'Parámetros Proyección'!$G$11)+IF((N366/AI366&gt;'Parámetros Proyección'!$G$12),0,'Parámetros Proyección'!$G$12)+IF((T366/AI366&gt;'Parámetros Proyección'!$G$13),0,'Parámetros Proyección'!$G$13)+IF((Z366/AI366&gt;'Parámetros Proyección'!$G$14),0,'Parámetros Proyección'!$G$14)+IF((AF366/AI366&gt;'Parámetros Proyección'!$G$15),0,'Parámetros Proyección'!$G$15)))</f>
        <v/>
      </c>
      <c r="AB366" s="35">
        <f>Z366+AA366</f>
        <v/>
      </c>
      <c r="AC366" s="35">
        <f>AH365</f>
        <v/>
      </c>
      <c r="AD366" s="35">
        <f>AC366*(1+'Parámetros Proyección'!$E$15)</f>
        <v/>
      </c>
      <c r="AE366" s="35">
        <f>AD366*'Parámetros Proyección'!$F$15</f>
        <v/>
      </c>
      <c r="AF366" s="35">
        <f>AD366+AE366</f>
        <v/>
      </c>
      <c r="AG366" s="35">
        <f>IF((AF366/AI366&gt;'Parámetros Proyección'!$G$15),0,D366*'Parámetros Proyección'!$G$15/(IF((H366/AI366&gt;'Parámetros Proyección'!$G$11),0,'Parámetros Proyección'!$G$11)+IF((N366/AI366&gt;'Parámetros Proyección'!$G$12),0,'Parámetros Proyección'!$G$12)+IF((T366/AI366&gt;'Parámetros Proyección'!$G$13),0,'Parámetros Proyección'!$G$13)+IF((Z366/AI366&gt;'Parámetros Proyección'!$G$14),0,'Parámetros Proyección'!$G$14)+IF((AF366/AI366&gt;'Parámetros Proyección'!$G$15),0,'Parámetros Proyección'!$G$15)))</f>
        <v/>
      </c>
      <c r="AH366" s="35">
        <f>AF366+AG366</f>
        <v/>
      </c>
      <c r="AI366" s="35">
        <f>H366+N366+T366+Z366+AF366</f>
        <v/>
      </c>
      <c r="AJ366" s="33">
        <f>AF366/AI366</f>
        <v/>
      </c>
      <c r="AK366">
        <f>IF(AJ366&gt;'Parámetros Proyección'!$B$5,1,0)</f>
        <v/>
      </c>
      <c r="AL366" s="35">
        <f>G366+M366+S366+Y366+AE366</f>
        <v/>
      </c>
      <c r="AM366" s="35">
        <f>AM365+D366</f>
        <v/>
      </c>
      <c r="AN366" s="35">
        <f>AN365+AL366</f>
        <v/>
      </c>
      <c r="AO366" s="35">
        <f>J366+P366+V366+AB366+AH366</f>
        <v/>
      </c>
    </row>
    <row r="367">
      <c r="A367" t="n">
        <v>364</v>
      </c>
      <c r="B367" s="34">
        <f>EDATE(B366,1)</f>
        <v/>
      </c>
      <c r="C367">
        <f>YEAR(B367)</f>
        <v/>
      </c>
      <c r="D367" s="35">
        <f>'Parámetros Proyección'!$B$3*(1+'Parámetros Proyección'!$B$4)^(C367-YEAR('Parámetros Proyección'!$B$6))</f>
        <v/>
      </c>
      <c r="E367" s="35">
        <f>J366</f>
        <v/>
      </c>
      <c r="F367" s="35">
        <f>E367*(1+'Parámetros Proyección'!$E$11)</f>
        <v/>
      </c>
      <c r="G367" s="35">
        <f>F367*'Parámetros Proyección'!$F$11</f>
        <v/>
      </c>
      <c r="H367" s="35">
        <f>F367+G367</f>
        <v/>
      </c>
      <c r="I367" s="35">
        <f>IF((H367/AI367&gt;'Parámetros Proyección'!$G$11),0,D367*'Parámetros Proyección'!$G$11/(IF((H367/AI367&gt;'Parámetros Proyección'!$G$11),0,'Parámetros Proyección'!$G$11)+IF((N367/AI367&gt;'Parámetros Proyección'!$G$12),0,'Parámetros Proyección'!$G$12)+IF((T367/AI367&gt;'Parámetros Proyección'!$G$13),0,'Parámetros Proyección'!$G$13)+IF((Z367/AI367&gt;'Parámetros Proyección'!$G$14),0,'Parámetros Proyección'!$G$14)+IF((AF367/AI367&gt;'Parámetros Proyección'!$G$15),0,'Parámetros Proyección'!$G$15)))</f>
        <v/>
      </c>
      <c r="J367" s="35">
        <f>H367+I367</f>
        <v/>
      </c>
      <c r="K367" s="35">
        <f>P366</f>
        <v/>
      </c>
      <c r="L367" s="35">
        <f>K367*(1+'Parámetros Proyección'!$E$12)</f>
        <v/>
      </c>
      <c r="M367" s="35">
        <f>L367*'Parámetros Proyección'!$F$12</f>
        <v/>
      </c>
      <c r="N367" s="35">
        <f>L367+M367</f>
        <v/>
      </c>
      <c r="O367" s="35">
        <f>IF((N367/AI367&gt;'Parámetros Proyección'!$G$12),0,D367*'Parámetros Proyección'!$G$12/(IF((H367/AI367&gt;'Parámetros Proyección'!$G$11),0,'Parámetros Proyección'!$G$11)+IF((N367/AI367&gt;'Parámetros Proyección'!$G$12),0,'Parámetros Proyección'!$G$12)+IF((T367/AI367&gt;'Parámetros Proyección'!$G$13),0,'Parámetros Proyección'!$G$13)+IF((Z367/AI367&gt;'Parámetros Proyección'!$G$14),0,'Parámetros Proyección'!$G$14)+IF((AF367/AI367&gt;'Parámetros Proyección'!$G$15),0,'Parámetros Proyección'!$G$15)))</f>
        <v/>
      </c>
      <c r="P367" s="35">
        <f>N367+O367</f>
        <v/>
      </c>
      <c r="Q367" s="35">
        <f>V366</f>
        <v/>
      </c>
      <c r="R367" s="35">
        <f>Q367*(1+'Parámetros Proyección'!$E$13)</f>
        <v/>
      </c>
      <c r="S367" s="35">
        <f>R367*'Parámetros Proyección'!$F$13</f>
        <v/>
      </c>
      <c r="T367" s="35">
        <f>R367+S367</f>
        <v/>
      </c>
      <c r="U367" s="35">
        <f>IF((T367/AI367&gt;'Parámetros Proyección'!$G$13),0,D367*'Parámetros Proyección'!$G$13/(IF((H367/AI367&gt;'Parámetros Proyección'!$G$11),0,'Parámetros Proyección'!$G$11)+IF((N367/AI367&gt;'Parámetros Proyección'!$G$12),0,'Parámetros Proyección'!$G$12)+IF((T367/AI367&gt;'Parámetros Proyección'!$G$13),0,'Parámetros Proyección'!$G$13)+IF((Z367/AI367&gt;'Parámetros Proyección'!$G$14),0,'Parámetros Proyección'!$G$14)+IF((AF367/AI367&gt;'Parámetros Proyección'!$G$15),0,'Parámetros Proyección'!$G$15)))</f>
        <v/>
      </c>
      <c r="V367" s="35">
        <f>T367+U367</f>
        <v/>
      </c>
      <c r="W367" s="35">
        <f>AB366</f>
        <v/>
      </c>
      <c r="X367" s="35">
        <f>W367*(1+'Parámetros Proyección'!$E$14)</f>
        <v/>
      </c>
      <c r="Y367" s="35">
        <f>X367*'Parámetros Proyección'!$F$14</f>
        <v/>
      </c>
      <c r="Z367" s="35">
        <f>X367+Y367</f>
        <v/>
      </c>
      <c r="AA367" s="35">
        <f>IF((Z367/AI367&gt;'Parámetros Proyección'!$G$14),0,D367*'Parámetros Proyección'!$G$14/(IF((H367/AI367&gt;'Parámetros Proyección'!$G$11),0,'Parámetros Proyección'!$G$11)+IF((N367/AI367&gt;'Parámetros Proyección'!$G$12),0,'Parámetros Proyección'!$G$12)+IF((T367/AI367&gt;'Parámetros Proyección'!$G$13),0,'Parámetros Proyección'!$G$13)+IF((Z367/AI367&gt;'Parámetros Proyección'!$G$14),0,'Parámetros Proyección'!$G$14)+IF((AF367/AI367&gt;'Parámetros Proyección'!$G$15),0,'Parámetros Proyección'!$G$15)))</f>
        <v/>
      </c>
      <c r="AB367" s="35">
        <f>Z367+AA367</f>
        <v/>
      </c>
      <c r="AC367" s="35">
        <f>AH366</f>
        <v/>
      </c>
      <c r="AD367" s="35">
        <f>AC367*(1+'Parámetros Proyección'!$E$15)</f>
        <v/>
      </c>
      <c r="AE367" s="35">
        <f>AD367*'Parámetros Proyección'!$F$15</f>
        <v/>
      </c>
      <c r="AF367" s="35">
        <f>AD367+AE367</f>
        <v/>
      </c>
      <c r="AG367" s="35">
        <f>IF((AF367/AI367&gt;'Parámetros Proyección'!$G$15),0,D367*'Parámetros Proyección'!$G$15/(IF((H367/AI367&gt;'Parámetros Proyección'!$G$11),0,'Parámetros Proyección'!$G$11)+IF((N367/AI367&gt;'Parámetros Proyección'!$G$12),0,'Parámetros Proyección'!$G$12)+IF((T367/AI367&gt;'Parámetros Proyección'!$G$13),0,'Parámetros Proyección'!$G$13)+IF((Z367/AI367&gt;'Parámetros Proyección'!$G$14),0,'Parámetros Proyección'!$G$14)+IF((AF367/AI367&gt;'Parámetros Proyección'!$G$15),0,'Parámetros Proyección'!$G$15)))</f>
        <v/>
      </c>
      <c r="AH367" s="35">
        <f>AF367+AG367</f>
        <v/>
      </c>
      <c r="AI367" s="35">
        <f>H367+N367+T367+Z367+AF367</f>
        <v/>
      </c>
      <c r="AJ367" s="33">
        <f>AF367/AI367</f>
        <v/>
      </c>
      <c r="AK367">
        <f>IF(AJ367&gt;'Parámetros Proyección'!$B$5,1,0)</f>
        <v/>
      </c>
      <c r="AL367" s="35">
        <f>G367+M367+S367+Y367+AE367</f>
        <v/>
      </c>
      <c r="AM367" s="35">
        <f>AM366+D367</f>
        <v/>
      </c>
      <c r="AN367" s="35">
        <f>AN366+AL367</f>
        <v/>
      </c>
      <c r="AO367" s="35">
        <f>J367+P367+V367+AB367+AH367</f>
        <v/>
      </c>
    </row>
    <row r="368">
      <c r="A368" t="n">
        <v>365</v>
      </c>
      <c r="B368" s="34">
        <f>EDATE(B367,1)</f>
        <v/>
      </c>
      <c r="C368">
        <f>YEAR(B368)</f>
        <v/>
      </c>
      <c r="D368" s="35">
        <f>'Parámetros Proyección'!$B$3*(1+'Parámetros Proyección'!$B$4)^(C368-YEAR('Parámetros Proyección'!$B$6))</f>
        <v/>
      </c>
      <c r="E368" s="35">
        <f>J367</f>
        <v/>
      </c>
      <c r="F368" s="35">
        <f>E368*(1+'Parámetros Proyección'!$E$11)</f>
        <v/>
      </c>
      <c r="G368" s="35">
        <f>F368*'Parámetros Proyección'!$F$11</f>
        <v/>
      </c>
      <c r="H368" s="35">
        <f>F368+G368</f>
        <v/>
      </c>
      <c r="I368" s="35">
        <f>IF((H368/AI368&gt;'Parámetros Proyección'!$G$11),0,D368*'Parámetros Proyección'!$G$11/(IF((H368/AI368&gt;'Parámetros Proyección'!$G$11),0,'Parámetros Proyección'!$G$11)+IF((N368/AI368&gt;'Parámetros Proyección'!$G$12),0,'Parámetros Proyección'!$G$12)+IF((T368/AI368&gt;'Parámetros Proyección'!$G$13),0,'Parámetros Proyección'!$G$13)+IF((Z368/AI368&gt;'Parámetros Proyección'!$G$14),0,'Parámetros Proyección'!$G$14)+IF((AF368/AI368&gt;'Parámetros Proyección'!$G$15),0,'Parámetros Proyección'!$G$15)))</f>
        <v/>
      </c>
      <c r="J368" s="35">
        <f>H368+I368</f>
        <v/>
      </c>
      <c r="K368" s="35">
        <f>P367</f>
        <v/>
      </c>
      <c r="L368" s="35">
        <f>K368*(1+'Parámetros Proyección'!$E$12)</f>
        <v/>
      </c>
      <c r="M368" s="35">
        <f>L368*'Parámetros Proyección'!$F$12</f>
        <v/>
      </c>
      <c r="N368" s="35">
        <f>L368+M368</f>
        <v/>
      </c>
      <c r="O368" s="35">
        <f>IF((N368/AI368&gt;'Parámetros Proyección'!$G$12),0,D368*'Parámetros Proyección'!$G$12/(IF((H368/AI368&gt;'Parámetros Proyección'!$G$11),0,'Parámetros Proyección'!$G$11)+IF((N368/AI368&gt;'Parámetros Proyección'!$G$12),0,'Parámetros Proyección'!$G$12)+IF((T368/AI368&gt;'Parámetros Proyección'!$G$13),0,'Parámetros Proyección'!$G$13)+IF((Z368/AI368&gt;'Parámetros Proyección'!$G$14),0,'Parámetros Proyección'!$G$14)+IF((AF368/AI368&gt;'Parámetros Proyección'!$G$15),0,'Parámetros Proyección'!$G$15)))</f>
        <v/>
      </c>
      <c r="P368" s="35">
        <f>N368+O368</f>
        <v/>
      </c>
      <c r="Q368" s="35">
        <f>V367</f>
        <v/>
      </c>
      <c r="R368" s="35">
        <f>Q368*(1+'Parámetros Proyección'!$E$13)</f>
        <v/>
      </c>
      <c r="S368" s="35">
        <f>R368*'Parámetros Proyección'!$F$13</f>
        <v/>
      </c>
      <c r="T368" s="35">
        <f>R368+S368</f>
        <v/>
      </c>
      <c r="U368" s="35">
        <f>IF((T368/AI368&gt;'Parámetros Proyección'!$G$13),0,D368*'Parámetros Proyección'!$G$13/(IF((H368/AI368&gt;'Parámetros Proyección'!$G$11),0,'Parámetros Proyección'!$G$11)+IF((N368/AI368&gt;'Parámetros Proyección'!$G$12),0,'Parámetros Proyección'!$G$12)+IF((T368/AI368&gt;'Parámetros Proyección'!$G$13),0,'Parámetros Proyección'!$G$13)+IF((Z368/AI368&gt;'Parámetros Proyección'!$G$14),0,'Parámetros Proyección'!$G$14)+IF((AF368/AI368&gt;'Parámetros Proyección'!$G$15),0,'Parámetros Proyección'!$G$15)))</f>
        <v/>
      </c>
      <c r="V368" s="35">
        <f>T368+U368</f>
        <v/>
      </c>
      <c r="W368" s="35">
        <f>AB367</f>
        <v/>
      </c>
      <c r="X368" s="35">
        <f>W368*(1+'Parámetros Proyección'!$E$14)</f>
        <v/>
      </c>
      <c r="Y368" s="35">
        <f>X368*'Parámetros Proyección'!$F$14</f>
        <v/>
      </c>
      <c r="Z368" s="35">
        <f>X368+Y368</f>
        <v/>
      </c>
      <c r="AA368" s="35">
        <f>IF((Z368/AI368&gt;'Parámetros Proyección'!$G$14),0,D368*'Parámetros Proyección'!$G$14/(IF((H368/AI368&gt;'Parámetros Proyección'!$G$11),0,'Parámetros Proyección'!$G$11)+IF((N368/AI368&gt;'Parámetros Proyección'!$G$12),0,'Parámetros Proyección'!$G$12)+IF((T368/AI368&gt;'Parámetros Proyección'!$G$13),0,'Parámetros Proyección'!$G$13)+IF((Z368/AI368&gt;'Parámetros Proyección'!$G$14),0,'Parámetros Proyección'!$G$14)+IF((AF368/AI368&gt;'Parámetros Proyección'!$G$15),0,'Parámetros Proyección'!$G$15)))</f>
        <v/>
      </c>
      <c r="AB368" s="35">
        <f>Z368+AA368</f>
        <v/>
      </c>
      <c r="AC368" s="35">
        <f>AH367</f>
        <v/>
      </c>
      <c r="AD368" s="35">
        <f>AC368*(1+'Parámetros Proyección'!$E$15)</f>
        <v/>
      </c>
      <c r="AE368" s="35">
        <f>AD368*'Parámetros Proyección'!$F$15</f>
        <v/>
      </c>
      <c r="AF368" s="35">
        <f>AD368+AE368</f>
        <v/>
      </c>
      <c r="AG368" s="35">
        <f>IF((AF368/AI368&gt;'Parámetros Proyección'!$G$15),0,D368*'Parámetros Proyección'!$G$15/(IF((H368/AI368&gt;'Parámetros Proyección'!$G$11),0,'Parámetros Proyección'!$G$11)+IF((N368/AI368&gt;'Parámetros Proyección'!$G$12),0,'Parámetros Proyección'!$G$12)+IF((T368/AI368&gt;'Parámetros Proyección'!$G$13),0,'Parámetros Proyección'!$G$13)+IF((Z368/AI368&gt;'Parámetros Proyección'!$G$14),0,'Parámetros Proyección'!$G$14)+IF((AF368/AI368&gt;'Parámetros Proyección'!$G$15),0,'Parámetros Proyección'!$G$15)))</f>
        <v/>
      </c>
      <c r="AH368" s="35">
        <f>AF368+AG368</f>
        <v/>
      </c>
      <c r="AI368" s="35">
        <f>H368+N368+T368+Z368+AF368</f>
        <v/>
      </c>
      <c r="AJ368" s="33">
        <f>AF368/AI368</f>
        <v/>
      </c>
      <c r="AK368">
        <f>IF(AJ368&gt;'Parámetros Proyección'!$B$5,1,0)</f>
        <v/>
      </c>
      <c r="AL368" s="35">
        <f>G368+M368+S368+Y368+AE368</f>
        <v/>
      </c>
      <c r="AM368" s="35">
        <f>AM367+D368</f>
        <v/>
      </c>
      <c r="AN368" s="35">
        <f>AN367+AL368</f>
        <v/>
      </c>
      <c r="AO368" s="35">
        <f>J368+P368+V368+AB368+AH368</f>
        <v/>
      </c>
    </row>
    <row r="369">
      <c r="A369" t="n">
        <v>366</v>
      </c>
      <c r="B369" s="34">
        <f>EDATE(B368,1)</f>
        <v/>
      </c>
      <c r="C369">
        <f>YEAR(B369)</f>
        <v/>
      </c>
      <c r="D369" s="35">
        <f>'Parámetros Proyección'!$B$3*(1+'Parámetros Proyección'!$B$4)^(C369-YEAR('Parámetros Proyección'!$B$6))</f>
        <v/>
      </c>
      <c r="E369" s="35">
        <f>J368</f>
        <v/>
      </c>
      <c r="F369" s="35">
        <f>E369*(1+'Parámetros Proyección'!$E$11)</f>
        <v/>
      </c>
      <c r="G369" s="35">
        <f>F369*'Parámetros Proyección'!$F$11</f>
        <v/>
      </c>
      <c r="H369" s="35">
        <f>F369+G369</f>
        <v/>
      </c>
      <c r="I369" s="35">
        <f>IF((H369/AI369&gt;'Parámetros Proyección'!$G$11),0,D369*'Parámetros Proyección'!$G$11/(IF((H369/AI369&gt;'Parámetros Proyección'!$G$11),0,'Parámetros Proyección'!$G$11)+IF((N369/AI369&gt;'Parámetros Proyección'!$G$12),0,'Parámetros Proyección'!$G$12)+IF((T369/AI369&gt;'Parámetros Proyección'!$G$13),0,'Parámetros Proyección'!$G$13)+IF((Z369/AI369&gt;'Parámetros Proyección'!$G$14),0,'Parámetros Proyección'!$G$14)+IF((AF369/AI369&gt;'Parámetros Proyección'!$G$15),0,'Parámetros Proyección'!$G$15)))</f>
        <v/>
      </c>
      <c r="J369" s="35">
        <f>H369+I369</f>
        <v/>
      </c>
      <c r="K369" s="35">
        <f>P368</f>
        <v/>
      </c>
      <c r="L369" s="35">
        <f>K369*(1+'Parámetros Proyección'!$E$12)</f>
        <v/>
      </c>
      <c r="M369" s="35">
        <f>L369*'Parámetros Proyección'!$F$12</f>
        <v/>
      </c>
      <c r="N369" s="35">
        <f>L369+M369</f>
        <v/>
      </c>
      <c r="O369" s="35">
        <f>IF((N369/AI369&gt;'Parámetros Proyección'!$G$12),0,D369*'Parámetros Proyección'!$G$12/(IF((H369/AI369&gt;'Parámetros Proyección'!$G$11),0,'Parámetros Proyección'!$G$11)+IF((N369/AI369&gt;'Parámetros Proyección'!$G$12),0,'Parámetros Proyección'!$G$12)+IF((T369/AI369&gt;'Parámetros Proyección'!$G$13),0,'Parámetros Proyección'!$G$13)+IF((Z369/AI369&gt;'Parámetros Proyección'!$G$14),0,'Parámetros Proyección'!$G$14)+IF((AF369/AI369&gt;'Parámetros Proyección'!$G$15),0,'Parámetros Proyección'!$G$15)))</f>
        <v/>
      </c>
      <c r="P369" s="35">
        <f>N369+O369</f>
        <v/>
      </c>
      <c r="Q369" s="35">
        <f>V368</f>
        <v/>
      </c>
      <c r="R369" s="35">
        <f>Q369*(1+'Parámetros Proyección'!$E$13)</f>
        <v/>
      </c>
      <c r="S369" s="35">
        <f>R369*'Parámetros Proyección'!$F$13</f>
        <v/>
      </c>
      <c r="T369" s="35">
        <f>R369+S369</f>
        <v/>
      </c>
      <c r="U369" s="35">
        <f>IF((T369/AI369&gt;'Parámetros Proyección'!$G$13),0,D369*'Parámetros Proyección'!$G$13/(IF((H369/AI369&gt;'Parámetros Proyección'!$G$11),0,'Parámetros Proyección'!$G$11)+IF((N369/AI369&gt;'Parámetros Proyección'!$G$12),0,'Parámetros Proyección'!$G$12)+IF((T369/AI369&gt;'Parámetros Proyección'!$G$13),0,'Parámetros Proyección'!$G$13)+IF((Z369/AI369&gt;'Parámetros Proyección'!$G$14),0,'Parámetros Proyección'!$G$14)+IF((AF369/AI369&gt;'Parámetros Proyección'!$G$15),0,'Parámetros Proyección'!$G$15)))</f>
        <v/>
      </c>
      <c r="V369" s="35">
        <f>T369+U369</f>
        <v/>
      </c>
      <c r="W369" s="35">
        <f>AB368</f>
        <v/>
      </c>
      <c r="X369" s="35">
        <f>W369*(1+'Parámetros Proyección'!$E$14)</f>
        <v/>
      </c>
      <c r="Y369" s="35">
        <f>X369*'Parámetros Proyección'!$F$14</f>
        <v/>
      </c>
      <c r="Z369" s="35">
        <f>X369+Y369</f>
        <v/>
      </c>
      <c r="AA369" s="35">
        <f>IF((Z369/AI369&gt;'Parámetros Proyección'!$G$14),0,D369*'Parámetros Proyección'!$G$14/(IF((H369/AI369&gt;'Parámetros Proyección'!$G$11),0,'Parámetros Proyección'!$G$11)+IF((N369/AI369&gt;'Parámetros Proyección'!$G$12),0,'Parámetros Proyección'!$G$12)+IF((T369/AI369&gt;'Parámetros Proyección'!$G$13),0,'Parámetros Proyección'!$G$13)+IF((Z369/AI369&gt;'Parámetros Proyección'!$G$14),0,'Parámetros Proyección'!$G$14)+IF((AF369/AI369&gt;'Parámetros Proyección'!$G$15),0,'Parámetros Proyección'!$G$15)))</f>
        <v/>
      </c>
      <c r="AB369" s="35">
        <f>Z369+AA369</f>
        <v/>
      </c>
      <c r="AC369" s="35">
        <f>AH368</f>
        <v/>
      </c>
      <c r="AD369" s="35">
        <f>AC369*(1+'Parámetros Proyección'!$E$15)</f>
        <v/>
      </c>
      <c r="AE369" s="35">
        <f>AD369*'Parámetros Proyección'!$F$15</f>
        <v/>
      </c>
      <c r="AF369" s="35">
        <f>AD369+AE369</f>
        <v/>
      </c>
      <c r="AG369" s="35">
        <f>IF((AF369/AI369&gt;'Parámetros Proyección'!$G$15),0,D369*'Parámetros Proyección'!$G$15/(IF((H369/AI369&gt;'Parámetros Proyección'!$G$11),0,'Parámetros Proyección'!$G$11)+IF((N369/AI369&gt;'Parámetros Proyección'!$G$12),0,'Parámetros Proyección'!$G$12)+IF((T369/AI369&gt;'Parámetros Proyección'!$G$13),0,'Parámetros Proyección'!$G$13)+IF((Z369/AI369&gt;'Parámetros Proyección'!$G$14),0,'Parámetros Proyección'!$G$14)+IF((AF369/AI369&gt;'Parámetros Proyección'!$G$15),0,'Parámetros Proyección'!$G$15)))</f>
        <v/>
      </c>
      <c r="AH369" s="35">
        <f>AF369+AG369</f>
        <v/>
      </c>
      <c r="AI369" s="35">
        <f>H369+N369+T369+Z369+AF369</f>
        <v/>
      </c>
      <c r="AJ369" s="33">
        <f>AF369/AI369</f>
        <v/>
      </c>
      <c r="AK369">
        <f>IF(AJ369&gt;'Parámetros Proyección'!$B$5,1,0)</f>
        <v/>
      </c>
      <c r="AL369" s="35">
        <f>G369+M369+S369+Y369+AE369</f>
        <v/>
      </c>
      <c r="AM369" s="35">
        <f>AM368+D369</f>
        <v/>
      </c>
      <c r="AN369" s="35">
        <f>AN368+AL369</f>
        <v/>
      </c>
      <c r="AO369" s="35">
        <f>J369+P369+V369+AB369+AH369</f>
        <v/>
      </c>
    </row>
    <row r="370">
      <c r="A370" t="n">
        <v>367</v>
      </c>
      <c r="B370" s="34">
        <f>EDATE(B369,1)</f>
        <v/>
      </c>
      <c r="C370">
        <f>YEAR(B370)</f>
        <v/>
      </c>
      <c r="D370" s="35">
        <f>'Parámetros Proyección'!$B$3*(1+'Parámetros Proyección'!$B$4)^(C370-YEAR('Parámetros Proyección'!$B$6))</f>
        <v/>
      </c>
      <c r="E370" s="35">
        <f>J369</f>
        <v/>
      </c>
      <c r="F370" s="35">
        <f>E370*(1+'Parámetros Proyección'!$E$11)</f>
        <v/>
      </c>
      <c r="G370" s="35">
        <f>F370*'Parámetros Proyección'!$F$11</f>
        <v/>
      </c>
      <c r="H370" s="35">
        <f>F370+G370</f>
        <v/>
      </c>
      <c r="I370" s="35">
        <f>IF((H370/AI370&gt;'Parámetros Proyección'!$G$11),0,D370*'Parámetros Proyección'!$G$11/(IF((H370/AI370&gt;'Parámetros Proyección'!$G$11),0,'Parámetros Proyección'!$G$11)+IF((N370/AI370&gt;'Parámetros Proyección'!$G$12),0,'Parámetros Proyección'!$G$12)+IF((T370/AI370&gt;'Parámetros Proyección'!$G$13),0,'Parámetros Proyección'!$G$13)+IF((Z370/AI370&gt;'Parámetros Proyección'!$G$14),0,'Parámetros Proyección'!$G$14)+IF((AF370/AI370&gt;'Parámetros Proyección'!$G$15),0,'Parámetros Proyección'!$G$15)))</f>
        <v/>
      </c>
      <c r="J370" s="35">
        <f>H370+I370</f>
        <v/>
      </c>
      <c r="K370" s="35">
        <f>P369</f>
        <v/>
      </c>
      <c r="L370" s="35">
        <f>K370*(1+'Parámetros Proyección'!$E$12)</f>
        <v/>
      </c>
      <c r="M370" s="35">
        <f>L370*'Parámetros Proyección'!$F$12</f>
        <v/>
      </c>
      <c r="N370" s="35">
        <f>L370+M370</f>
        <v/>
      </c>
      <c r="O370" s="35">
        <f>IF((N370/AI370&gt;'Parámetros Proyección'!$G$12),0,D370*'Parámetros Proyección'!$G$12/(IF((H370/AI370&gt;'Parámetros Proyección'!$G$11),0,'Parámetros Proyección'!$G$11)+IF((N370/AI370&gt;'Parámetros Proyección'!$G$12),0,'Parámetros Proyección'!$G$12)+IF((T370/AI370&gt;'Parámetros Proyección'!$G$13),0,'Parámetros Proyección'!$G$13)+IF((Z370/AI370&gt;'Parámetros Proyección'!$G$14),0,'Parámetros Proyección'!$G$14)+IF((AF370/AI370&gt;'Parámetros Proyección'!$G$15),0,'Parámetros Proyección'!$G$15)))</f>
        <v/>
      </c>
      <c r="P370" s="35">
        <f>N370+O370</f>
        <v/>
      </c>
      <c r="Q370" s="35">
        <f>V369</f>
        <v/>
      </c>
      <c r="R370" s="35">
        <f>Q370*(1+'Parámetros Proyección'!$E$13)</f>
        <v/>
      </c>
      <c r="S370" s="35">
        <f>R370*'Parámetros Proyección'!$F$13</f>
        <v/>
      </c>
      <c r="T370" s="35">
        <f>R370+S370</f>
        <v/>
      </c>
      <c r="U370" s="35">
        <f>IF((T370/AI370&gt;'Parámetros Proyección'!$G$13),0,D370*'Parámetros Proyección'!$G$13/(IF((H370/AI370&gt;'Parámetros Proyección'!$G$11),0,'Parámetros Proyección'!$G$11)+IF((N370/AI370&gt;'Parámetros Proyección'!$G$12),0,'Parámetros Proyección'!$G$12)+IF((T370/AI370&gt;'Parámetros Proyección'!$G$13),0,'Parámetros Proyección'!$G$13)+IF((Z370/AI370&gt;'Parámetros Proyección'!$G$14),0,'Parámetros Proyección'!$G$14)+IF((AF370/AI370&gt;'Parámetros Proyección'!$G$15),0,'Parámetros Proyección'!$G$15)))</f>
        <v/>
      </c>
      <c r="V370" s="35">
        <f>T370+U370</f>
        <v/>
      </c>
      <c r="W370" s="35">
        <f>AB369</f>
        <v/>
      </c>
      <c r="X370" s="35">
        <f>W370*(1+'Parámetros Proyección'!$E$14)</f>
        <v/>
      </c>
      <c r="Y370" s="35">
        <f>X370*'Parámetros Proyección'!$F$14</f>
        <v/>
      </c>
      <c r="Z370" s="35">
        <f>X370+Y370</f>
        <v/>
      </c>
      <c r="AA370" s="35">
        <f>IF((Z370/AI370&gt;'Parámetros Proyección'!$G$14),0,D370*'Parámetros Proyección'!$G$14/(IF((H370/AI370&gt;'Parámetros Proyección'!$G$11),0,'Parámetros Proyección'!$G$11)+IF((N370/AI370&gt;'Parámetros Proyección'!$G$12),0,'Parámetros Proyección'!$G$12)+IF((T370/AI370&gt;'Parámetros Proyección'!$G$13),0,'Parámetros Proyección'!$G$13)+IF((Z370/AI370&gt;'Parámetros Proyección'!$G$14),0,'Parámetros Proyección'!$G$14)+IF((AF370/AI370&gt;'Parámetros Proyección'!$G$15),0,'Parámetros Proyección'!$G$15)))</f>
        <v/>
      </c>
      <c r="AB370" s="35">
        <f>Z370+AA370</f>
        <v/>
      </c>
      <c r="AC370" s="35">
        <f>AH369</f>
        <v/>
      </c>
      <c r="AD370" s="35">
        <f>AC370*(1+'Parámetros Proyección'!$E$15)</f>
        <v/>
      </c>
      <c r="AE370" s="35">
        <f>AD370*'Parámetros Proyección'!$F$15</f>
        <v/>
      </c>
      <c r="AF370" s="35">
        <f>AD370+AE370</f>
        <v/>
      </c>
      <c r="AG370" s="35">
        <f>IF((AF370/AI370&gt;'Parámetros Proyección'!$G$15),0,D370*'Parámetros Proyección'!$G$15/(IF((H370/AI370&gt;'Parámetros Proyección'!$G$11),0,'Parámetros Proyección'!$G$11)+IF((N370/AI370&gt;'Parámetros Proyección'!$G$12),0,'Parámetros Proyección'!$G$12)+IF((T370/AI370&gt;'Parámetros Proyección'!$G$13),0,'Parámetros Proyección'!$G$13)+IF((Z370/AI370&gt;'Parámetros Proyección'!$G$14),0,'Parámetros Proyección'!$G$14)+IF((AF370/AI370&gt;'Parámetros Proyección'!$G$15),0,'Parámetros Proyección'!$G$15)))</f>
        <v/>
      </c>
      <c r="AH370" s="35">
        <f>AF370+AG370</f>
        <v/>
      </c>
      <c r="AI370" s="35">
        <f>H370+N370+T370+Z370+AF370</f>
        <v/>
      </c>
      <c r="AJ370" s="33">
        <f>AF370/AI370</f>
        <v/>
      </c>
      <c r="AK370">
        <f>IF(AJ370&gt;'Parámetros Proyección'!$B$5,1,0)</f>
        <v/>
      </c>
      <c r="AL370" s="35">
        <f>G370+M370+S370+Y370+AE370</f>
        <v/>
      </c>
      <c r="AM370" s="35">
        <f>AM369+D370</f>
        <v/>
      </c>
      <c r="AN370" s="35">
        <f>AN369+AL370</f>
        <v/>
      </c>
      <c r="AO370" s="35">
        <f>J370+P370+V370+AB370+AH370</f>
        <v/>
      </c>
    </row>
    <row r="371">
      <c r="A371" t="n">
        <v>368</v>
      </c>
      <c r="B371" s="34">
        <f>EDATE(B370,1)</f>
        <v/>
      </c>
      <c r="C371">
        <f>YEAR(B371)</f>
        <v/>
      </c>
      <c r="D371" s="35">
        <f>'Parámetros Proyección'!$B$3*(1+'Parámetros Proyección'!$B$4)^(C371-YEAR('Parámetros Proyección'!$B$6))</f>
        <v/>
      </c>
      <c r="E371" s="35">
        <f>J370</f>
        <v/>
      </c>
      <c r="F371" s="35">
        <f>E371*(1+'Parámetros Proyección'!$E$11)</f>
        <v/>
      </c>
      <c r="G371" s="35">
        <f>F371*'Parámetros Proyección'!$F$11</f>
        <v/>
      </c>
      <c r="H371" s="35">
        <f>F371+G371</f>
        <v/>
      </c>
      <c r="I371" s="35">
        <f>IF((H371/AI371&gt;'Parámetros Proyección'!$G$11),0,D371*'Parámetros Proyección'!$G$11/(IF((H371/AI371&gt;'Parámetros Proyección'!$G$11),0,'Parámetros Proyección'!$G$11)+IF((N371/AI371&gt;'Parámetros Proyección'!$G$12),0,'Parámetros Proyección'!$G$12)+IF((T371/AI371&gt;'Parámetros Proyección'!$G$13),0,'Parámetros Proyección'!$G$13)+IF((Z371/AI371&gt;'Parámetros Proyección'!$G$14),0,'Parámetros Proyección'!$G$14)+IF((AF371/AI371&gt;'Parámetros Proyección'!$G$15),0,'Parámetros Proyección'!$G$15)))</f>
        <v/>
      </c>
      <c r="J371" s="35">
        <f>H371+I371</f>
        <v/>
      </c>
      <c r="K371" s="35">
        <f>P370</f>
        <v/>
      </c>
      <c r="L371" s="35">
        <f>K371*(1+'Parámetros Proyección'!$E$12)</f>
        <v/>
      </c>
      <c r="M371" s="35">
        <f>L371*'Parámetros Proyección'!$F$12</f>
        <v/>
      </c>
      <c r="N371" s="35">
        <f>L371+M371</f>
        <v/>
      </c>
      <c r="O371" s="35">
        <f>IF((N371/AI371&gt;'Parámetros Proyección'!$G$12),0,D371*'Parámetros Proyección'!$G$12/(IF((H371/AI371&gt;'Parámetros Proyección'!$G$11),0,'Parámetros Proyección'!$G$11)+IF((N371/AI371&gt;'Parámetros Proyección'!$G$12),0,'Parámetros Proyección'!$G$12)+IF((T371/AI371&gt;'Parámetros Proyección'!$G$13),0,'Parámetros Proyección'!$G$13)+IF((Z371/AI371&gt;'Parámetros Proyección'!$G$14),0,'Parámetros Proyección'!$G$14)+IF((AF371/AI371&gt;'Parámetros Proyección'!$G$15),0,'Parámetros Proyección'!$G$15)))</f>
        <v/>
      </c>
      <c r="P371" s="35">
        <f>N371+O371</f>
        <v/>
      </c>
      <c r="Q371" s="35">
        <f>V370</f>
        <v/>
      </c>
      <c r="R371" s="35">
        <f>Q371*(1+'Parámetros Proyección'!$E$13)</f>
        <v/>
      </c>
      <c r="S371" s="35">
        <f>R371*'Parámetros Proyección'!$F$13</f>
        <v/>
      </c>
      <c r="T371" s="35">
        <f>R371+S371</f>
        <v/>
      </c>
      <c r="U371" s="35">
        <f>IF((T371/AI371&gt;'Parámetros Proyección'!$G$13),0,D371*'Parámetros Proyección'!$G$13/(IF((H371/AI371&gt;'Parámetros Proyección'!$G$11),0,'Parámetros Proyección'!$G$11)+IF((N371/AI371&gt;'Parámetros Proyección'!$G$12),0,'Parámetros Proyección'!$G$12)+IF((T371/AI371&gt;'Parámetros Proyección'!$G$13),0,'Parámetros Proyección'!$G$13)+IF((Z371/AI371&gt;'Parámetros Proyección'!$G$14),0,'Parámetros Proyección'!$G$14)+IF((AF371/AI371&gt;'Parámetros Proyección'!$G$15),0,'Parámetros Proyección'!$G$15)))</f>
        <v/>
      </c>
      <c r="V371" s="35">
        <f>T371+U371</f>
        <v/>
      </c>
      <c r="W371" s="35">
        <f>AB370</f>
        <v/>
      </c>
      <c r="X371" s="35">
        <f>W371*(1+'Parámetros Proyección'!$E$14)</f>
        <v/>
      </c>
      <c r="Y371" s="35">
        <f>X371*'Parámetros Proyección'!$F$14</f>
        <v/>
      </c>
      <c r="Z371" s="35">
        <f>X371+Y371</f>
        <v/>
      </c>
      <c r="AA371" s="35">
        <f>IF((Z371/AI371&gt;'Parámetros Proyección'!$G$14),0,D371*'Parámetros Proyección'!$G$14/(IF((H371/AI371&gt;'Parámetros Proyección'!$G$11),0,'Parámetros Proyección'!$G$11)+IF((N371/AI371&gt;'Parámetros Proyección'!$G$12),0,'Parámetros Proyección'!$G$12)+IF((T371/AI371&gt;'Parámetros Proyección'!$G$13),0,'Parámetros Proyección'!$G$13)+IF((Z371/AI371&gt;'Parámetros Proyección'!$G$14),0,'Parámetros Proyección'!$G$14)+IF((AF371/AI371&gt;'Parámetros Proyección'!$G$15),0,'Parámetros Proyección'!$G$15)))</f>
        <v/>
      </c>
      <c r="AB371" s="35">
        <f>Z371+AA371</f>
        <v/>
      </c>
      <c r="AC371" s="35">
        <f>AH370</f>
        <v/>
      </c>
      <c r="AD371" s="35">
        <f>AC371*(1+'Parámetros Proyección'!$E$15)</f>
        <v/>
      </c>
      <c r="AE371" s="35">
        <f>AD371*'Parámetros Proyección'!$F$15</f>
        <v/>
      </c>
      <c r="AF371" s="35">
        <f>AD371+AE371</f>
        <v/>
      </c>
      <c r="AG371" s="35">
        <f>IF((AF371/AI371&gt;'Parámetros Proyección'!$G$15),0,D371*'Parámetros Proyección'!$G$15/(IF((H371/AI371&gt;'Parámetros Proyección'!$G$11),0,'Parámetros Proyección'!$G$11)+IF((N371/AI371&gt;'Parámetros Proyección'!$G$12),0,'Parámetros Proyección'!$G$12)+IF((T371/AI371&gt;'Parámetros Proyección'!$G$13),0,'Parámetros Proyección'!$G$13)+IF((Z371/AI371&gt;'Parámetros Proyección'!$G$14),0,'Parámetros Proyección'!$G$14)+IF((AF371/AI371&gt;'Parámetros Proyección'!$G$15),0,'Parámetros Proyección'!$G$15)))</f>
        <v/>
      </c>
      <c r="AH371" s="35">
        <f>AF371+AG371</f>
        <v/>
      </c>
      <c r="AI371" s="35">
        <f>H371+N371+T371+Z371+AF371</f>
        <v/>
      </c>
      <c r="AJ371" s="33">
        <f>AF371/AI371</f>
        <v/>
      </c>
      <c r="AK371">
        <f>IF(AJ371&gt;'Parámetros Proyección'!$B$5,1,0)</f>
        <v/>
      </c>
      <c r="AL371" s="35">
        <f>G371+M371+S371+Y371+AE371</f>
        <v/>
      </c>
      <c r="AM371" s="35">
        <f>AM370+D371</f>
        <v/>
      </c>
      <c r="AN371" s="35">
        <f>AN370+AL371</f>
        <v/>
      </c>
      <c r="AO371" s="35">
        <f>J371+P371+V371+AB371+AH371</f>
        <v/>
      </c>
    </row>
    <row r="372">
      <c r="A372" t="n">
        <v>369</v>
      </c>
      <c r="B372" s="34">
        <f>EDATE(B371,1)</f>
        <v/>
      </c>
      <c r="C372">
        <f>YEAR(B372)</f>
        <v/>
      </c>
      <c r="D372" s="35">
        <f>'Parámetros Proyección'!$B$3*(1+'Parámetros Proyección'!$B$4)^(C372-YEAR('Parámetros Proyección'!$B$6))</f>
        <v/>
      </c>
      <c r="E372" s="35">
        <f>J371</f>
        <v/>
      </c>
      <c r="F372" s="35">
        <f>E372*(1+'Parámetros Proyección'!$E$11)</f>
        <v/>
      </c>
      <c r="G372" s="35">
        <f>F372*'Parámetros Proyección'!$F$11</f>
        <v/>
      </c>
      <c r="H372" s="35">
        <f>F372+G372</f>
        <v/>
      </c>
      <c r="I372" s="35">
        <f>IF((H372/AI372&gt;'Parámetros Proyección'!$G$11),0,D372*'Parámetros Proyección'!$G$11/(IF((H372/AI372&gt;'Parámetros Proyección'!$G$11),0,'Parámetros Proyección'!$G$11)+IF((N372/AI372&gt;'Parámetros Proyección'!$G$12),0,'Parámetros Proyección'!$G$12)+IF((T372/AI372&gt;'Parámetros Proyección'!$G$13),0,'Parámetros Proyección'!$G$13)+IF((Z372/AI372&gt;'Parámetros Proyección'!$G$14),0,'Parámetros Proyección'!$G$14)+IF((AF372/AI372&gt;'Parámetros Proyección'!$G$15),0,'Parámetros Proyección'!$G$15)))</f>
        <v/>
      </c>
      <c r="J372" s="35">
        <f>H372+I372</f>
        <v/>
      </c>
      <c r="K372" s="35">
        <f>P371</f>
        <v/>
      </c>
      <c r="L372" s="35">
        <f>K372*(1+'Parámetros Proyección'!$E$12)</f>
        <v/>
      </c>
      <c r="M372" s="35">
        <f>L372*'Parámetros Proyección'!$F$12</f>
        <v/>
      </c>
      <c r="N372" s="35">
        <f>L372+M372</f>
        <v/>
      </c>
      <c r="O372" s="35">
        <f>IF((N372/AI372&gt;'Parámetros Proyección'!$G$12),0,D372*'Parámetros Proyección'!$G$12/(IF((H372/AI372&gt;'Parámetros Proyección'!$G$11),0,'Parámetros Proyección'!$G$11)+IF((N372/AI372&gt;'Parámetros Proyección'!$G$12),0,'Parámetros Proyección'!$G$12)+IF((T372/AI372&gt;'Parámetros Proyección'!$G$13),0,'Parámetros Proyección'!$G$13)+IF((Z372/AI372&gt;'Parámetros Proyección'!$G$14),0,'Parámetros Proyección'!$G$14)+IF((AF372/AI372&gt;'Parámetros Proyección'!$G$15),0,'Parámetros Proyección'!$G$15)))</f>
        <v/>
      </c>
      <c r="P372" s="35">
        <f>N372+O372</f>
        <v/>
      </c>
      <c r="Q372" s="35">
        <f>V371</f>
        <v/>
      </c>
      <c r="R372" s="35">
        <f>Q372*(1+'Parámetros Proyección'!$E$13)</f>
        <v/>
      </c>
      <c r="S372" s="35">
        <f>R372*'Parámetros Proyección'!$F$13</f>
        <v/>
      </c>
      <c r="T372" s="35">
        <f>R372+S372</f>
        <v/>
      </c>
      <c r="U372" s="35">
        <f>IF((T372/AI372&gt;'Parámetros Proyección'!$G$13),0,D372*'Parámetros Proyección'!$G$13/(IF((H372/AI372&gt;'Parámetros Proyección'!$G$11),0,'Parámetros Proyección'!$G$11)+IF((N372/AI372&gt;'Parámetros Proyección'!$G$12),0,'Parámetros Proyección'!$G$12)+IF((T372/AI372&gt;'Parámetros Proyección'!$G$13),0,'Parámetros Proyección'!$G$13)+IF((Z372/AI372&gt;'Parámetros Proyección'!$G$14),0,'Parámetros Proyección'!$G$14)+IF((AF372/AI372&gt;'Parámetros Proyección'!$G$15),0,'Parámetros Proyección'!$G$15)))</f>
        <v/>
      </c>
      <c r="V372" s="35">
        <f>T372+U372</f>
        <v/>
      </c>
      <c r="W372" s="35">
        <f>AB371</f>
        <v/>
      </c>
      <c r="X372" s="35">
        <f>W372*(1+'Parámetros Proyección'!$E$14)</f>
        <v/>
      </c>
      <c r="Y372" s="35">
        <f>X372*'Parámetros Proyección'!$F$14</f>
        <v/>
      </c>
      <c r="Z372" s="35">
        <f>X372+Y372</f>
        <v/>
      </c>
      <c r="AA372" s="35">
        <f>IF((Z372/AI372&gt;'Parámetros Proyección'!$G$14),0,D372*'Parámetros Proyección'!$G$14/(IF((H372/AI372&gt;'Parámetros Proyección'!$G$11),0,'Parámetros Proyección'!$G$11)+IF((N372/AI372&gt;'Parámetros Proyección'!$G$12),0,'Parámetros Proyección'!$G$12)+IF((T372/AI372&gt;'Parámetros Proyección'!$G$13),0,'Parámetros Proyección'!$G$13)+IF((Z372/AI372&gt;'Parámetros Proyección'!$G$14),0,'Parámetros Proyección'!$G$14)+IF((AF372/AI372&gt;'Parámetros Proyección'!$G$15),0,'Parámetros Proyección'!$G$15)))</f>
        <v/>
      </c>
      <c r="AB372" s="35">
        <f>Z372+AA372</f>
        <v/>
      </c>
      <c r="AC372" s="35">
        <f>AH371</f>
        <v/>
      </c>
      <c r="AD372" s="35">
        <f>AC372*(1+'Parámetros Proyección'!$E$15)</f>
        <v/>
      </c>
      <c r="AE372" s="35">
        <f>AD372*'Parámetros Proyección'!$F$15</f>
        <v/>
      </c>
      <c r="AF372" s="35">
        <f>AD372+AE372</f>
        <v/>
      </c>
      <c r="AG372" s="35">
        <f>IF((AF372/AI372&gt;'Parámetros Proyección'!$G$15),0,D372*'Parámetros Proyección'!$G$15/(IF((H372/AI372&gt;'Parámetros Proyección'!$G$11),0,'Parámetros Proyección'!$G$11)+IF((N372/AI372&gt;'Parámetros Proyección'!$G$12),0,'Parámetros Proyección'!$G$12)+IF((T372/AI372&gt;'Parámetros Proyección'!$G$13),0,'Parámetros Proyección'!$G$13)+IF((Z372/AI372&gt;'Parámetros Proyección'!$G$14),0,'Parámetros Proyección'!$G$14)+IF((AF372/AI372&gt;'Parámetros Proyección'!$G$15),0,'Parámetros Proyección'!$G$15)))</f>
        <v/>
      </c>
      <c r="AH372" s="35">
        <f>AF372+AG372</f>
        <v/>
      </c>
      <c r="AI372" s="35">
        <f>H372+N372+T372+Z372+AF372</f>
        <v/>
      </c>
      <c r="AJ372" s="33">
        <f>AF372/AI372</f>
        <v/>
      </c>
      <c r="AK372">
        <f>IF(AJ372&gt;'Parámetros Proyección'!$B$5,1,0)</f>
        <v/>
      </c>
      <c r="AL372" s="35">
        <f>G372+M372+S372+Y372+AE372</f>
        <v/>
      </c>
      <c r="AM372" s="35">
        <f>AM371+D372</f>
        <v/>
      </c>
      <c r="AN372" s="35">
        <f>AN371+AL372</f>
        <v/>
      </c>
      <c r="AO372" s="35">
        <f>J372+P372+V372+AB372+AH372</f>
        <v/>
      </c>
    </row>
    <row r="373">
      <c r="A373" t="n">
        <v>370</v>
      </c>
      <c r="B373" s="34">
        <f>EDATE(B372,1)</f>
        <v/>
      </c>
      <c r="C373">
        <f>YEAR(B373)</f>
        <v/>
      </c>
      <c r="D373" s="35">
        <f>'Parámetros Proyección'!$B$3*(1+'Parámetros Proyección'!$B$4)^(C373-YEAR('Parámetros Proyección'!$B$6))</f>
        <v/>
      </c>
      <c r="E373" s="35">
        <f>J372</f>
        <v/>
      </c>
      <c r="F373" s="35">
        <f>E373*(1+'Parámetros Proyección'!$E$11)</f>
        <v/>
      </c>
      <c r="G373" s="35">
        <f>F373*'Parámetros Proyección'!$F$11</f>
        <v/>
      </c>
      <c r="H373" s="35">
        <f>F373+G373</f>
        <v/>
      </c>
      <c r="I373" s="35">
        <f>IF((H373/AI373&gt;'Parámetros Proyección'!$G$11),0,D373*'Parámetros Proyección'!$G$11/(IF((H373/AI373&gt;'Parámetros Proyección'!$G$11),0,'Parámetros Proyección'!$G$11)+IF((N373/AI373&gt;'Parámetros Proyección'!$G$12),0,'Parámetros Proyección'!$G$12)+IF((T373/AI373&gt;'Parámetros Proyección'!$G$13),0,'Parámetros Proyección'!$G$13)+IF((Z373/AI373&gt;'Parámetros Proyección'!$G$14),0,'Parámetros Proyección'!$G$14)+IF((AF373/AI373&gt;'Parámetros Proyección'!$G$15),0,'Parámetros Proyección'!$G$15)))</f>
        <v/>
      </c>
      <c r="J373" s="35">
        <f>H373+I373</f>
        <v/>
      </c>
      <c r="K373" s="35">
        <f>P372</f>
        <v/>
      </c>
      <c r="L373" s="35">
        <f>K373*(1+'Parámetros Proyección'!$E$12)</f>
        <v/>
      </c>
      <c r="M373" s="35">
        <f>L373*'Parámetros Proyección'!$F$12</f>
        <v/>
      </c>
      <c r="N373" s="35">
        <f>L373+M373</f>
        <v/>
      </c>
      <c r="O373" s="35">
        <f>IF((N373/AI373&gt;'Parámetros Proyección'!$G$12),0,D373*'Parámetros Proyección'!$G$12/(IF((H373/AI373&gt;'Parámetros Proyección'!$G$11),0,'Parámetros Proyección'!$G$11)+IF((N373/AI373&gt;'Parámetros Proyección'!$G$12),0,'Parámetros Proyección'!$G$12)+IF((T373/AI373&gt;'Parámetros Proyección'!$G$13),0,'Parámetros Proyección'!$G$13)+IF((Z373/AI373&gt;'Parámetros Proyección'!$G$14),0,'Parámetros Proyección'!$G$14)+IF((AF373/AI373&gt;'Parámetros Proyección'!$G$15),0,'Parámetros Proyección'!$G$15)))</f>
        <v/>
      </c>
      <c r="P373" s="35">
        <f>N373+O373</f>
        <v/>
      </c>
      <c r="Q373" s="35">
        <f>V372</f>
        <v/>
      </c>
      <c r="R373" s="35">
        <f>Q373*(1+'Parámetros Proyección'!$E$13)</f>
        <v/>
      </c>
      <c r="S373" s="35">
        <f>R373*'Parámetros Proyección'!$F$13</f>
        <v/>
      </c>
      <c r="T373" s="35">
        <f>R373+S373</f>
        <v/>
      </c>
      <c r="U373" s="35">
        <f>IF((T373/AI373&gt;'Parámetros Proyección'!$G$13),0,D373*'Parámetros Proyección'!$G$13/(IF((H373/AI373&gt;'Parámetros Proyección'!$G$11),0,'Parámetros Proyección'!$G$11)+IF((N373/AI373&gt;'Parámetros Proyección'!$G$12),0,'Parámetros Proyección'!$G$12)+IF((T373/AI373&gt;'Parámetros Proyección'!$G$13),0,'Parámetros Proyección'!$G$13)+IF((Z373/AI373&gt;'Parámetros Proyección'!$G$14),0,'Parámetros Proyección'!$G$14)+IF((AF373/AI373&gt;'Parámetros Proyección'!$G$15),0,'Parámetros Proyección'!$G$15)))</f>
        <v/>
      </c>
      <c r="V373" s="35">
        <f>T373+U373</f>
        <v/>
      </c>
      <c r="W373" s="35">
        <f>AB372</f>
        <v/>
      </c>
      <c r="X373" s="35">
        <f>W373*(1+'Parámetros Proyección'!$E$14)</f>
        <v/>
      </c>
      <c r="Y373" s="35">
        <f>X373*'Parámetros Proyección'!$F$14</f>
        <v/>
      </c>
      <c r="Z373" s="35">
        <f>X373+Y373</f>
        <v/>
      </c>
      <c r="AA373" s="35">
        <f>IF((Z373/AI373&gt;'Parámetros Proyección'!$G$14),0,D373*'Parámetros Proyección'!$G$14/(IF((H373/AI373&gt;'Parámetros Proyección'!$G$11),0,'Parámetros Proyección'!$G$11)+IF((N373/AI373&gt;'Parámetros Proyección'!$G$12),0,'Parámetros Proyección'!$G$12)+IF((T373/AI373&gt;'Parámetros Proyección'!$G$13),0,'Parámetros Proyección'!$G$13)+IF((Z373/AI373&gt;'Parámetros Proyección'!$G$14),0,'Parámetros Proyección'!$G$14)+IF((AF373/AI373&gt;'Parámetros Proyección'!$G$15),0,'Parámetros Proyección'!$G$15)))</f>
        <v/>
      </c>
      <c r="AB373" s="35">
        <f>Z373+AA373</f>
        <v/>
      </c>
      <c r="AC373" s="35">
        <f>AH372</f>
        <v/>
      </c>
      <c r="AD373" s="35">
        <f>AC373*(1+'Parámetros Proyección'!$E$15)</f>
        <v/>
      </c>
      <c r="AE373" s="35">
        <f>AD373*'Parámetros Proyección'!$F$15</f>
        <v/>
      </c>
      <c r="AF373" s="35">
        <f>AD373+AE373</f>
        <v/>
      </c>
      <c r="AG373" s="35">
        <f>IF((AF373/AI373&gt;'Parámetros Proyección'!$G$15),0,D373*'Parámetros Proyección'!$G$15/(IF((H373/AI373&gt;'Parámetros Proyección'!$G$11),0,'Parámetros Proyección'!$G$11)+IF((N373/AI373&gt;'Parámetros Proyección'!$G$12),0,'Parámetros Proyección'!$G$12)+IF((T373/AI373&gt;'Parámetros Proyección'!$G$13),0,'Parámetros Proyección'!$G$13)+IF((Z373/AI373&gt;'Parámetros Proyección'!$G$14),0,'Parámetros Proyección'!$G$14)+IF((AF373/AI373&gt;'Parámetros Proyección'!$G$15),0,'Parámetros Proyección'!$G$15)))</f>
        <v/>
      </c>
      <c r="AH373" s="35">
        <f>AF373+AG373</f>
        <v/>
      </c>
      <c r="AI373" s="35">
        <f>H373+N373+T373+Z373+AF373</f>
        <v/>
      </c>
      <c r="AJ373" s="33">
        <f>AF373/AI373</f>
        <v/>
      </c>
      <c r="AK373">
        <f>IF(AJ373&gt;'Parámetros Proyección'!$B$5,1,0)</f>
        <v/>
      </c>
      <c r="AL373" s="35">
        <f>G373+M373+S373+Y373+AE373</f>
        <v/>
      </c>
      <c r="AM373" s="35">
        <f>AM372+D373</f>
        <v/>
      </c>
      <c r="AN373" s="35">
        <f>AN372+AL373</f>
        <v/>
      </c>
      <c r="AO373" s="35">
        <f>J373+P373+V373+AB373+AH373</f>
        <v/>
      </c>
    </row>
    <row r="374">
      <c r="A374" t="n">
        <v>371</v>
      </c>
      <c r="B374" s="34">
        <f>EDATE(B373,1)</f>
        <v/>
      </c>
      <c r="C374">
        <f>YEAR(B374)</f>
        <v/>
      </c>
      <c r="D374" s="35">
        <f>'Parámetros Proyección'!$B$3*(1+'Parámetros Proyección'!$B$4)^(C374-YEAR('Parámetros Proyección'!$B$6))</f>
        <v/>
      </c>
      <c r="E374" s="35">
        <f>J373</f>
        <v/>
      </c>
      <c r="F374" s="35">
        <f>E374*(1+'Parámetros Proyección'!$E$11)</f>
        <v/>
      </c>
      <c r="G374" s="35">
        <f>F374*'Parámetros Proyección'!$F$11</f>
        <v/>
      </c>
      <c r="H374" s="35">
        <f>F374+G374</f>
        <v/>
      </c>
      <c r="I374" s="35">
        <f>IF((H374/AI374&gt;'Parámetros Proyección'!$G$11),0,D374*'Parámetros Proyección'!$G$11/(IF((H374/AI374&gt;'Parámetros Proyección'!$G$11),0,'Parámetros Proyección'!$G$11)+IF((N374/AI374&gt;'Parámetros Proyección'!$G$12),0,'Parámetros Proyección'!$G$12)+IF((T374/AI374&gt;'Parámetros Proyección'!$G$13),0,'Parámetros Proyección'!$G$13)+IF((Z374/AI374&gt;'Parámetros Proyección'!$G$14),0,'Parámetros Proyección'!$G$14)+IF((AF374/AI374&gt;'Parámetros Proyección'!$G$15),0,'Parámetros Proyección'!$G$15)))</f>
        <v/>
      </c>
      <c r="J374" s="35">
        <f>H374+I374</f>
        <v/>
      </c>
      <c r="K374" s="35">
        <f>P373</f>
        <v/>
      </c>
      <c r="L374" s="35">
        <f>K374*(1+'Parámetros Proyección'!$E$12)</f>
        <v/>
      </c>
      <c r="M374" s="35">
        <f>L374*'Parámetros Proyección'!$F$12</f>
        <v/>
      </c>
      <c r="N374" s="35">
        <f>L374+M374</f>
        <v/>
      </c>
      <c r="O374" s="35">
        <f>IF((N374/AI374&gt;'Parámetros Proyección'!$G$12),0,D374*'Parámetros Proyección'!$G$12/(IF((H374/AI374&gt;'Parámetros Proyección'!$G$11),0,'Parámetros Proyección'!$G$11)+IF((N374/AI374&gt;'Parámetros Proyección'!$G$12),0,'Parámetros Proyección'!$G$12)+IF((T374/AI374&gt;'Parámetros Proyección'!$G$13),0,'Parámetros Proyección'!$G$13)+IF((Z374/AI374&gt;'Parámetros Proyección'!$G$14),0,'Parámetros Proyección'!$G$14)+IF((AF374/AI374&gt;'Parámetros Proyección'!$G$15),0,'Parámetros Proyección'!$G$15)))</f>
        <v/>
      </c>
      <c r="P374" s="35">
        <f>N374+O374</f>
        <v/>
      </c>
      <c r="Q374" s="35">
        <f>V373</f>
        <v/>
      </c>
      <c r="R374" s="35">
        <f>Q374*(1+'Parámetros Proyección'!$E$13)</f>
        <v/>
      </c>
      <c r="S374" s="35">
        <f>R374*'Parámetros Proyección'!$F$13</f>
        <v/>
      </c>
      <c r="T374" s="35">
        <f>R374+S374</f>
        <v/>
      </c>
      <c r="U374" s="35">
        <f>IF((T374/AI374&gt;'Parámetros Proyección'!$G$13),0,D374*'Parámetros Proyección'!$G$13/(IF((H374/AI374&gt;'Parámetros Proyección'!$G$11),0,'Parámetros Proyección'!$G$11)+IF((N374/AI374&gt;'Parámetros Proyección'!$G$12),0,'Parámetros Proyección'!$G$12)+IF((T374/AI374&gt;'Parámetros Proyección'!$G$13),0,'Parámetros Proyección'!$G$13)+IF((Z374/AI374&gt;'Parámetros Proyección'!$G$14),0,'Parámetros Proyección'!$G$14)+IF((AF374/AI374&gt;'Parámetros Proyección'!$G$15),0,'Parámetros Proyección'!$G$15)))</f>
        <v/>
      </c>
      <c r="V374" s="35">
        <f>T374+U374</f>
        <v/>
      </c>
      <c r="W374" s="35">
        <f>AB373</f>
        <v/>
      </c>
      <c r="X374" s="35">
        <f>W374*(1+'Parámetros Proyección'!$E$14)</f>
        <v/>
      </c>
      <c r="Y374" s="35">
        <f>X374*'Parámetros Proyección'!$F$14</f>
        <v/>
      </c>
      <c r="Z374" s="35">
        <f>X374+Y374</f>
        <v/>
      </c>
      <c r="AA374" s="35">
        <f>IF((Z374/AI374&gt;'Parámetros Proyección'!$G$14),0,D374*'Parámetros Proyección'!$G$14/(IF((H374/AI374&gt;'Parámetros Proyección'!$G$11),0,'Parámetros Proyección'!$G$11)+IF((N374/AI374&gt;'Parámetros Proyección'!$G$12),0,'Parámetros Proyección'!$G$12)+IF((T374/AI374&gt;'Parámetros Proyección'!$G$13),0,'Parámetros Proyección'!$G$13)+IF((Z374/AI374&gt;'Parámetros Proyección'!$G$14),0,'Parámetros Proyección'!$G$14)+IF((AF374/AI374&gt;'Parámetros Proyección'!$G$15),0,'Parámetros Proyección'!$G$15)))</f>
        <v/>
      </c>
      <c r="AB374" s="35">
        <f>Z374+AA374</f>
        <v/>
      </c>
      <c r="AC374" s="35">
        <f>AH373</f>
        <v/>
      </c>
      <c r="AD374" s="35">
        <f>AC374*(1+'Parámetros Proyección'!$E$15)</f>
        <v/>
      </c>
      <c r="AE374" s="35">
        <f>AD374*'Parámetros Proyección'!$F$15</f>
        <v/>
      </c>
      <c r="AF374" s="35">
        <f>AD374+AE374</f>
        <v/>
      </c>
      <c r="AG374" s="35">
        <f>IF((AF374/AI374&gt;'Parámetros Proyección'!$G$15),0,D374*'Parámetros Proyección'!$G$15/(IF((H374/AI374&gt;'Parámetros Proyección'!$G$11),0,'Parámetros Proyección'!$G$11)+IF((N374/AI374&gt;'Parámetros Proyección'!$G$12),0,'Parámetros Proyección'!$G$12)+IF((T374/AI374&gt;'Parámetros Proyección'!$G$13),0,'Parámetros Proyección'!$G$13)+IF((Z374/AI374&gt;'Parámetros Proyección'!$G$14),0,'Parámetros Proyección'!$G$14)+IF((AF374/AI374&gt;'Parámetros Proyección'!$G$15),0,'Parámetros Proyección'!$G$15)))</f>
        <v/>
      </c>
      <c r="AH374" s="35">
        <f>AF374+AG374</f>
        <v/>
      </c>
      <c r="AI374" s="35">
        <f>H374+N374+T374+Z374+AF374</f>
        <v/>
      </c>
      <c r="AJ374" s="33">
        <f>AF374/AI374</f>
        <v/>
      </c>
      <c r="AK374">
        <f>IF(AJ374&gt;'Parámetros Proyección'!$B$5,1,0)</f>
        <v/>
      </c>
      <c r="AL374" s="35">
        <f>G374+M374+S374+Y374+AE374</f>
        <v/>
      </c>
      <c r="AM374" s="35">
        <f>AM373+D374</f>
        <v/>
      </c>
      <c r="AN374" s="35">
        <f>AN373+AL374</f>
        <v/>
      </c>
      <c r="AO374" s="35">
        <f>J374+P374+V374+AB374+AH374</f>
        <v/>
      </c>
    </row>
    <row r="375">
      <c r="A375" t="n">
        <v>372</v>
      </c>
      <c r="B375" s="34">
        <f>EDATE(B374,1)</f>
        <v/>
      </c>
      <c r="C375">
        <f>YEAR(B375)</f>
        <v/>
      </c>
      <c r="D375" s="35">
        <f>'Parámetros Proyección'!$B$3*(1+'Parámetros Proyección'!$B$4)^(C375-YEAR('Parámetros Proyección'!$B$6))</f>
        <v/>
      </c>
      <c r="E375" s="35">
        <f>J374</f>
        <v/>
      </c>
      <c r="F375" s="35">
        <f>E375*(1+'Parámetros Proyección'!$E$11)</f>
        <v/>
      </c>
      <c r="G375" s="35">
        <f>F375*'Parámetros Proyección'!$F$11</f>
        <v/>
      </c>
      <c r="H375" s="35">
        <f>F375+G375</f>
        <v/>
      </c>
      <c r="I375" s="35">
        <f>IF((H375/AI375&gt;'Parámetros Proyección'!$G$11),0,D375*'Parámetros Proyección'!$G$11/(IF((H375/AI375&gt;'Parámetros Proyección'!$G$11),0,'Parámetros Proyección'!$G$11)+IF((N375/AI375&gt;'Parámetros Proyección'!$G$12),0,'Parámetros Proyección'!$G$12)+IF((T375/AI375&gt;'Parámetros Proyección'!$G$13),0,'Parámetros Proyección'!$G$13)+IF((Z375/AI375&gt;'Parámetros Proyección'!$G$14),0,'Parámetros Proyección'!$G$14)+IF((AF375/AI375&gt;'Parámetros Proyección'!$G$15),0,'Parámetros Proyección'!$G$15)))</f>
        <v/>
      </c>
      <c r="J375" s="35">
        <f>H375+I375</f>
        <v/>
      </c>
      <c r="K375" s="35">
        <f>P374</f>
        <v/>
      </c>
      <c r="L375" s="35">
        <f>K375*(1+'Parámetros Proyección'!$E$12)</f>
        <v/>
      </c>
      <c r="M375" s="35">
        <f>L375*'Parámetros Proyección'!$F$12</f>
        <v/>
      </c>
      <c r="N375" s="35">
        <f>L375+M375</f>
        <v/>
      </c>
      <c r="O375" s="35">
        <f>IF((N375/AI375&gt;'Parámetros Proyección'!$G$12),0,D375*'Parámetros Proyección'!$G$12/(IF((H375/AI375&gt;'Parámetros Proyección'!$G$11),0,'Parámetros Proyección'!$G$11)+IF((N375/AI375&gt;'Parámetros Proyección'!$G$12),0,'Parámetros Proyección'!$G$12)+IF((T375/AI375&gt;'Parámetros Proyección'!$G$13),0,'Parámetros Proyección'!$G$13)+IF((Z375/AI375&gt;'Parámetros Proyección'!$G$14),0,'Parámetros Proyección'!$G$14)+IF((AF375/AI375&gt;'Parámetros Proyección'!$G$15),0,'Parámetros Proyección'!$G$15)))</f>
        <v/>
      </c>
      <c r="P375" s="35">
        <f>N375+O375</f>
        <v/>
      </c>
      <c r="Q375" s="35">
        <f>V374</f>
        <v/>
      </c>
      <c r="R375" s="35">
        <f>Q375*(1+'Parámetros Proyección'!$E$13)</f>
        <v/>
      </c>
      <c r="S375" s="35">
        <f>R375*'Parámetros Proyección'!$F$13</f>
        <v/>
      </c>
      <c r="T375" s="35">
        <f>R375+S375</f>
        <v/>
      </c>
      <c r="U375" s="35">
        <f>IF((T375/AI375&gt;'Parámetros Proyección'!$G$13),0,D375*'Parámetros Proyección'!$G$13/(IF((H375/AI375&gt;'Parámetros Proyección'!$G$11),0,'Parámetros Proyección'!$G$11)+IF((N375/AI375&gt;'Parámetros Proyección'!$G$12),0,'Parámetros Proyección'!$G$12)+IF((T375/AI375&gt;'Parámetros Proyección'!$G$13),0,'Parámetros Proyección'!$G$13)+IF((Z375/AI375&gt;'Parámetros Proyección'!$G$14),0,'Parámetros Proyección'!$G$14)+IF((AF375/AI375&gt;'Parámetros Proyección'!$G$15),0,'Parámetros Proyección'!$G$15)))</f>
        <v/>
      </c>
      <c r="V375" s="35">
        <f>T375+U375</f>
        <v/>
      </c>
      <c r="W375" s="35">
        <f>AB374</f>
        <v/>
      </c>
      <c r="X375" s="35">
        <f>W375*(1+'Parámetros Proyección'!$E$14)</f>
        <v/>
      </c>
      <c r="Y375" s="35">
        <f>X375*'Parámetros Proyección'!$F$14</f>
        <v/>
      </c>
      <c r="Z375" s="35">
        <f>X375+Y375</f>
        <v/>
      </c>
      <c r="AA375" s="35">
        <f>IF((Z375/AI375&gt;'Parámetros Proyección'!$G$14),0,D375*'Parámetros Proyección'!$G$14/(IF((H375/AI375&gt;'Parámetros Proyección'!$G$11),0,'Parámetros Proyección'!$G$11)+IF((N375/AI375&gt;'Parámetros Proyección'!$G$12),0,'Parámetros Proyección'!$G$12)+IF((T375/AI375&gt;'Parámetros Proyección'!$G$13),0,'Parámetros Proyección'!$G$13)+IF((Z375/AI375&gt;'Parámetros Proyección'!$G$14),0,'Parámetros Proyección'!$G$14)+IF((AF375/AI375&gt;'Parámetros Proyección'!$G$15),0,'Parámetros Proyección'!$G$15)))</f>
        <v/>
      </c>
      <c r="AB375" s="35">
        <f>Z375+AA375</f>
        <v/>
      </c>
      <c r="AC375" s="35">
        <f>AH374</f>
        <v/>
      </c>
      <c r="AD375" s="35">
        <f>AC375*(1+'Parámetros Proyección'!$E$15)</f>
        <v/>
      </c>
      <c r="AE375" s="35">
        <f>AD375*'Parámetros Proyección'!$F$15</f>
        <v/>
      </c>
      <c r="AF375" s="35">
        <f>AD375+AE375</f>
        <v/>
      </c>
      <c r="AG375" s="35">
        <f>IF((AF375/AI375&gt;'Parámetros Proyección'!$G$15),0,D375*'Parámetros Proyección'!$G$15/(IF((H375/AI375&gt;'Parámetros Proyección'!$G$11),0,'Parámetros Proyección'!$G$11)+IF((N375/AI375&gt;'Parámetros Proyección'!$G$12),0,'Parámetros Proyección'!$G$12)+IF((T375/AI375&gt;'Parámetros Proyección'!$G$13),0,'Parámetros Proyección'!$G$13)+IF((Z375/AI375&gt;'Parámetros Proyección'!$G$14),0,'Parámetros Proyección'!$G$14)+IF((AF375/AI375&gt;'Parámetros Proyección'!$G$15),0,'Parámetros Proyección'!$G$15)))</f>
        <v/>
      </c>
      <c r="AH375" s="35">
        <f>AF375+AG375</f>
        <v/>
      </c>
      <c r="AI375" s="35">
        <f>H375+N375+T375+Z375+AF375</f>
        <v/>
      </c>
      <c r="AJ375" s="33">
        <f>AF375/AI375</f>
        <v/>
      </c>
      <c r="AK375">
        <f>IF(AJ375&gt;'Parámetros Proyección'!$B$5,1,0)</f>
        <v/>
      </c>
      <c r="AL375" s="35">
        <f>G375+M375+S375+Y375+AE375</f>
        <v/>
      </c>
      <c r="AM375" s="35">
        <f>AM374+D375</f>
        <v/>
      </c>
      <c r="AN375" s="35">
        <f>AN374+AL375</f>
        <v/>
      </c>
      <c r="AO375" s="35">
        <f>J375+P375+V375+AB375+AH375</f>
        <v/>
      </c>
    </row>
    <row r="376">
      <c r="A376" t="n">
        <v>373</v>
      </c>
      <c r="B376" s="34">
        <f>EDATE(B375,1)</f>
        <v/>
      </c>
      <c r="C376">
        <f>YEAR(B376)</f>
        <v/>
      </c>
      <c r="D376" s="35">
        <f>'Parámetros Proyección'!$B$3*(1+'Parámetros Proyección'!$B$4)^(C376-YEAR('Parámetros Proyección'!$B$6))</f>
        <v/>
      </c>
      <c r="E376" s="35">
        <f>J375</f>
        <v/>
      </c>
      <c r="F376" s="35">
        <f>E376*(1+'Parámetros Proyección'!$E$11)</f>
        <v/>
      </c>
      <c r="G376" s="35">
        <f>F376*'Parámetros Proyección'!$F$11</f>
        <v/>
      </c>
      <c r="H376" s="35">
        <f>F376+G376</f>
        <v/>
      </c>
      <c r="I376" s="35">
        <f>IF((H376/AI376&gt;'Parámetros Proyección'!$G$11),0,D376*'Parámetros Proyección'!$G$11/(IF((H376/AI376&gt;'Parámetros Proyección'!$G$11),0,'Parámetros Proyección'!$G$11)+IF((N376/AI376&gt;'Parámetros Proyección'!$G$12),0,'Parámetros Proyección'!$G$12)+IF((T376/AI376&gt;'Parámetros Proyección'!$G$13),0,'Parámetros Proyección'!$G$13)+IF((Z376/AI376&gt;'Parámetros Proyección'!$G$14),0,'Parámetros Proyección'!$G$14)+IF((AF376/AI376&gt;'Parámetros Proyección'!$G$15),0,'Parámetros Proyección'!$G$15)))</f>
        <v/>
      </c>
      <c r="J376" s="35">
        <f>H376+I376</f>
        <v/>
      </c>
      <c r="K376" s="35">
        <f>P375</f>
        <v/>
      </c>
      <c r="L376" s="35">
        <f>K376*(1+'Parámetros Proyección'!$E$12)</f>
        <v/>
      </c>
      <c r="M376" s="35">
        <f>L376*'Parámetros Proyección'!$F$12</f>
        <v/>
      </c>
      <c r="N376" s="35">
        <f>L376+M376</f>
        <v/>
      </c>
      <c r="O376" s="35">
        <f>IF((N376/AI376&gt;'Parámetros Proyección'!$G$12),0,D376*'Parámetros Proyección'!$G$12/(IF((H376/AI376&gt;'Parámetros Proyección'!$G$11),0,'Parámetros Proyección'!$G$11)+IF((N376/AI376&gt;'Parámetros Proyección'!$G$12),0,'Parámetros Proyección'!$G$12)+IF((T376/AI376&gt;'Parámetros Proyección'!$G$13),0,'Parámetros Proyección'!$G$13)+IF((Z376/AI376&gt;'Parámetros Proyección'!$G$14),0,'Parámetros Proyección'!$G$14)+IF((AF376/AI376&gt;'Parámetros Proyección'!$G$15),0,'Parámetros Proyección'!$G$15)))</f>
        <v/>
      </c>
      <c r="P376" s="35">
        <f>N376+O376</f>
        <v/>
      </c>
      <c r="Q376" s="35">
        <f>V375</f>
        <v/>
      </c>
      <c r="R376" s="35">
        <f>Q376*(1+'Parámetros Proyección'!$E$13)</f>
        <v/>
      </c>
      <c r="S376" s="35">
        <f>R376*'Parámetros Proyección'!$F$13</f>
        <v/>
      </c>
      <c r="T376" s="35">
        <f>R376+S376</f>
        <v/>
      </c>
      <c r="U376" s="35">
        <f>IF((T376/AI376&gt;'Parámetros Proyección'!$G$13),0,D376*'Parámetros Proyección'!$G$13/(IF((H376/AI376&gt;'Parámetros Proyección'!$G$11),0,'Parámetros Proyección'!$G$11)+IF((N376/AI376&gt;'Parámetros Proyección'!$G$12),0,'Parámetros Proyección'!$G$12)+IF((T376/AI376&gt;'Parámetros Proyección'!$G$13),0,'Parámetros Proyección'!$G$13)+IF((Z376/AI376&gt;'Parámetros Proyección'!$G$14),0,'Parámetros Proyección'!$G$14)+IF((AF376/AI376&gt;'Parámetros Proyección'!$G$15),0,'Parámetros Proyección'!$G$15)))</f>
        <v/>
      </c>
      <c r="V376" s="35">
        <f>T376+U376</f>
        <v/>
      </c>
      <c r="W376" s="35">
        <f>AB375</f>
        <v/>
      </c>
      <c r="X376" s="35">
        <f>W376*(1+'Parámetros Proyección'!$E$14)</f>
        <v/>
      </c>
      <c r="Y376" s="35">
        <f>X376*'Parámetros Proyección'!$F$14</f>
        <v/>
      </c>
      <c r="Z376" s="35">
        <f>X376+Y376</f>
        <v/>
      </c>
      <c r="AA376" s="35">
        <f>IF((Z376/AI376&gt;'Parámetros Proyección'!$G$14),0,D376*'Parámetros Proyección'!$G$14/(IF((H376/AI376&gt;'Parámetros Proyección'!$G$11),0,'Parámetros Proyección'!$G$11)+IF((N376/AI376&gt;'Parámetros Proyección'!$G$12),0,'Parámetros Proyección'!$G$12)+IF((T376/AI376&gt;'Parámetros Proyección'!$G$13),0,'Parámetros Proyección'!$G$13)+IF((Z376/AI376&gt;'Parámetros Proyección'!$G$14),0,'Parámetros Proyección'!$G$14)+IF((AF376/AI376&gt;'Parámetros Proyección'!$G$15),0,'Parámetros Proyección'!$G$15)))</f>
        <v/>
      </c>
      <c r="AB376" s="35">
        <f>Z376+AA376</f>
        <v/>
      </c>
      <c r="AC376" s="35">
        <f>AH375</f>
        <v/>
      </c>
      <c r="AD376" s="35">
        <f>AC376*(1+'Parámetros Proyección'!$E$15)</f>
        <v/>
      </c>
      <c r="AE376" s="35">
        <f>AD376*'Parámetros Proyección'!$F$15</f>
        <v/>
      </c>
      <c r="AF376" s="35">
        <f>AD376+AE376</f>
        <v/>
      </c>
      <c r="AG376" s="35">
        <f>IF((AF376/AI376&gt;'Parámetros Proyección'!$G$15),0,D376*'Parámetros Proyección'!$G$15/(IF((H376/AI376&gt;'Parámetros Proyección'!$G$11),0,'Parámetros Proyección'!$G$11)+IF((N376/AI376&gt;'Parámetros Proyección'!$G$12),0,'Parámetros Proyección'!$G$12)+IF((T376/AI376&gt;'Parámetros Proyección'!$G$13),0,'Parámetros Proyección'!$G$13)+IF((Z376/AI376&gt;'Parámetros Proyección'!$G$14),0,'Parámetros Proyección'!$G$14)+IF((AF376/AI376&gt;'Parámetros Proyección'!$G$15),0,'Parámetros Proyección'!$G$15)))</f>
        <v/>
      </c>
      <c r="AH376" s="35">
        <f>AF376+AG376</f>
        <v/>
      </c>
      <c r="AI376" s="35">
        <f>H376+N376+T376+Z376+AF376</f>
        <v/>
      </c>
      <c r="AJ376" s="33">
        <f>AF376/AI376</f>
        <v/>
      </c>
      <c r="AK376">
        <f>IF(AJ376&gt;'Parámetros Proyección'!$B$5,1,0)</f>
        <v/>
      </c>
      <c r="AL376" s="35">
        <f>G376+M376+S376+Y376+AE376</f>
        <v/>
      </c>
      <c r="AM376" s="35">
        <f>AM375+D376</f>
        <v/>
      </c>
      <c r="AN376" s="35">
        <f>AN375+AL376</f>
        <v/>
      </c>
      <c r="AO376" s="35">
        <f>J376+P376+V376+AB376+AH376</f>
        <v/>
      </c>
    </row>
    <row r="377">
      <c r="A377" t="n">
        <v>374</v>
      </c>
      <c r="B377" s="34">
        <f>EDATE(B376,1)</f>
        <v/>
      </c>
      <c r="C377">
        <f>YEAR(B377)</f>
        <v/>
      </c>
      <c r="D377" s="35">
        <f>'Parámetros Proyección'!$B$3*(1+'Parámetros Proyección'!$B$4)^(C377-YEAR('Parámetros Proyección'!$B$6))</f>
        <v/>
      </c>
      <c r="E377" s="35">
        <f>J376</f>
        <v/>
      </c>
      <c r="F377" s="35">
        <f>E377*(1+'Parámetros Proyección'!$E$11)</f>
        <v/>
      </c>
      <c r="G377" s="35">
        <f>F377*'Parámetros Proyección'!$F$11</f>
        <v/>
      </c>
      <c r="H377" s="35">
        <f>F377+G377</f>
        <v/>
      </c>
      <c r="I377" s="35">
        <f>IF((H377/AI377&gt;'Parámetros Proyección'!$G$11),0,D377*'Parámetros Proyección'!$G$11/(IF((H377/AI377&gt;'Parámetros Proyección'!$G$11),0,'Parámetros Proyección'!$G$11)+IF((N377/AI377&gt;'Parámetros Proyección'!$G$12),0,'Parámetros Proyección'!$G$12)+IF((T377/AI377&gt;'Parámetros Proyección'!$G$13),0,'Parámetros Proyección'!$G$13)+IF((Z377/AI377&gt;'Parámetros Proyección'!$G$14),0,'Parámetros Proyección'!$G$14)+IF((AF377/AI377&gt;'Parámetros Proyección'!$G$15),0,'Parámetros Proyección'!$G$15)))</f>
        <v/>
      </c>
      <c r="J377" s="35">
        <f>H377+I377</f>
        <v/>
      </c>
      <c r="K377" s="35">
        <f>P376</f>
        <v/>
      </c>
      <c r="L377" s="35">
        <f>K377*(1+'Parámetros Proyección'!$E$12)</f>
        <v/>
      </c>
      <c r="M377" s="35">
        <f>L377*'Parámetros Proyección'!$F$12</f>
        <v/>
      </c>
      <c r="N377" s="35">
        <f>L377+M377</f>
        <v/>
      </c>
      <c r="O377" s="35">
        <f>IF((N377/AI377&gt;'Parámetros Proyección'!$G$12),0,D377*'Parámetros Proyección'!$G$12/(IF((H377/AI377&gt;'Parámetros Proyección'!$G$11),0,'Parámetros Proyección'!$G$11)+IF((N377/AI377&gt;'Parámetros Proyección'!$G$12),0,'Parámetros Proyección'!$G$12)+IF((T377/AI377&gt;'Parámetros Proyección'!$G$13),0,'Parámetros Proyección'!$G$13)+IF((Z377/AI377&gt;'Parámetros Proyección'!$G$14),0,'Parámetros Proyección'!$G$14)+IF((AF377/AI377&gt;'Parámetros Proyección'!$G$15),0,'Parámetros Proyección'!$G$15)))</f>
        <v/>
      </c>
      <c r="P377" s="35">
        <f>N377+O377</f>
        <v/>
      </c>
      <c r="Q377" s="35">
        <f>V376</f>
        <v/>
      </c>
      <c r="R377" s="35">
        <f>Q377*(1+'Parámetros Proyección'!$E$13)</f>
        <v/>
      </c>
      <c r="S377" s="35">
        <f>R377*'Parámetros Proyección'!$F$13</f>
        <v/>
      </c>
      <c r="T377" s="35">
        <f>R377+S377</f>
        <v/>
      </c>
      <c r="U377" s="35">
        <f>IF((T377/AI377&gt;'Parámetros Proyección'!$G$13),0,D377*'Parámetros Proyección'!$G$13/(IF((H377/AI377&gt;'Parámetros Proyección'!$G$11),0,'Parámetros Proyección'!$G$11)+IF((N377/AI377&gt;'Parámetros Proyección'!$G$12),0,'Parámetros Proyección'!$G$12)+IF((T377/AI377&gt;'Parámetros Proyección'!$G$13),0,'Parámetros Proyección'!$G$13)+IF((Z377/AI377&gt;'Parámetros Proyección'!$G$14),0,'Parámetros Proyección'!$G$14)+IF((AF377/AI377&gt;'Parámetros Proyección'!$G$15),0,'Parámetros Proyección'!$G$15)))</f>
        <v/>
      </c>
      <c r="V377" s="35">
        <f>T377+U377</f>
        <v/>
      </c>
      <c r="W377" s="35">
        <f>AB376</f>
        <v/>
      </c>
      <c r="X377" s="35">
        <f>W377*(1+'Parámetros Proyección'!$E$14)</f>
        <v/>
      </c>
      <c r="Y377" s="35">
        <f>X377*'Parámetros Proyección'!$F$14</f>
        <v/>
      </c>
      <c r="Z377" s="35">
        <f>X377+Y377</f>
        <v/>
      </c>
      <c r="AA377" s="35">
        <f>IF((Z377/AI377&gt;'Parámetros Proyección'!$G$14),0,D377*'Parámetros Proyección'!$G$14/(IF((H377/AI377&gt;'Parámetros Proyección'!$G$11),0,'Parámetros Proyección'!$G$11)+IF((N377/AI377&gt;'Parámetros Proyección'!$G$12),0,'Parámetros Proyección'!$G$12)+IF((T377/AI377&gt;'Parámetros Proyección'!$G$13),0,'Parámetros Proyección'!$G$13)+IF((Z377/AI377&gt;'Parámetros Proyección'!$G$14),0,'Parámetros Proyección'!$G$14)+IF((AF377/AI377&gt;'Parámetros Proyección'!$G$15),0,'Parámetros Proyección'!$G$15)))</f>
        <v/>
      </c>
      <c r="AB377" s="35">
        <f>Z377+AA377</f>
        <v/>
      </c>
      <c r="AC377" s="35">
        <f>AH376</f>
        <v/>
      </c>
      <c r="AD377" s="35">
        <f>AC377*(1+'Parámetros Proyección'!$E$15)</f>
        <v/>
      </c>
      <c r="AE377" s="35">
        <f>AD377*'Parámetros Proyección'!$F$15</f>
        <v/>
      </c>
      <c r="AF377" s="35">
        <f>AD377+AE377</f>
        <v/>
      </c>
      <c r="AG377" s="35">
        <f>IF((AF377/AI377&gt;'Parámetros Proyección'!$G$15),0,D377*'Parámetros Proyección'!$G$15/(IF((H377/AI377&gt;'Parámetros Proyección'!$G$11),0,'Parámetros Proyección'!$G$11)+IF((N377/AI377&gt;'Parámetros Proyección'!$G$12),0,'Parámetros Proyección'!$G$12)+IF((T377/AI377&gt;'Parámetros Proyección'!$G$13),0,'Parámetros Proyección'!$G$13)+IF((Z377/AI377&gt;'Parámetros Proyección'!$G$14),0,'Parámetros Proyección'!$G$14)+IF((AF377/AI377&gt;'Parámetros Proyección'!$G$15),0,'Parámetros Proyección'!$G$15)))</f>
        <v/>
      </c>
      <c r="AH377" s="35">
        <f>AF377+AG377</f>
        <v/>
      </c>
      <c r="AI377" s="35">
        <f>H377+N377+T377+Z377+AF377</f>
        <v/>
      </c>
      <c r="AJ377" s="33">
        <f>AF377/AI377</f>
        <v/>
      </c>
      <c r="AK377">
        <f>IF(AJ377&gt;'Parámetros Proyección'!$B$5,1,0)</f>
        <v/>
      </c>
      <c r="AL377" s="35">
        <f>G377+M377+S377+Y377+AE377</f>
        <v/>
      </c>
      <c r="AM377" s="35">
        <f>AM376+D377</f>
        <v/>
      </c>
      <c r="AN377" s="35">
        <f>AN376+AL377</f>
        <v/>
      </c>
      <c r="AO377" s="35">
        <f>J377+P377+V377+AB377+AH377</f>
        <v/>
      </c>
    </row>
    <row r="378">
      <c r="A378" t="n">
        <v>375</v>
      </c>
      <c r="B378" s="34">
        <f>EDATE(B377,1)</f>
        <v/>
      </c>
      <c r="C378">
        <f>YEAR(B378)</f>
        <v/>
      </c>
      <c r="D378" s="35">
        <f>'Parámetros Proyección'!$B$3*(1+'Parámetros Proyección'!$B$4)^(C378-YEAR('Parámetros Proyección'!$B$6))</f>
        <v/>
      </c>
      <c r="E378" s="35">
        <f>J377</f>
        <v/>
      </c>
      <c r="F378" s="35">
        <f>E378*(1+'Parámetros Proyección'!$E$11)</f>
        <v/>
      </c>
      <c r="G378" s="35">
        <f>F378*'Parámetros Proyección'!$F$11</f>
        <v/>
      </c>
      <c r="H378" s="35">
        <f>F378+G378</f>
        <v/>
      </c>
      <c r="I378" s="35">
        <f>IF((H378/AI378&gt;'Parámetros Proyección'!$G$11),0,D378*'Parámetros Proyección'!$G$11/(IF((H378/AI378&gt;'Parámetros Proyección'!$G$11),0,'Parámetros Proyección'!$G$11)+IF((N378/AI378&gt;'Parámetros Proyección'!$G$12),0,'Parámetros Proyección'!$G$12)+IF((T378/AI378&gt;'Parámetros Proyección'!$G$13),0,'Parámetros Proyección'!$G$13)+IF((Z378/AI378&gt;'Parámetros Proyección'!$G$14),0,'Parámetros Proyección'!$G$14)+IF((AF378/AI378&gt;'Parámetros Proyección'!$G$15),0,'Parámetros Proyección'!$G$15)))</f>
        <v/>
      </c>
      <c r="J378" s="35">
        <f>H378+I378</f>
        <v/>
      </c>
      <c r="K378" s="35">
        <f>P377</f>
        <v/>
      </c>
      <c r="L378" s="35">
        <f>K378*(1+'Parámetros Proyección'!$E$12)</f>
        <v/>
      </c>
      <c r="M378" s="35">
        <f>L378*'Parámetros Proyección'!$F$12</f>
        <v/>
      </c>
      <c r="N378" s="35">
        <f>L378+M378</f>
        <v/>
      </c>
      <c r="O378" s="35">
        <f>IF((N378/AI378&gt;'Parámetros Proyección'!$G$12),0,D378*'Parámetros Proyección'!$G$12/(IF((H378/AI378&gt;'Parámetros Proyección'!$G$11),0,'Parámetros Proyección'!$G$11)+IF((N378/AI378&gt;'Parámetros Proyección'!$G$12),0,'Parámetros Proyección'!$G$12)+IF((T378/AI378&gt;'Parámetros Proyección'!$G$13),0,'Parámetros Proyección'!$G$13)+IF((Z378/AI378&gt;'Parámetros Proyección'!$G$14),0,'Parámetros Proyección'!$G$14)+IF((AF378/AI378&gt;'Parámetros Proyección'!$G$15),0,'Parámetros Proyección'!$G$15)))</f>
        <v/>
      </c>
      <c r="P378" s="35">
        <f>N378+O378</f>
        <v/>
      </c>
      <c r="Q378" s="35">
        <f>V377</f>
        <v/>
      </c>
      <c r="R378" s="35">
        <f>Q378*(1+'Parámetros Proyección'!$E$13)</f>
        <v/>
      </c>
      <c r="S378" s="35">
        <f>R378*'Parámetros Proyección'!$F$13</f>
        <v/>
      </c>
      <c r="T378" s="35">
        <f>R378+S378</f>
        <v/>
      </c>
      <c r="U378" s="35">
        <f>IF((T378/AI378&gt;'Parámetros Proyección'!$G$13),0,D378*'Parámetros Proyección'!$G$13/(IF((H378/AI378&gt;'Parámetros Proyección'!$G$11),0,'Parámetros Proyección'!$G$11)+IF((N378/AI378&gt;'Parámetros Proyección'!$G$12),0,'Parámetros Proyección'!$G$12)+IF((T378/AI378&gt;'Parámetros Proyección'!$G$13),0,'Parámetros Proyección'!$G$13)+IF((Z378/AI378&gt;'Parámetros Proyección'!$G$14),0,'Parámetros Proyección'!$G$14)+IF((AF378/AI378&gt;'Parámetros Proyección'!$G$15),0,'Parámetros Proyección'!$G$15)))</f>
        <v/>
      </c>
      <c r="V378" s="35">
        <f>T378+U378</f>
        <v/>
      </c>
      <c r="W378" s="35">
        <f>AB377</f>
        <v/>
      </c>
      <c r="X378" s="35">
        <f>W378*(1+'Parámetros Proyección'!$E$14)</f>
        <v/>
      </c>
      <c r="Y378" s="35">
        <f>X378*'Parámetros Proyección'!$F$14</f>
        <v/>
      </c>
      <c r="Z378" s="35">
        <f>X378+Y378</f>
        <v/>
      </c>
      <c r="AA378" s="35">
        <f>IF((Z378/AI378&gt;'Parámetros Proyección'!$G$14),0,D378*'Parámetros Proyección'!$G$14/(IF((H378/AI378&gt;'Parámetros Proyección'!$G$11),0,'Parámetros Proyección'!$G$11)+IF((N378/AI378&gt;'Parámetros Proyección'!$G$12),0,'Parámetros Proyección'!$G$12)+IF((T378/AI378&gt;'Parámetros Proyección'!$G$13),0,'Parámetros Proyección'!$G$13)+IF((Z378/AI378&gt;'Parámetros Proyección'!$G$14),0,'Parámetros Proyección'!$G$14)+IF((AF378/AI378&gt;'Parámetros Proyección'!$G$15),0,'Parámetros Proyección'!$G$15)))</f>
        <v/>
      </c>
      <c r="AB378" s="35">
        <f>Z378+AA378</f>
        <v/>
      </c>
      <c r="AC378" s="35">
        <f>AH377</f>
        <v/>
      </c>
      <c r="AD378" s="35">
        <f>AC378*(1+'Parámetros Proyección'!$E$15)</f>
        <v/>
      </c>
      <c r="AE378" s="35">
        <f>AD378*'Parámetros Proyección'!$F$15</f>
        <v/>
      </c>
      <c r="AF378" s="35">
        <f>AD378+AE378</f>
        <v/>
      </c>
      <c r="AG378" s="35">
        <f>IF((AF378/AI378&gt;'Parámetros Proyección'!$G$15),0,D378*'Parámetros Proyección'!$G$15/(IF((H378/AI378&gt;'Parámetros Proyección'!$G$11),0,'Parámetros Proyección'!$G$11)+IF((N378/AI378&gt;'Parámetros Proyección'!$G$12),0,'Parámetros Proyección'!$G$12)+IF((T378/AI378&gt;'Parámetros Proyección'!$G$13),0,'Parámetros Proyección'!$G$13)+IF((Z378/AI378&gt;'Parámetros Proyección'!$G$14),0,'Parámetros Proyección'!$G$14)+IF((AF378/AI378&gt;'Parámetros Proyección'!$G$15),0,'Parámetros Proyección'!$G$15)))</f>
        <v/>
      </c>
      <c r="AH378" s="35">
        <f>AF378+AG378</f>
        <v/>
      </c>
      <c r="AI378" s="35">
        <f>H378+N378+T378+Z378+AF378</f>
        <v/>
      </c>
      <c r="AJ378" s="33">
        <f>AF378/AI378</f>
        <v/>
      </c>
      <c r="AK378">
        <f>IF(AJ378&gt;'Parámetros Proyección'!$B$5,1,0)</f>
        <v/>
      </c>
      <c r="AL378" s="35">
        <f>G378+M378+S378+Y378+AE378</f>
        <v/>
      </c>
      <c r="AM378" s="35">
        <f>AM377+D378</f>
        <v/>
      </c>
      <c r="AN378" s="35">
        <f>AN377+AL378</f>
        <v/>
      </c>
      <c r="AO378" s="35">
        <f>J378+P378+V378+AB378+AH378</f>
        <v/>
      </c>
    </row>
    <row r="379">
      <c r="A379" t="n">
        <v>376</v>
      </c>
      <c r="B379" s="34">
        <f>EDATE(B378,1)</f>
        <v/>
      </c>
      <c r="C379">
        <f>YEAR(B379)</f>
        <v/>
      </c>
      <c r="D379" s="35">
        <f>'Parámetros Proyección'!$B$3*(1+'Parámetros Proyección'!$B$4)^(C379-YEAR('Parámetros Proyección'!$B$6))</f>
        <v/>
      </c>
      <c r="E379" s="35">
        <f>J378</f>
        <v/>
      </c>
      <c r="F379" s="35">
        <f>E379*(1+'Parámetros Proyección'!$E$11)</f>
        <v/>
      </c>
      <c r="G379" s="35">
        <f>F379*'Parámetros Proyección'!$F$11</f>
        <v/>
      </c>
      <c r="H379" s="35">
        <f>F379+G379</f>
        <v/>
      </c>
      <c r="I379" s="35">
        <f>IF((H379/AI379&gt;'Parámetros Proyección'!$G$11),0,D379*'Parámetros Proyección'!$G$11/(IF((H379/AI379&gt;'Parámetros Proyección'!$G$11),0,'Parámetros Proyección'!$G$11)+IF((N379/AI379&gt;'Parámetros Proyección'!$G$12),0,'Parámetros Proyección'!$G$12)+IF((T379/AI379&gt;'Parámetros Proyección'!$G$13),0,'Parámetros Proyección'!$G$13)+IF((Z379/AI379&gt;'Parámetros Proyección'!$G$14),0,'Parámetros Proyección'!$G$14)+IF((AF379/AI379&gt;'Parámetros Proyección'!$G$15),0,'Parámetros Proyección'!$G$15)))</f>
        <v/>
      </c>
      <c r="J379" s="35">
        <f>H379+I379</f>
        <v/>
      </c>
      <c r="K379" s="35">
        <f>P378</f>
        <v/>
      </c>
      <c r="L379" s="35">
        <f>K379*(1+'Parámetros Proyección'!$E$12)</f>
        <v/>
      </c>
      <c r="M379" s="35">
        <f>L379*'Parámetros Proyección'!$F$12</f>
        <v/>
      </c>
      <c r="N379" s="35">
        <f>L379+M379</f>
        <v/>
      </c>
      <c r="O379" s="35">
        <f>IF((N379/AI379&gt;'Parámetros Proyección'!$G$12),0,D379*'Parámetros Proyección'!$G$12/(IF((H379/AI379&gt;'Parámetros Proyección'!$G$11),0,'Parámetros Proyección'!$G$11)+IF((N379/AI379&gt;'Parámetros Proyección'!$G$12),0,'Parámetros Proyección'!$G$12)+IF((T379/AI379&gt;'Parámetros Proyección'!$G$13),0,'Parámetros Proyección'!$G$13)+IF((Z379/AI379&gt;'Parámetros Proyección'!$G$14),0,'Parámetros Proyección'!$G$14)+IF((AF379/AI379&gt;'Parámetros Proyección'!$G$15),0,'Parámetros Proyección'!$G$15)))</f>
        <v/>
      </c>
      <c r="P379" s="35">
        <f>N379+O379</f>
        <v/>
      </c>
      <c r="Q379" s="35">
        <f>V378</f>
        <v/>
      </c>
      <c r="R379" s="35">
        <f>Q379*(1+'Parámetros Proyección'!$E$13)</f>
        <v/>
      </c>
      <c r="S379" s="35">
        <f>R379*'Parámetros Proyección'!$F$13</f>
        <v/>
      </c>
      <c r="T379" s="35">
        <f>R379+S379</f>
        <v/>
      </c>
      <c r="U379" s="35">
        <f>IF((T379/AI379&gt;'Parámetros Proyección'!$G$13),0,D379*'Parámetros Proyección'!$G$13/(IF((H379/AI379&gt;'Parámetros Proyección'!$G$11),0,'Parámetros Proyección'!$G$11)+IF((N379/AI379&gt;'Parámetros Proyección'!$G$12),0,'Parámetros Proyección'!$G$12)+IF((T379/AI379&gt;'Parámetros Proyección'!$G$13),0,'Parámetros Proyección'!$G$13)+IF((Z379/AI379&gt;'Parámetros Proyección'!$G$14),0,'Parámetros Proyección'!$G$14)+IF((AF379/AI379&gt;'Parámetros Proyección'!$G$15),0,'Parámetros Proyección'!$G$15)))</f>
        <v/>
      </c>
      <c r="V379" s="35">
        <f>T379+U379</f>
        <v/>
      </c>
      <c r="W379" s="35">
        <f>AB378</f>
        <v/>
      </c>
      <c r="X379" s="35">
        <f>W379*(1+'Parámetros Proyección'!$E$14)</f>
        <v/>
      </c>
      <c r="Y379" s="35">
        <f>X379*'Parámetros Proyección'!$F$14</f>
        <v/>
      </c>
      <c r="Z379" s="35">
        <f>X379+Y379</f>
        <v/>
      </c>
      <c r="AA379" s="35">
        <f>IF((Z379/AI379&gt;'Parámetros Proyección'!$G$14),0,D379*'Parámetros Proyección'!$G$14/(IF((H379/AI379&gt;'Parámetros Proyección'!$G$11),0,'Parámetros Proyección'!$G$11)+IF((N379/AI379&gt;'Parámetros Proyección'!$G$12),0,'Parámetros Proyección'!$G$12)+IF((T379/AI379&gt;'Parámetros Proyección'!$G$13),0,'Parámetros Proyección'!$G$13)+IF((Z379/AI379&gt;'Parámetros Proyección'!$G$14),0,'Parámetros Proyección'!$G$14)+IF((AF379/AI379&gt;'Parámetros Proyección'!$G$15),0,'Parámetros Proyección'!$G$15)))</f>
        <v/>
      </c>
      <c r="AB379" s="35">
        <f>Z379+AA379</f>
        <v/>
      </c>
      <c r="AC379" s="35">
        <f>AH378</f>
        <v/>
      </c>
      <c r="AD379" s="35">
        <f>AC379*(1+'Parámetros Proyección'!$E$15)</f>
        <v/>
      </c>
      <c r="AE379" s="35">
        <f>AD379*'Parámetros Proyección'!$F$15</f>
        <v/>
      </c>
      <c r="AF379" s="35">
        <f>AD379+AE379</f>
        <v/>
      </c>
      <c r="AG379" s="35">
        <f>IF((AF379/AI379&gt;'Parámetros Proyección'!$G$15),0,D379*'Parámetros Proyección'!$G$15/(IF((H379/AI379&gt;'Parámetros Proyección'!$G$11),0,'Parámetros Proyección'!$G$11)+IF((N379/AI379&gt;'Parámetros Proyección'!$G$12),0,'Parámetros Proyección'!$G$12)+IF((T379/AI379&gt;'Parámetros Proyección'!$G$13),0,'Parámetros Proyección'!$G$13)+IF((Z379/AI379&gt;'Parámetros Proyección'!$G$14),0,'Parámetros Proyección'!$G$14)+IF((AF379/AI379&gt;'Parámetros Proyección'!$G$15),0,'Parámetros Proyección'!$G$15)))</f>
        <v/>
      </c>
      <c r="AH379" s="35">
        <f>AF379+AG379</f>
        <v/>
      </c>
      <c r="AI379" s="35">
        <f>H379+N379+T379+Z379+AF379</f>
        <v/>
      </c>
      <c r="AJ379" s="33">
        <f>AF379/AI379</f>
        <v/>
      </c>
      <c r="AK379">
        <f>IF(AJ379&gt;'Parámetros Proyección'!$B$5,1,0)</f>
        <v/>
      </c>
      <c r="AL379" s="35">
        <f>G379+M379+S379+Y379+AE379</f>
        <v/>
      </c>
      <c r="AM379" s="35">
        <f>AM378+D379</f>
        <v/>
      </c>
      <c r="AN379" s="35">
        <f>AN378+AL379</f>
        <v/>
      </c>
      <c r="AO379" s="35">
        <f>J379+P379+V379+AB379+AH379</f>
        <v/>
      </c>
    </row>
    <row r="380">
      <c r="A380" t="n">
        <v>377</v>
      </c>
      <c r="B380" s="34">
        <f>EDATE(B379,1)</f>
        <v/>
      </c>
      <c r="C380">
        <f>YEAR(B380)</f>
        <v/>
      </c>
      <c r="D380" s="35">
        <f>'Parámetros Proyección'!$B$3*(1+'Parámetros Proyección'!$B$4)^(C380-YEAR('Parámetros Proyección'!$B$6))</f>
        <v/>
      </c>
      <c r="E380" s="35">
        <f>J379</f>
        <v/>
      </c>
      <c r="F380" s="35">
        <f>E380*(1+'Parámetros Proyección'!$E$11)</f>
        <v/>
      </c>
      <c r="G380" s="35">
        <f>F380*'Parámetros Proyección'!$F$11</f>
        <v/>
      </c>
      <c r="H380" s="35">
        <f>F380+G380</f>
        <v/>
      </c>
      <c r="I380" s="35">
        <f>IF((H380/AI380&gt;'Parámetros Proyección'!$G$11),0,D380*'Parámetros Proyección'!$G$11/(IF((H380/AI380&gt;'Parámetros Proyección'!$G$11),0,'Parámetros Proyección'!$G$11)+IF((N380/AI380&gt;'Parámetros Proyección'!$G$12),0,'Parámetros Proyección'!$G$12)+IF((T380/AI380&gt;'Parámetros Proyección'!$G$13),0,'Parámetros Proyección'!$G$13)+IF((Z380/AI380&gt;'Parámetros Proyección'!$G$14),0,'Parámetros Proyección'!$G$14)+IF((AF380/AI380&gt;'Parámetros Proyección'!$G$15),0,'Parámetros Proyección'!$G$15)))</f>
        <v/>
      </c>
      <c r="J380" s="35">
        <f>H380+I380</f>
        <v/>
      </c>
      <c r="K380" s="35">
        <f>P379</f>
        <v/>
      </c>
      <c r="L380" s="35">
        <f>K380*(1+'Parámetros Proyección'!$E$12)</f>
        <v/>
      </c>
      <c r="M380" s="35">
        <f>L380*'Parámetros Proyección'!$F$12</f>
        <v/>
      </c>
      <c r="N380" s="35">
        <f>L380+M380</f>
        <v/>
      </c>
      <c r="O380" s="35">
        <f>IF((N380/AI380&gt;'Parámetros Proyección'!$G$12),0,D380*'Parámetros Proyección'!$G$12/(IF((H380/AI380&gt;'Parámetros Proyección'!$G$11),0,'Parámetros Proyección'!$G$11)+IF((N380/AI380&gt;'Parámetros Proyección'!$G$12),0,'Parámetros Proyección'!$G$12)+IF((T380/AI380&gt;'Parámetros Proyección'!$G$13),0,'Parámetros Proyección'!$G$13)+IF((Z380/AI380&gt;'Parámetros Proyección'!$G$14),0,'Parámetros Proyección'!$G$14)+IF((AF380/AI380&gt;'Parámetros Proyección'!$G$15),0,'Parámetros Proyección'!$G$15)))</f>
        <v/>
      </c>
      <c r="P380" s="35">
        <f>N380+O380</f>
        <v/>
      </c>
      <c r="Q380" s="35">
        <f>V379</f>
        <v/>
      </c>
      <c r="R380" s="35">
        <f>Q380*(1+'Parámetros Proyección'!$E$13)</f>
        <v/>
      </c>
      <c r="S380" s="35">
        <f>R380*'Parámetros Proyección'!$F$13</f>
        <v/>
      </c>
      <c r="T380" s="35">
        <f>R380+S380</f>
        <v/>
      </c>
      <c r="U380" s="35">
        <f>IF((T380/AI380&gt;'Parámetros Proyección'!$G$13),0,D380*'Parámetros Proyección'!$G$13/(IF((H380/AI380&gt;'Parámetros Proyección'!$G$11),0,'Parámetros Proyección'!$G$11)+IF((N380/AI380&gt;'Parámetros Proyección'!$G$12),0,'Parámetros Proyección'!$G$12)+IF((T380/AI380&gt;'Parámetros Proyección'!$G$13),0,'Parámetros Proyección'!$G$13)+IF((Z380/AI380&gt;'Parámetros Proyección'!$G$14),0,'Parámetros Proyección'!$G$14)+IF((AF380/AI380&gt;'Parámetros Proyección'!$G$15),0,'Parámetros Proyección'!$G$15)))</f>
        <v/>
      </c>
      <c r="V380" s="35">
        <f>T380+U380</f>
        <v/>
      </c>
      <c r="W380" s="35">
        <f>AB379</f>
        <v/>
      </c>
      <c r="X380" s="35">
        <f>W380*(1+'Parámetros Proyección'!$E$14)</f>
        <v/>
      </c>
      <c r="Y380" s="35">
        <f>X380*'Parámetros Proyección'!$F$14</f>
        <v/>
      </c>
      <c r="Z380" s="35">
        <f>X380+Y380</f>
        <v/>
      </c>
      <c r="AA380" s="35">
        <f>IF((Z380/AI380&gt;'Parámetros Proyección'!$G$14),0,D380*'Parámetros Proyección'!$G$14/(IF((H380/AI380&gt;'Parámetros Proyección'!$G$11),0,'Parámetros Proyección'!$G$11)+IF((N380/AI380&gt;'Parámetros Proyección'!$G$12),0,'Parámetros Proyección'!$G$12)+IF((T380/AI380&gt;'Parámetros Proyección'!$G$13),0,'Parámetros Proyección'!$G$13)+IF((Z380/AI380&gt;'Parámetros Proyección'!$G$14),0,'Parámetros Proyección'!$G$14)+IF((AF380/AI380&gt;'Parámetros Proyección'!$G$15),0,'Parámetros Proyección'!$G$15)))</f>
        <v/>
      </c>
      <c r="AB380" s="35">
        <f>Z380+AA380</f>
        <v/>
      </c>
      <c r="AC380" s="35">
        <f>AH379</f>
        <v/>
      </c>
      <c r="AD380" s="35">
        <f>AC380*(1+'Parámetros Proyección'!$E$15)</f>
        <v/>
      </c>
      <c r="AE380" s="35">
        <f>AD380*'Parámetros Proyección'!$F$15</f>
        <v/>
      </c>
      <c r="AF380" s="35">
        <f>AD380+AE380</f>
        <v/>
      </c>
      <c r="AG380" s="35">
        <f>IF((AF380/AI380&gt;'Parámetros Proyección'!$G$15),0,D380*'Parámetros Proyección'!$G$15/(IF((H380/AI380&gt;'Parámetros Proyección'!$G$11),0,'Parámetros Proyección'!$G$11)+IF((N380/AI380&gt;'Parámetros Proyección'!$G$12),0,'Parámetros Proyección'!$G$12)+IF((T380/AI380&gt;'Parámetros Proyección'!$G$13),0,'Parámetros Proyección'!$G$13)+IF((Z380/AI380&gt;'Parámetros Proyección'!$G$14),0,'Parámetros Proyección'!$G$14)+IF((AF380/AI380&gt;'Parámetros Proyección'!$G$15),0,'Parámetros Proyección'!$G$15)))</f>
        <v/>
      </c>
      <c r="AH380" s="35">
        <f>AF380+AG380</f>
        <v/>
      </c>
      <c r="AI380" s="35">
        <f>H380+N380+T380+Z380+AF380</f>
        <v/>
      </c>
      <c r="AJ380" s="33">
        <f>AF380/AI380</f>
        <v/>
      </c>
      <c r="AK380">
        <f>IF(AJ380&gt;'Parámetros Proyección'!$B$5,1,0)</f>
        <v/>
      </c>
      <c r="AL380" s="35">
        <f>G380+M380+S380+Y380+AE380</f>
        <v/>
      </c>
      <c r="AM380" s="35">
        <f>AM379+D380</f>
        <v/>
      </c>
      <c r="AN380" s="35">
        <f>AN379+AL380</f>
        <v/>
      </c>
      <c r="AO380" s="35">
        <f>J380+P380+V380+AB380+AH380</f>
        <v/>
      </c>
    </row>
    <row r="381">
      <c r="A381" t="n">
        <v>378</v>
      </c>
      <c r="B381" s="34">
        <f>EDATE(B380,1)</f>
        <v/>
      </c>
      <c r="C381">
        <f>YEAR(B381)</f>
        <v/>
      </c>
      <c r="D381" s="35">
        <f>'Parámetros Proyección'!$B$3*(1+'Parámetros Proyección'!$B$4)^(C381-YEAR('Parámetros Proyección'!$B$6))</f>
        <v/>
      </c>
      <c r="E381" s="35">
        <f>J380</f>
        <v/>
      </c>
      <c r="F381" s="35">
        <f>E381*(1+'Parámetros Proyección'!$E$11)</f>
        <v/>
      </c>
      <c r="G381" s="35">
        <f>F381*'Parámetros Proyección'!$F$11</f>
        <v/>
      </c>
      <c r="H381" s="35">
        <f>F381+G381</f>
        <v/>
      </c>
      <c r="I381" s="35">
        <f>IF((H381/AI381&gt;'Parámetros Proyección'!$G$11),0,D381*'Parámetros Proyección'!$G$11/(IF((H381/AI381&gt;'Parámetros Proyección'!$G$11),0,'Parámetros Proyección'!$G$11)+IF((N381/AI381&gt;'Parámetros Proyección'!$G$12),0,'Parámetros Proyección'!$G$12)+IF((T381/AI381&gt;'Parámetros Proyección'!$G$13),0,'Parámetros Proyección'!$G$13)+IF((Z381/AI381&gt;'Parámetros Proyección'!$G$14),0,'Parámetros Proyección'!$G$14)+IF((AF381/AI381&gt;'Parámetros Proyección'!$G$15),0,'Parámetros Proyección'!$G$15)))</f>
        <v/>
      </c>
      <c r="J381" s="35">
        <f>H381+I381</f>
        <v/>
      </c>
      <c r="K381" s="35">
        <f>P380</f>
        <v/>
      </c>
      <c r="L381" s="35">
        <f>K381*(1+'Parámetros Proyección'!$E$12)</f>
        <v/>
      </c>
      <c r="M381" s="35">
        <f>L381*'Parámetros Proyección'!$F$12</f>
        <v/>
      </c>
      <c r="N381" s="35">
        <f>L381+M381</f>
        <v/>
      </c>
      <c r="O381" s="35">
        <f>IF((N381/AI381&gt;'Parámetros Proyección'!$G$12),0,D381*'Parámetros Proyección'!$G$12/(IF((H381/AI381&gt;'Parámetros Proyección'!$G$11),0,'Parámetros Proyección'!$G$11)+IF((N381/AI381&gt;'Parámetros Proyección'!$G$12),0,'Parámetros Proyección'!$G$12)+IF((T381/AI381&gt;'Parámetros Proyección'!$G$13),0,'Parámetros Proyección'!$G$13)+IF((Z381/AI381&gt;'Parámetros Proyección'!$G$14),0,'Parámetros Proyección'!$G$14)+IF((AF381/AI381&gt;'Parámetros Proyección'!$G$15),0,'Parámetros Proyección'!$G$15)))</f>
        <v/>
      </c>
      <c r="P381" s="35">
        <f>N381+O381</f>
        <v/>
      </c>
      <c r="Q381" s="35">
        <f>V380</f>
        <v/>
      </c>
      <c r="R381" s="35">
        <f>Q381*(1+'Parámetros Proyección'!$E$13)</f>
        <v/>
      </c>
      <c r="S381" s="35">
        <f>R381*'Parámetros Proyección'!$F$13</f>
        <v/>
      </c>
      <c r="T381" s="35">
        <f>R381+S381</f>
        <v/>
      </c>
      <c r="U381" s="35">
        <f>IF((T381/AI381&gt;'Parámetros Proyección'!$G$13),0,D381*'Parámetros Proyección'!$G$13/(IF((H381/AI381&gt;'Parámetros Proyección'!$G$11),0,'Parámetros Proyección'!$G$11)+IF((N381/AI381&gt;'Parámetros Proyección'!$G$12),0,'Parámetros Proyección'!$G$12)+IF((T381/AI381&gt;'Parámetros Proyección'!$G$13),0,'Parámetros Proyección'!$G$13)+IF((Z381/AI381&gt;'Parámetros Proyección'!$G$14),0,'Parámetros Proyección'!$G$14)+IF((AF381/AI381&gt;'Parámetros Proyección'!$G$15),0,'Parámetros Proyección'!$G$15)))</f>
        <v/>
      </c>
      <c r="V381" s="35">
        <f>T381+U381</f>
        <v/>
      </c>
      <c r="W381" s="35">
        <f>AB380</f>
        <v/>
      </c>
      <c r="X381" s="35">
        <f>W381*(1+'Parámetros Proyección'!$E$14)</f>
        <v/>
      </c>
      <c r="Y381" s="35">
        <f>X381*'Parámetros Proyección'!$F$14</f>
        <v/>
      </c>
      <c r="Z381" s="35">
        <f>X381+Y381</f>
        <v/>
      </c>
      <c r="AA381" s="35">
        <f>IF((Z381/AI381&gt;'Parámetros Proyección'!$G$14),0,D381*'Parámetros Proyección'!$G$14/(IF((H381/AI381&gt;'Parámetros Proyección'!$G$11),0,'Parámetros Proyección'!$G$11)+IF((N381/AI381&gt;'Parámetros Proyección'!$G$12),0,'Parámetros Proyección'!$G$12)+IF((T381/AI381&gt;'Parámetros Proyección'!$G$13),0,'Parámetros Proyección'!$G$13)+IF((Z381/AI381&gt;'Parámetros Proyección'!$G$14),0,'Parámetros Proyección'!$G$14)+IF((AF381/AI381&gt;'Parámetros Proyección'!$G$15),0,'Parámetros Proyección'!$G$15)))</f>
        <v/>
      </c>
      <c r="AB381" s="35">
        <f>Z381+AA381</f>
        <v/>
      </c>
      <c r="AC381" s="35">
        <f>AH380</f>
        <v/>
      </c>
      <c r="AD381" s="35">
        <f>AC381*(1+'Parámetros Proyección'!$E$15)</f>
        <v/>
      </c>
      <c r="AE381" s="35">
        <f>AD381*'Parámetros Proyección'!$F$15</f>
        <v/>
      </c>
      <c r="AF381" s="35">
        <f>AD381+AE381</f>
        <v/>
      </c>
      <c r="AG381" s="35">
        <f>IF((AF381/AI381&gt;'Parámetros Proyección'!$G$15),0,D381*'Parámetros Proyección'!$G$15/(IF((H381/AI381&gt;'Parámetros Proyección'!$G$11),0,'Parámetros Proyección'!$G$11)+IF((N381/AI381&gt;'Parámetros Proyección'!$G$12),0,'Parámetros Proyección'!$G$12)+IF((T381/AI381&gt;'Parámetros Proyección'!$G$13),0,'Parámetros Proyección'!$G$13)+IF((Z381/AI381&gt;'Parámetros Proyección'!$G$14),0,'Parámetros Proyección'!$G$14)+IF((AF381/AI381&gt;'Parámetros Proyección'!$G$15),0,'Parámetros Proyección'!$G$15)))</f>
        <v/>
      </c>
      <c r="AH381" s="35">
        <f>AF381+AG381</f>
        <v/>
      </c>
      <c r="AI381" s="35">
        <f>H381+N381+T381+Z381+AF381</f>
        <v/>
      </c>
      <c r="AJ381" s="33">
        <f>AF381/AI381</f>
        <v/>
      </c>
      <c r="AK381">
        <f>IF(AJ381&gt;'Parámetros Proyección'!$B$5,1,0)</f>
        <v/>
      </c>
      <c r="AL381" s="35">
        <f>G381+M381+S381+Y381+AE381</f>
        <v/>
      </c>
      <c r="AM381" s="35">
        <f>AM380+D381</f>
        <v/>
      </c>
      <c r="AN381" s="35">
        <f>AN380+AL381</f>
        <v/>
      </c>
      <c r="AO381" s="35">
        <f>J381+P381+V381+AB381+AH381</f>
        <v/>
      </c>
    </row>
    <row r="382">
      <c r="A382" t="n">
        <v>379</v>
      </c>
      <c r="B382" s="34">
        <f>EDATE(B381,1)</f>
        <v/>
      </c>
      <c r="C382">
        <f>YEAR(B382)</f>
        <v/>
      </c>
      <c r="D382" s="35">
        <f>'Parámetros Proyección'!$B$3*(1+'Parámetros Proyección'!$B$4)^(C382-YEAR('Parámetros Proyección'!$B$6))</f>
        <v/>
      </c>
      <c r="E382" s="35">
        <f>J381</f>
        <v/>
      </c>
      <c r="F382" s="35">
        <f>E382*(1+'Parámetros Proyección'!$E$11)</f>
        <v/>
      </c>
      <c r="G382" s="35">
        <f>F382*'Parámetros Proyección'!$F$11</f>
        <v/>
      </c>
      <c r="H382" s="35">
        <f>F382+G382</f>
        <v/>
      </c>
      <c r="I382" s="35">
        <f>IF((H382/AI382&gt;'Parámetros Proyección'!$G$11),0,D382*'Parámetros Proyección'!$G$11/(IF((H382/AI382&gt;'Parámetros Proyección'!$G$11),0,'Parámetros Proyección'!$G$11)+IF((N382/AI382&gt;'Parámetros Proyección'!$G$12),0,'Parámetros Proyección'!$G$12)+IF((T382/AI382&gt;'Parámetros Proyección'!$G$13),0,'Parámetros Proyección'!$G$13)+IF((Z382/AI382&gt;'Parámetros Proyección'!$G$14),0,'Parámetros Proyección'!$G$14)+IF((AF382/AI382&gt;'Parámetros Proyección'!$G$15),0,'Parámetros Proyección'!$G$15)))</f>
        <v/>
      </c>
      <c r="J382" s="35">
        <f>H382+I382</f>
        <v/>
      </c>
      <c r="K382" s="35">
        <f>P381</f>
        <v/>
      </c>
      <c r="L382" s="35">
        <f>K382*(1+'Parámetros Proyección'!$E$12)</f>
        <v/>
      </c>
      <c r="M382" s="35">
        <f>L382*'Parámetros Proyección'!$F$12</f>
        <v/>
      </c>
      <c r="N382" s="35">
        <f>L382+M382</f>
        <v/>
      </c>
      <c r="O382" s="35">
        <f>IF((N382/AI382&gt;'Parámetros Proyección'!$G$12),0,D382*'Parámetros Proyección'!$G$12/(IF((H382/AI382&gt;'Parámetros Proyección'!$G$11),0,'Parámetros Proyección'!$G$11)+IF((N382/AI382&gt;'Parámetros Proyección'!$G$12),0,'Parámetros Proyección'!$G$12)+IF((T382/AI382&gt;'Parámetros Proyección'!$G$13),0,'Parámetros Proyección'!$G$13)+IF((Z382/AI382&gt;'Parámetros Proyección'!$G$14),0,'Parámetros Proyección'!$G$14)+IF((AF382/AI382&gt;'Parámetros Proyección'!$G$15),0,'Parámetros Proyección'!$G$15)))</f>
        <v/>
      </c>
      <c r="P382" s="35">
        <f>N382+O382</f>
        <v/>
      </c>
      <c r="Q382" s="35">
        <f>V381</f>
        <v/>
      </c>
      <c r="R382" s="35">
        <f>Q382*(1+'Parámetros Proyección'!$E$13)</f>
        <v/>
      </c>
      <c r="S382" s="35">
        <f>R382*'Parámetros Proyección'!$F$13</f>
        <v/>
      </c>
      <c r="T382" s="35">
        <f>R382+S382</f>
        <v/>
      </c>
      <c r="U382" s="35">
        <f>IF((T382/AI382&gt;'Parámetros Proyección'!$G$13),0,D382*'Parámetros Proyección'!$G$13/(IF((H382/AI382&gt;'Parámetros Proyección'!$G$11),0,'Parámetros Proyección'!$G$11)+IF((N382/AI382&gt;'Parámetros Proyección'!$G$12),0,'Parámetros Proyección'!$G$12)+IF((T382/AI382&gt;'Parámetros Proyección'!$G$13),0,'Parámetros Proyección'!$G$13)+IF((Z382/AI382&gt;'Parámetros Proyección'!$G$14),0,'Parámetros Proyección'!$G$14)+IF((AF382/AI382&gt;'Parámetros Proyección'!$G$15),0,'Parámetros Proyección'!$G$15)))</f>
        <v/>
      </c>
      <c r="V382" s="35">
        <f>T382+U382</f>
        <v/>
      </c>
      <c r="W382" s="35">
        <f>AB381</f>
        <v/>
      </c>
      <c r="X382" s="35">
        <f>W382*(1+'Parámetros Proyección'!$E$14)</f>
        <v/>
      </c>
      <c r="Y382" s="35">
        <f>X382*'Parámetros Proyección'!$F$14</f>
        <v/>
      </c>
      <c r="Z382" s="35">
        <f>X382+Y382</f>
        <v/>
      </c>
      <c r="AA382" s="35">
        <f>IF((Z382/AI382&gt;'Parámetros Proyección'!$G$14),0,D382*'Parámetros Proyección'!$G$14/(IF((H382/AI382&gt;'Parámetros Proyección'!$G$11),0,'Parámetros Proyección'!$G$11)+IF((N382/AI382&gt;'Parámetros Proyección'!$G$12),0,'Parámetros Proyección'!$G$12)+IF((T382/AI382&gt;'Parámetros Proyección'!$G$13),0,'Parámetros Proyección'!$G$13)+IF((Z382/AI382&gt;'Parámetros Proyección'!$G$14),0,'Parámetros Proyección'!$G$14)+IF((AF382/AI382&gt;'Parámetros Proyección'!$G$15),0,'Parámetros Proyección'!$G$15)))</f>
        <v/>
      </c>
      <c r="AB382" s="35">
        <f>Z382+AA382</f>
        <v/>
      </c>
      <c r="AC382" s="35">
        <f>AH381</f>
        <v/>
      </c>
      <c r="AD382" s="35">
        <f>AC382*(1+'Parámetros Proyección'!$E$15)</f>
        <v/>
      </c>
      <c r="AE382" s="35">
        <f>AD382*'Parámetros Proyección'!$F$15</f>
        <v/>
      </c>
      <c r="AF382" s="35">
        <f>AD382+AE382</f>
        <v/>
      </c>
      <c r="AG382" s="35">
        <f>IF((AF382/AI382&gt;'Parámetros Proyección'!$G$15),0,D382*'Parámetros Proyección'!$G$15/(IF((H382/AI382&gt;'Parámetros Proyección'!$G$11),0,'Parámetros Proyección'!$G$11)+IF((N382/AI382&gt;'Parámetros Proyección'!$G$12),0,'Parámetros Proyección'!$G$12)+IF((T382/AI382&gt;'Parámetros Proyección'!$G$13),0,'Parámetros Proyección'!$G$13)+IF((Z382/AI382&gt;'Parámetros Proyección'!$G$14),0,'Parámetros Proyección'!$G$14)+IF((AF382/AI382&gt;'Parámetros Proyección'!$G$15),0,'Parámetros Proyección'!$G$15)))</f>
        <v/>
      </c>
      <c r="AH382" s="35">
        <f>AF382+AG382</f>
        <v/>
      </c>
      <c r="AI382" s="35">
        <f>H382+N382+T382+Z382+AF382</f>
        <v/>
      </c>
      <c r="AJ382" s="33">
        <f>AF382/AI382</f>
        <v/>
      </c>
      <c r="AK382">
        <f>IF(AJ382&gt;'Parámetros Proyección'!$B$5,1,0)</f>
        <v/>
      </c>
      <c r="AL382" s="35">
        <f>G382+M382+S382+Y382+AE382</f>
        <v/>
      </c>
      <c r="AM382" s="35">
        <f>AM381+D382</f>
        <v/>
      </c>
      <c r="AN382" s="35">
        <f>AN381+AL382</f>
        <v/>
      </c>
      <c r="AO382" s="35">
        <f>J382+P382+V382+AB382+AH382</f>
        <v/>
      </c>
    </row>
    <row r="383">
      <c r="A383" t="n">
        <v>380</v>
      </c>
      <c r="B383" s="34">
        <f>EDATE(B382,1)</f>
        <v/>
      </c>
      <c r="C383">
        <f>YEAR(B383)</f>
        <v/>
      </c>
      <c r="D383" s="35">
        <f>'Parámetros Proyección'!$B$3*(1+'Parámetros Proyección'!$B$4)^(C383-YEAR('Parámetros Proyección'!$B$6))</f>
        <v/>
      </c>
      <c r="E383" s="35">
        <f>J382</f>
        <v/>
      </c>
      <c r="F383" s="35">
        <f>E383*(1+'Parámetros Proyección'!$E$11)</f>
        <v/>
      </c>
      <c r="G383" s="35">
        <f>F383*'Parámetros Proyección'!$F$11</f>
        <v/>
      </c>
      <c r="H383" s="35">
        <f>F383+G383</f>
        <v/>
      </c>
      <c r="I383" s="35">
        <f>IF((H383/AI383&gt;'Parámetros Proyección'!$G$11),0,D383*'Parámetros Proyección'!$G$11/(IF((H383/AI383&gt;'Parámetros Proyección'!$G$11),0,'Parámetros Proyección'!$G$11)+IF((N383/AI383&gt;'Parámetros Proyección'!$G$12),0,'Parámetros Proyección'!$G$12)+IF((T383/AI383&gt;'Parámetros Proyección'!$G$13),0,'Parámetros Proyección'!$G$13)+IF((Z383/AI383&gt;'Parámetros Proyección'!$G$14),0,'Parámetros Proyección'!$G$14)+IF((AF383/AI383&gt;'Parámetros Proyección'!$G$15),0,'Parámetros Proyección'!$G$15)))</f>
        <v/>
      </c>
      <c r="J383" s="35">
        <f>H383+I383</f>
        <v/>
      </c>
      <c r="K383" s="35">
        <f>P382</f>
        <v/>
      </c>
      <c r="L383" s="35">
        <f>K383*(1+'Parámetros Proyección'!$E$12)</f>
        <v/>
      </c>
      <c r="M383" s="35">
        <f>L383*'Parámetros Proyección'!$F$12</f>
        <v/>
      </c>
      <c r="N383" s="35">
        <f>L383+M383</f>
        <v/>
      </c>
      <c r="O383" s="35">
        <f>IF((N383/AI383&gt;'Parámetros Proyección'!$G$12),0,D383*'Parámetros Proyección'!$G$12/(IF((H383/AI383&gt;'Parámetros Proyección'!$G$11),0,'Parámetros Proyección'!$G$11)+IF((N383/AI383&gt;'Parámetros Proyección'!$G$12),0,'Parámetros Proyección'!$G$12)+IF((T383/AI383&gt;'Parámetros Proyección'!$G$13),0,'Parámetros Proyección'!$G$13)+IF((Z383/AI383&gt;'Parámetros Proyección'!$G$14),0,'Parámetros Proyección'!$G$14)+IF((AF383/AI383&gt;'Parámetros Proyección'!$G$15),0,'Parámetros Proyección'!$G$15)))</f>
        <v/>
      </c>
      <c r="P383" s="35">
        <f>N383+O383</f>
        <v/>
      </c>
      <c r="Q383" s="35">
        <f>V382</f>
        <v/>
      </c>
      <c r="R383" s="35">
        <f>Q383*(1+'Parámetros Proyección'!$E$13)</f>
        <v/>
      </c>
      <c r="S383" s="35">
        <f>R383*'Parámetros Proyección'!$F$13</f>
        <v/>
      </c>
      <c r="T383" s="35">
        <f>R383+S383</f>
        <v/>
      </c>
      <c r="U383" s="35">
        <f>IF((T383/AI383&gt;'Parámetros Proyección'!$G$13),0,D383*'Parámetros Proyección'!$G$13/(IF((H383/AI383&gt;'Parámetros Proyección'!$G$11),0,'Parámetros Proyección'!$G$11)+IF((N383/AI383&gt;'Parámetros Proyección'!$G$12),0,'Parámetros Proyección'!$G$12)+IF((T383/AI383&gt;'Parámetros Proyección'!$G$13),0,'Parámetros Proyección'!$G$13)+IF((Z383/AI383&gt;'Parámetros Proyección'!$G$14),0,'Parámetros Proyección'!$G$14)+IF((AF383/AI383&gt;'Parámetros Proyección'!$G$15),0,'Parámetros Proyección'!$G$15)))</f>
        <v/>
      </c>
      <c r="V383" s="35">
        <f>T383+U383</f>
        <v/>
      </c>
      <c r="W383" s="35">
        <f>AB382</f>
        <v/>
      </c>
      <c r="X383" s="35">
        <f>W383*(1+'Parámetros Proyección'!$E$14)</f>
        <v/>
      </c>
      <c r="Y383" s="35">
        <f>X383*'Parámetros Proyección'!$F$14</f>
        <v/>
      </c>
      <c r="Z383" s="35">
        <f>X383+Y383</f>
        <v/>
      </c>
      <c r="AA383" s="35">
        <f>IF((Z383/AI383&gt;'Parámetros Proyección'!$G$14),0,D383*'Parámetros Proyección'!$G$14/(IF((H383/AI383&gt;'Parámetros Proyección'!$G$11),0,'Parámetros Proyección'!$G$11)+IF((N383/AI383&gt;'Parámetros Proyección'!$G$12),0,'Parámetros Proyección'!$G$12)+IF((T383/AI383&gt;'Parámetros Proyección'!$G$13),0,'Parámetros Proyección'!$G$13)+IF((Z383/AI383&gt;'Parámetros Proyección'!$G$14),0,'Parámetros Proyección'!$G$14)+IF((AF383/AI383&gt;'Parámetros Proyección'!$G$15),0,'Parámetros Proyección'!$G$15)))</f>
        <v/>
      </c>
      <c r="AB383" s="35">
        <f>Z383+AA383</f>
        <v/>
      </c>
      <c r="AC383" s="35">
        <f>AH382</f>
        <v/>
      </c>
      <c r="AD383" s="35">
        <f>AC383*(1+'Parámetros Proyección'!$E$15)</f>
        <v/>
      </c>
      <c r="AE383" s="35">
        <f>AD383*'Parámetros Proyección'!$F$15</f>
        <v/>
      </c>
      <c r="AF383" s="35">
        <f>AD383+AE383</f>
        <v/>
      </c>
      <c r="AG383" s="35">
        <f>IF((AF383/AI383&gt;'Parámetros Proyección'!$G$15),0,D383*'Parámetros Proyección'!$G$15/(IF((H383/AI383&gt;'Parámetros Proyección'!$G$11),0,'Parámetros Proyección'!$G$11)+IF((N383/AI383&gt;'Parámetros Proyección'!$G$12),0,'Parámetros Proyección'!$G$12)+IF((T383/AI383&gt;'Parámetros Proyección'!$G$13),0,'Parámetros Proyección'!$G$13)+IF((Z383/AI383&gt;'Parámetros Proyección'!$G$14),0,'Parámetros Proyección'!$G$14)+IF((AF383/AI383&gt;'Parámetros Proyección'!$G$15),0,'Parámetros Proyección'!$G$15)))</f>
        <v/>
      </c>
      <c r="AH383" s="35">
        <f>AF383+AG383</f>
        <v/>
      </c>
      <c r="AI383" s="35">
        <f>H383+N383+T383+Z383+AF383</f>
        <v/>
      </c>
      <c r="AJ383" s="33">
        <f>AF383/AI383</f>
        <v/>
      </c>
      <c r="AK383">
        <f>IF(AJ383&gt;'Parámetros Proyección'!$B$5,1,0)</f>
        <v/>
      </c>
      <c r="AL383" s="35">
        <f>G383+M383+S383+Y383+AE383</f>
        <v/>
      </c>
      <c r="AM383" s="35">
        <f>AM382+D383</f>
        <v/>
      </c>
      <c r="AN383" s="35">
        <f>AN382+AL383</f>
        <v/>
      </c>
      <c r="AO383" s="35">
        <f>J383+P383+V383+AB383+AH383</f>
        <v/>
      </c>
    </row>
    <row r="384">
      <c r="A384" t="n">
        <v>381</v>
      </c>
      <c r="B384" s="34">
        <f>EDATE(B383,1)</f>
        <v/>
      </c>
      <c r="C384">
        <f>YEAR(B384)</f>
        <v/>
      </c>
      <c r="D384" s="35">
        <f>'Parámetros Proyección'!$B$3*(1+'Parámetros Proyección'!$B$4)^(C384-YEAR('Parámetros Proyección'!$B$6))</f>
        <v/>
      </c>
      <c r="E384" s="35">
        <f>J383</f>
        <v/>
      </c>
      <c r="F384" s="35">
        <f>E384*(1+'Parámetros Proyección'!$E$11)</f>
        <v/>
      </c>
      <c r="G384" s="35">
        <f>F384*'Parámetros Proyección'!$F$11</f>
        <v/>
      </c>
      <c r="H384" s="35">
        <f>F384+G384</f>
        <v/>
      </c>
      <c r="I384" s="35">
        <f>IF((H384/AI384&gt;'Parámetros Proyección'!$G$11),0,D384*'Parámetros Proyección'!$G$11/(IF((H384/AI384&gt;'Parámetros Proyección'!$G$11),0,'Parámetros Proyección'!$G$11)+IF((N384/AI384&gt;'Parámetros Proyección'!$G$12),0,'Parámetros Proyección'!$G$12)+IF((T384/AI384&gt;'Parámetros Proyección'!$G$13),0,'Parámetros Proyección'!$G$13)+IF((Z384/AI384&gt;'Parámetros Proyección'!$G$14),0,'Parámetros Proyección'!$G$14)+IF((AF384/AI384&gt;'Parámetros Proyección'!$G$15),0,'Parámetros Proyección'!$G$15)))</f>
        <v/>
      </c>
      <c r="J384" s="35">
        <f>H384+I384</f>
        <v/>
      </c>
      <c r="K384" s="35">
        <f>P383</f>
        <v/>
      </c>
      <c r="L384" s="35">
        <f>K384*(1+'Parámetros Proyección'!$E$12)</f>
        <v/>
      </c>
      <c r="M384" s="35">
        <f>L384*'Parámetros Proyección'!$F$12</f>
        <v/>
      </c>
      <c r="N384" s="35">
        <f>L384+M384</f>
        <v/>
      </c>
      <c r="O384" s="35">
        <f>IF((N384/AI384&gt;'Parámetros Proyección'!$G$12),0,D384*'Parámetros Proyección'!$G$12/(IF((H384/AI384&gt;'Parámetros Proyección'!$G$11),0,'Parámetros Proyección'!$G$11)+IF((N384/AI384&gt;'Parámetros Proyección'!$G$12),0,'Parámetros Proyección'!$G$12)+IF((T384/AI384&gt;'Parámetros Proyección'!$G$13),0,'Parámetros Proyección'!$G$13)+IF((Z384/AI384&gt;'Parámetros Proyección'!$G$14),0,'Parámetros Proyección'!$G$14)+IF((AF384/AI384&gt;'Parámetros Proyección'!$G$15),0,'Parámetros Proyección'!$G$15)))</f>
        <v/>
      </c>
      <c r="P384" s="35">
        <f>N384+O384</f>
        <v/>
      </c>
      <c r="Q384" s="35">
        <f>V383</f>
        <v/>
      </c>
      <c r="R384" s="35">
        <f>Q384*(1+'Parámetros Proyección'!$E$13)</f>
        <v/>
      </c>
      <c r="S384" s="35">
        <f>R384*'Parámetros Proyección'!$F$13</f>
        <v/>
      </c>
      <c r="T384" s="35">
        <f>R384+S384</f>
        <v/>
      </c>
      <c r="U384" s="35">
        <f>IF((T384/AI384&gt;'Parámetros Proyección'!$G$13),0,D384*'Parámetros Proyección'!$G$13/(IF((H384/AI384&gt;'Parámetros Proyección'!$G$11),0,'Parámetros Proyección'!$G$11)+IF((N384/AI384&gt;'Parámetros Proyección'!$G$12),0,'Parámetros Proyección'!$G$12)+IF((T384/AI384&gt;'Parámetros Proyección'!$G$13),0,'Parámetros Proyección'!$G$13)+IF((Z384/AI384&gt;'Parámetros Proyección'!$G$14),0,'Parámetros Proyección'!$G$14)+IF((AF384/AI384&gt;'Parámetros Proyección'!$G$15),0,'Parámetros Proyección'!$G$15)))</f>
        <v/>
      </c>
      <c r="V384" s="35">
        <f>T384+U384</f>
        <v/>
      </c>
      <c r="W384" s="35">
        <f>AB383</f>
        <v/>
      </c>
      <c r="X384" s="35">
        <f>W384*(1+'Parámetros Proyección'!$E$14)</f>
        <v/>
      </c>
      <c r="Y384" s="35">
        <f>X384*'Parámetros Proyección'!$F$14</f>
        <v/>
      </c>
      <c r="Z384" s="35">
        <f>X384+Y384</f>
        <v/>
      </c>
      <c r="AA384" s="35">
        <f>IF((Z384/AI384&gt;'Parámetros Proyección'!$G$14),0,D384*'Parámetros Proyección'!$G$14/(IF((H384/AI384&gt;'Parámetros Proyección'!$G$11),0,'Parámetros Proyección'!$G$11)+IF((N384/AI384&gt;'Parámetros Proyección'!$G$12),0,'Parámetros Proyección'!$G$12)+IF((T384/AI384&gt;'Parámetros Proyección'!$G$13),0,'Parámetros Proyección'!$G$13)+IF((Z384/AI384&gt;'Parámetros Proyección'!$G$14),0,'Parámetros Proyección'!$G$14)+IF((AF384/AI384&gt;'Parámetros Proyección'!$G$15),0,'Parámetros Proyección'!$G$15)))</f>
        <v/>
      </c>
      <c r="AB384" s="35">
        <f>Z384+AA384</f>
        <v/>
      </c>
      <c r="AC384" s="35">
        <f>AH383</f>
        <v/>
      </c>
      <c r="AD384" s="35">
        <f>AC384*(1+'Parámetros Proyección'!$E$15)</f>
        <v/>
      </c>
      <c r="AE384" s="35">
        <f>AD384*'Parámetros Proyección'!$F$15</f>
        <v/>
      </c>
      <c r="AF384" s="35">
        <f>AD384+AE384</f>
        <v/>
      </c>
      <c r="AG384" s="35">
        <f>IF((AF384/AI384&gt;'Parámetros Proyección'!$G$15),0,D384*'Parámetros Proyección'!$G$15/(IF((H384/AI384&gt;'Parámetros Proyección'!$G$11),0,'Parámetros Proyección'!$G$11)+IF((N384/AI384&gt;'Parámetros Proyección'!$G$12),0,'Parámetros Proyección'!$G$12)+IF((T384/AI384&gt;'Parámetros Proyección'!$G$13),0,'Parámetros Proyección'!$G$13)+IF((Z384/AI384&gt;'Parámetros Proyección'!$G$14),0,'Parámetros Proyección'!$G$14)+IF((AF384/AI384&gt;'Parámetros Proyección'!$G$15),0,'Parámetros Proyección'!$G$15)))</f>
        <v/>
      </c>
      <c r="AH384" s="35">
        <f>AF384+AG384</f>
        <v/>
      </c>
      <c r="AI384" s="35">
        <f>H384+N384+T384+Z384+AF384</f>
        <v/>
      </c>
      <c r="AJ384" s="33">
        <f>AF384/AI384</f>
        <v/>
      </c>
      <c r="AK384">
        <f>IF(AJ384&gt;'Parámetros Proyección'!$B$5,1,0)</f>
        <v/>
      </c>
      <c r="AL384" s="35">
        <f>G384+M384+S384+Y384+AE384</f>
        <v/>
      </c>
      <c r="AM384" s="35">
        <f>AM383+D384</f>
        <v/>
      </c>
      <c r="AN384" s="35">
        <f>AN383+AL384</f>
        <v/>
      </c>
      <c r="AO384" s="35">
        <f>J384+P384+V384+AB384+AH384</f>
        <v/>
      </c>
    </row>
    <row r="385">
      <c r="A385" t="n">
        <v>382</v>
      </c>
      <c r="B385" s="34">
        <f>EDATE(B384,1)</f>
        <v/>
      </c>
      <c r="C385">
        <f>YEAR(B385)</f>
        <v/>
      </c>
      <c r="D385" s="35">
        <f>'Parámetros Proyección'!$B$3*(1+'Parámetros Proyección'!$B$4)^(C385-YEAR('Parámetros Proyección'!$B$6))</f>
        <v/>
      </c>
      <c r="E385" s="35">
        <f>J384</f>
        <v/>
      </c>
      <c r="F385" s="35">
        <f>E385*(1+'Parámetros Proyección'!$E$11)</f>
        <v/>
      </c>
      <c r="G385" s="35">
        <f>F385*'Parámetros Proyección'!$F$11</f>
        <v/>
      </c>
      <c r="H385" s="35">
        <f>F385+G385</f>
        <v/>
      </c>
      <c r="I385" s="35">
        <f>IF((H385/AI385&gt;'Parámetros Proyección'!$G$11),0,D385*'Parámetros Proyección'!$G$11/(IF((H385/AI385&gt;'Parámetros Proyección'!$G$11),0,'Parámetros Proyección'!$G$11)+IF((N385/AI385&gt;'Parámetros Proyección'!$G$12),0,'Parámetros Proyección'!$G$12)+IF((T385/AI385&gt;'Parámetros Proyección'!$G$13),0,'Parámetros Proyección'!$G$13)+IF((Z385/AI385&gt;'Parámetros Proyección'!$G$14),0,'Parámetros Proyección'!$G$14)+IF((AF385/AI385&gt;'Parámetros Proyección'!$G$15),0,'Parámetros Proyección'!$G$15)))</f>
        <v/>
      </c>
      <c r="J385" s="35">
        <f>H385+I385</f>
        <v/>
      </c>
      <c r="K385" s="35">
        <f>P384</f>
        <v/>
      </c>
      <c r="L385" s="35">
        <f>K385*(1+'Parámetros Proyección'!$E$12)</f>
        <v/>
      </c>
      <c r="M385" s="35">
        <f>L385*'Parámetros Proyección'!$F$12</f>
        <v/>
      </c>
      <c r="N385" s="35">
        <f>L385+M385</f>
        <v/>
      </c>
      <c r="O385" s="35">
        <f>IF((N385/AI385&gt;'Parámetros Proyección'!$G$12),0,D385*'Parámetros Proyección'!$G$12/(IF((H385/AI385&gt;'Parámetros Proyección'!$G$11),0,'Parámetros Proyección'!$G$11)+IF((N385/AI385&gt;'Parámetros Proyección'!$G$12),0,'Parámetros Proyección'!$G$12)+IF((T385/AI385&gt;'Parámetros Proyección'!$G$13),0,'Parámetros Proyección'!$G$13)+IF((Z385/AI385&gt;'Parámetros Proyección'!$G$14),0,'Parámetros Proyección'!$G$14)+IF((AF385/AI385&gt;'Parámetros Proyección'!$G$15),0,'Parámetros Proyección'!$G$15)))</f>
        <v/>
      </c>
      <c r="P385" s="35">
        <f>N385+O385</f>
        <v/>
      </c>
      <c r="Q385" s="35">
        <f>V384</f>
        <v/>
      </c>
      <c r="R385" s="35">
        <f>Q385*(1+'Parámetros Proyección'!$E$13)</f>
        <v/>
      </c>
      <c r="S385" s="35">
        <f>R385*'Parámetros Proyección'!$F$13</f>
        <v/>
      </c>
      <c r="T385" s="35">
        <f>R385+S385</f>
        <v/>
      </c>
      <c r="U385" s="35">
        <f>IF((T385/AI385&gt;'Parámetros Proyección'!$G$13),0,D385*'Parámetros Proyección'!$G$13/(IF((H385/AI385&gt;'Parámetros Proyección'!$G$11),0,'Parámetros Proyección'!$G$11)+IF((N385/AI385&gt;'Parámetros Proyección'!$G$12),0,'Parámetros Proyección'!$G$12)+IF((T385/AI385&gt;'Parámetros Proyección'!$G$13),0,'Parámetros Proyección'!$G$13)+IF((Z385/AI385&gt;'Parámetros Proyección'!$G$14),0,'Parámetros Proyección'!$G$14)+IF((AF385/AI385&gt;'Parámetros Proyección'!$G$15),0,'Parámetros Proyección'!$G$15)))</f>
        <v/>
      </c>
      <c r="V385" s="35">
        <f>T385+U385</f>
        <v/>
      </c>
      <c r="W385" s="35">
        <f>AB384</f>
        <v/>
      </c>
      <c r="X385" s="35">
        <f>W385*(1+'Parámetros Proyección'!$E$14)</f>
        <v/>
      </c>
      <c r="Y385" s="35">
        <f>X385*'Parámetros Proyección'!$F$14</f>
        <v/>
      </c>
      <c r="Z385" s="35">
        <f>X385+Y385</f>
        <v/>
      </c>
      <c r="AA385" s="35">
        <f>IF((Z385/AI385&gt;'Parámetros Proyección'!$G$14),0,D385*'Parámetros Proyección'!$G$14/(IF((H385/AI385&gt;'Parámetros Proyección'!$G$11),0,'Parámetros Proyección'!$G$11)+IF((N385/AI385&gt;'Parámetros Proyección'!$G$12),0,'Parámetros Proyección'!$G$12)+IF((T385/AI385&gt;'Parámetros Proyección'!$G$13),0,'Parámetros Proyección'!$G$13)+IF((Z385/AI385&gt;'Parámetros Proyección'!$G$14),0,'Parámetros Proyección'!$G$14)+IF((AF385/AI385&gt;'Parámetros Proyección'!$G$15),0,'Parámetros Proyección'!$G$15)))</f>
        <v/>
      </c>
      <c r="AB385" s="35">
        <f>Z385+AA385</f>
        <v/>
      </c>
      <c r="AC385" s="35">
        <f>AH384</f>
        <v/>
      </c>
      <c r="AD385" s="35">
        <f>AC385*(1+'Parámetros Proyección'!$E$15)</f>
        <v/>
      </c>
      <c r="AE385" s="35">
        <f>AD385*'Parámetros Proyección'!$F$15</f>
        <v/>
      </c>
      <c r="AF385" s="35">
        <f>AD385+AE385</f>
        <v/>
      </c>
      <c r="AG385" s="35">
        <f>IF((AF385/AI385&gt;'Parámetros Proyección'!$G$15),0,D385*'Parámetros Proyección'!$G$15/(IF((H385/AI385&gt;'Parámetros Proyección'!$G$11),0,'Parámetros Proyección'!$G$11)+IF((N385/AI385&gt;'Parámetros Proyección'!$G$12),0,'Parámetros Proyección'!$G$12)+IF((T385/AI385&gt;'Parámetros Proyección'!$G$13),0,'Parámetros Proyección'!$G$13)+IF((Z385/AI385&gt;'Parámetros Proyección'!$G$14),0,'Parámetros Proyección'!$G$14)+IF((AF385/AI385&gt;'Parámetros Proyección'!$G$15),0,'Parámetros Proyección'!$G$15)))</f>
        <v/>
      </c>
      <c r="AH385" s="35">
        <f>AF385+AG385</f>
        <v/>
      </c>
      <c r="AI385" s="35">
        <f>H385+N385+T385+Z385+AF385</f>
        <v/>
      </c>
      <c r="AJ385" s="33">
        <f>AF385/AI385</f>
        <v/>
      </c>
      <c r="AK385">
        <f>IF(AJ385&gt;'Parámetros Proyección'!$B$5,1,0)</f>
        <v/>
      </c>
      <c r="AL385" s="35">
        <f>G385+M385+S385+Y385+AE385</f>
        <v/>
      </c>
      <c r="AM385" s="35">
        <f>AM384+D385</f>
        <v/>
      </c>
      <c r="AN385" s="35">
        <f>AN384+AL385</f>
        <v/>
      </c>
      <c r="AO385" s="35">
        <f>J385+P385+V385+AB385+AH385</f>
        <v/>
      </c>
    </row>
    <row r="386">
      <c r="A386" t="n">
        <v>383</v>
      </c>
      <c r="B386" s="34">
        <f>EDATE(B385,1)</f>
        <v/>
      </c>
      <c r="C386">
        <f>YEAR(B386)</f>
        <v/>
      </c>
      <c r="D386" s="35">
        <f>'Parámetros Proyección'!$B$3*(1+'Parámetros Proyección'!$B$4)^(C386-YEAR('Parámetros Proyección'!$B$6))</f>
        <v/>
      </c>
      <c r="E386" s="35">
        <f>J385</f>
        <v/>
      </c>
      <c r="F386" s="35">
        <f>E386*(1+'Parámetros Proyección'!$E$11)</f>
        <v/>
      </c>
      <c r="G386" s="35">
        <f>F386*'Parámetros Proyección'!$F$11</f>
        <v/>
      </c>
      <c r="H386" s="35">
        <f>F386+G386</f>
        <v/>
      </c>
      <c r="I386" s="35">
        <f>IF((H386/AI386&gt;'Parámetros Proyección'!$G$11),0,D386*'Parámetros Proyección'!$G$11/(IF((H386/AI386&gt;'Parámetros Proyección'!$G$11),0,'Parámetros Proyección'!$G$11)+IF((N386/AI386&gt;'Parámetros Proyección'!$G$12),0,'Parámetros Proyección'!$G$12)+IF((T386/AI386&gt;'Parámetros Proyección'!$G$13),0,'Parámetros Proyección'!$G$13)+IF((Z386/AI386&gt;'Parámetros Proyección'!$G$14),0,'Parámetros Proyección'!$G$14)+IF((AF386/AI386&gt;'Parámetros Proyección'!$G$15),0,'Parámetros Proyección'!$G$15)))</f>
        <v/>
      </c>
      <c r="J386" s="35">
        <f>H386+I386</f>
        <v/>
      </c>
      <c r="K386" s="35">
        <f>P385</f>
        <v/>
      </c>
      <c r="L386" s="35">
        <f>K386*(1+'Parámetros Proyección'!$E$12)</f>
        <v/>
      </c>
      <c r="M386" s="35">
        <f>L386*'Parámetros Proyección'!$F$12</f>
        <v/>
      </c>
      <c r="N386" s="35">
        <f>L386+M386</f>
        <v/>
      </c>
      <c r="O386" s="35">
        <f>IF((N386/AI386&gt;'Parámetros Proyección'!$G$12),0,D386*'Parámetros Proyección'!$G$12/(IF((H386/AI386&gt;'Parámetros Proyección'!$G$11),0,'Parámetros Proyección'!$G$11)+IF((N386/AI386&gt;'Parámetros Proyección'!$G$12),0,'Parámetros Proyección'!$G$12)+IF((T386/AI386&gt;'Parámetros Proyección'!$G$13),0,'Parámetros Proyección'!$G$13)+IF((Z386/AI386&gt;'Parámetros Proyección'!$G$14),0,'Parámetros Proyección'!$G$14)+IF((AF386/AI386&gt;'Parámetros Proyección'!$G$15),0,'Parámetros Proyección'!$G$15)))</f>
        <v/>
      </c>
      <c r="P386" s="35">
        <f>N386+O386</f>
        <v/>
      </c>
      <c r="Q386" s="35">
        <f>V385</f>
        <v/>
      </c>
      <c r="R386" s="35">
        <f>Q386*(1+'Parámetros Proyección'!$E$13)</f>
        <v/>
      </c>
      <c r="S386" s="35">
        <f>R386*'Parámetros Proyección'!$F$13</f>
        <v/>
      </c>
      <c r="T386" s="35">
        <f>R386+S386</f>
        <v/>
      </c>
      <c r="U386" s="35">
        <f>IF((T386/AI386&gt;'Parámetros Proyección'!$G$13),0,D386*'Parámetros Proyección'!$G$13/(IF((H386/AI386&gt;'Parámetros Proyección'!$G$11),0,'Parámetros Proyección'!$G$11)+IF((N386/AI386&gt;'Parámetros Proyección'!$G$12),0,'Parámetros Proyección'!$G$12)+IF((T386/AI386&gt;'Parámetros Proyección'!$G$13),0,'Parámetros Proyección'!$G$13)+IF((Z386/AI386&gt;'Parámetros Proyección'!$G$14),0,'Parámetros Proyección'!$G$14)+IF((AF386/AI386&gt;'Parámetros Proyección'!$G$15),0,'Parámetros Proyección'!$G$15)))</f>
        <v/>
      </c>
      <c r="V386" s="35">
        <f>T386+U386</f>
        <v/>
      </c>
      <c r="W386" s="35">
        <f>AB385</f>
        <v/>
      </c>
      <c r="X386" s="35">
        <f>W386*(1+'Parámetros Proyección'!$E$14)</f>
        <v/>
      </c>
      <c r="Y386" s="35">
        <f>X386*'Parámetros Proyección'!$F$14</f>
        <v/>
      </c>
      <c r="Z386" s="35">
        <f>X386+Y386</f>
        <v/>
      </c>
      <c r="AA386" s="35">
        <f>IF((Z386/AI386&gt;'Parámetros Proyección'!$G$14),0,D386*'Parámetros Proyección'!$G$14/(IF((H386/AI386&gt;'Parámetros Proyección'!$G$11),0,'Parámetros Proyección'!$G$11)+IF((N386/AI386&gt;'Parámetros Proyección'!$G$12),0,'Parámetros Proyección'!$G$12)+IF((T386/AI386&gt;'Parámetros Proyección'!$G$13),0,'Parámetros Proyección'!$G$13)+IF((Z386/AI386&gt;'Parámetros Proyección'!$G$14),0,'Parámetros Proyección'!$G$14)+IF((AF386/AI386&gt;'Parámetros Proyección'!$G$15),0,'Parámetros Proyección'!$G$15)))</f>
        <v/>
      </c>
      <c r="AB386" s="35">
        <f>Z386+AA386</f>
        <v/>
      </c>
      <c r="AC386" s="35">
        <f>AH385</f>
        <v/>
      </c>
      <c r="AD386" s="35">
        <f>AC386*(1+'Parámetros Proyección'!$E$15)</f>
        <v/>
      </c>
      <c r="AE386" s="35">
        <f>AD386*'Parámetros Proyección'!$F$15</f>
        <v/>
      </c>
      <c r="AF386" s="35">
        <f>AD386+AE386</f>
        <v/>
      </c>
      <c r="AG386" s="35">
        <f>IF((AF386/AI386&gt;'Parámetros Proyección'!$G$15),0,D386*'Parámetros Proyección'!$G$15/(IF((H386/AI386&gt;'Parámetros Proyección'!$G$11),0,'Parámetros Proyección'!$G$11)+IF((N386/AI386&gt;'Parámetros Proyección'!$G$12),0,'Parámetros Proyección'!$G$12)+IF((T386/AI386&gt;'Parámetros Proyección'!$G$13),0,'Parámetros Proyección'!$G$13)+IF((Z386/AI386&gt;'Parámetros Proyección'!$G$14),0,'Parámetros Proyección'!$G$14)+IF((AF386/AI386&gt;'Parámetros Proyección'!$G$15),0,'Parámetros Proyección'!$G$15)))</f>
        <v/>
      </c>
      <c r="AH386" s="35">
        <f>AF386+AG386</f>
        <v/>
      </c>
      <c r="AI386" s="35">
        <f>H386+N386+T386+Z386+AF386</f>
        <v/>
      </c>
      <c r="AJ386" s="33">
        <f>AF386/AI386</f>
        <v/>
      </c>
      <c r="AK386">
        <f>IF(AJ386&gt;'Parámetros Proyección'!$B$5,1,0)</f>
        <v/>
      </c>
      <c r="AL386" s="35">
        <f>G386+M386+S386+Y386+AE386</f>
        <v/>
      </c>
      <c r="AM386" s="35">
        <f>AM385+D386</f>
        <v/>
      </c>
      <c r="AN386" s="35">
        <f>AN385+AL386</f>
        <v/>
      </c>
      <c r="AO386" s="35">
        <f>J386+P386+V386+AB386+AH386</f>
        <v/>
      </c>
    </row>
    <row r="387">
      <c r="A387" t="n">
        <v>384</v>
      </c>
      <c r="B387" s="34">
        <f>EDATE(B386,1)</f>
        <v/>
      </c>
      <c r="C387">
        <f>YEAR(B387)</f>
        <v/>
      </c>
      <c r="D387" s="35">
        <f>'Parámetros Proyección'!$B$3*(1+'Parámetros Proyección'!$B$4)^(C387-YEAR('Parámetros Proyección'!$B$6))</f>
        <v/>
      </c>
      <c r="E387" s="35">
        <f>J386</f>
        <v/>
      </c>
      <c r="F387" s="35">
        <f>E387*(1+'Parámetros Proyección'!$E$11)</f>
        <v/>
      </c>
      <c r="G387" s="35">
        <f>F387*'Parámetros Proyección'!$F$11</f>
        <v/>
      </c>
      <c r="H387" s="35">
        <f>F387+G387</f>
        <v/>
      </c>
      <c r="I387" s="35">
        <f>IF((H387/AI387&gt;'Parámetros Proyección'!$G$11),0,D387*'Parámetros Proyección'!$G$11/(IF((H387/AI387&gt;'Parámetros Proyección'!$G$11),0,'Parámetros Proyección'!$G$11)+IF((N387/AI387&gt;'Parámetros Proyección'!$G$12),0,'Parámetros Proyección'!$G$12)+IF((T387/AI387&gt;'Parámetros Proyección'!$G$13),0,'Parámetros Proyección'!$G$13)+IF((Z387/AI387&gt;'Parámetros Proyección'!$G$14),0,'Parámetros Proyección'!$G$14)+IF((AF387/AI387&gt;'Parámetros Proyección'!$G$15),0,'Parámetros Proyección'!$G$15)))</f>
        <v/>
      </c>
      <c r="J387" s="35">
        <f>H387+I387</f>
        <v/>
      </c>
      <c r="K387" s="35">
        <f>P386</f>
        <v/>
      </c>
      <c r="L387" s="35">
        <f>K387*(1+'Parámetros Proyección'!$E$12)</f>
        <v/>
      </c>
      <c r="M387" s="35">
        <f>L387*'Parámetros Proyección'!$F$12</f>
        <v/>
      </c>
      <c r="N387" s="35">
        <f>L387+M387</f>
        <v/>
      </c>
      <c r="O387" s="35">
        <f>IF((N387/AI387&gt;'Parámetros Proyección'!$G$12),0,D387*'Parámetros Proyección'!$G$12/(IF((H387/AI387&gt;'Parámetros Proyección'!$G$11),0,'Parámetros Proyección'!$G$11)+IF((N387/AI387&gt;'Parámetros Proyección'!$G$12),0,'Parámetros Proyección'!$G$12)+IF((T387/AI387&gt;'Parámetros Proyección'!$G$13),0,'Parámetros Proyección'!$G$13)+IF((Z387/AI387&gt;'Parámetros Proyección'!$G$14),0,'Parámetros Proyección'!$G$14)+IF((AF387/AI387&gt;'Parámetros Proyección'!$G$15),0,'Parámetros Proyección'!$G$15)))</f>
        <v/>
      </c>
      <c r="P387" s="35">
        <f>N387+O387</f>
        <v/>
      </c>
      <c r="Q387" s="35">
        <f>V386</f>
        <v/>
      </c>
      <c r="R387" s="35">
        <f>Q387*(1+'Parámetros Proyección'!$E$13)</f>
        <v/>
      </c>
      <c r="S387" s="35">
        <f>R387*'Parámetros Proyección'!$F$13</f>
        <v/>
      </c>
      <c r="T387" s="35">
        <f>R387+S387</f>
        <v/>
      </c>
      <c r="U387" s="35">
        <f>IF((T387/AI387&gt;'Parámetros Proyección'!$G$13),0,D387*'Parámetros Proyección'!$G$13/(IF((H387/AI387&gt;'Parámetros Proyección'!$G$11),0,'Parámetros Proyección'!$G$11)+IF((N387/AI387&gt;'Parámetros Proyección'!$G$12),0,'Parámetros Proyección'!$G$12)+IF((T387/AI387&gt;'Parámetros Proyección'!$G$13),0,'Parámetros Proyección'!$G$13)+IF((Z387/AI387&gt;'Parámetros Proyección'!$G$14),0,'Parámetros Proyección'!$G$14)+IF((AF387/AI387&gt;'Parámetros Proyección'!$G$15),0,'Parámetros Proyección'!$G$15)))</f>
        <v/>
      </c>
      <c r="V387" s="35">
        <f>T387+U387</f>
        <v/>
      </c>
      <c r="W387" s="35">
        <f>AB386</f>
        <v/>
      </c>
      <c r="X387" s="35">
        <f>W387*(1+'Parámetros Proyección'!$E$14)</f>
        <v/>
      </c>
      <c r="Y387" s="35">
        <f>X387*'Parámetros Proyección'!$F$14</f>
        <v/>
      </c>
      <c r="Z387" s="35">
        <f>X387+Y387</f>
        <v/>
      </c>
      <c r="AA387" s="35">
        <f>IF((Z387/AI387&gt;'Parámetros Proyección'!$G$14),0,D387*'Parámetros Proyección'!$G$14/(IF((H387/AI387&gt;'Parámetros Proyección'!$G$11),0,'Parámetros Proyección'!$G$11)+IF((N387/AI387&gt;'Parámetros Proyección'!$G$12),0,'Parámetros Proyección'!$G$12)+IF((T387/AI387&gt;'Parámetros Proyección'!$G$13),0,'Parámetros Proyección'!$G$13)+IF((Z387/AI387&gt;'Parámetros Proyección'!$G$14),0,'Parámetros Proyección'!$G$14)+IF((AF387/AI387&gt;'Parámetros Proyección'!$G$15),0,'Parámetros Proyección'!$G$15)))</f>
        <v/>
      </c>
      <c r="AB387" s="35">
        <f>Z387+AA387</f>
        <v/>
      </c>
      <c r="AC387" s="35">
        <f>AH386</f>
        <v/>
      </c>
      <c r="AD387" s="35">
        <f>AC387*(1+'Parámetros Proyección'!$E$15)</f>
        <v/>
      </c>
      <c r="AE387" s="35">
        <f>AD387*'Parámetros Proyección'!$F$15</f>
        <v/>
      </c>
      <c r="AF387" s="35">
        <f>AD387+AE387</f>
        <v/>
      </c>
      <c r="AG387" s="35">
        <f>IF((AF387/AI387&gt;'Parámetros Proyección'!$G$15),0,D387*'Parámetros Proyección'!$G$15/(IF((H387/AI387&gt;'Parámetros Proyección'!$G$11),0,'Parámetros Proyección'!$G$11)+IF((N387/AI387&gt;'Parámetros Proyección'!$G$12),0,'Parámetros Proyección'!$G$12)+IF((T387/AI387&gt;'Parámetros Proyección'!$G$13),0,'Parámetros Proyección'!$G$13)+IF((Z387/AI387&gt;'Parámetros Proyección'!$G$14),0,'Parámetros Proyección'!$G$14)+IF((AF387/AI387&gt;'Parámetros Proyección'!$G$15),0,'Parámetros Proyección'!$G$15)))</f>
        <v/>
      </c>
      <c r="AH387" s="35">
        <f>AF387+AG387</f>
        <v/>
      </c>
      <c r="AI387" s="35">
        <f>H387+N387+T387+Z387+AF387</f>
        <v/>
      </c>
      <c r="AJ387" s="33">
        <f>AF387/AI387</f>
        <v/>
      </c>
      <c r="AK387">
        <f>IF(AJ387&gt;'Parámetros Proyección'!$B$5,1,0)</f>
        <v/>
      </c>
      <c r="AL387" s="35">
        <f>G387+M387+S387+Y387+AE387</f>
        <v/>
      </c>
      <c r="AM387" s="35">
        <f>AM386+D387</f>
        <v/>
      </c>
      <c r="AN387" s="35">
        <f>AN386+AL387</f>
        <v/>
      </c>
      <c r="AO387" s="35">
        <f>J387+P387+V387+AB387+AH387</f>
        <v/>
      </c>
    </row>
    <row r="388">
      <c r="A388" t="n">
        <v>385</v>
      </c>
      <c r="B388" s="34">
        <f>EDATE(B387,1)</f>
        <v/>
      </c>
      <c r="C388">
        <f>YEAR(B388)</f>
        <v/>
      </c>
      <c r="D388" s="35">
        <f>'Parámetros Proyección'!$B$3*(1+'Parámetros Proyección'!$B$4)^(C388-YEAR('Parámetros Proyección'!$B$6))</f>
        <v/>
      </c>
      <c r="E388" s="35">
        <f>J387</f>
        <v/>
      </c>
      <c r="F388" s="35">
        <f>E388*(1+'Parámetros Proyección'!$E$11)</f>
        <v/>
      </c>
      <c r="G388" s="35">
        <f>F388*'Parámetros Proyección'!$F$11</f>
        <v/>
      </c>
      <c r="H388" s="35">
        <f>F388+G388</f>
        <v/>
      </c>
      <c r="I388" s="35">
        <f>IF((H388/AI388&gt;'Parámetros Proyección'!$G$11),0,D388*'Parámetros Proyección'!$G$11/(IF((H388/AI388&gt;'Parámetros Proyección'!$G$11),0,'Parámetros Proyección'!$G$11)+IF((N388/AI388&gt;'Parámetros Proyección'!$G$12),0,'Parámetros Proyección'!$G$12)+IF((T388/AI388&gt;'Parámetros Proyección'!$G$13),0,'Parámetros Proyección'!$G$13)+IF((Z388/AI388&gt;'Parámetros Proyección'!$G$14),0,'Parámetros Proyección'!$G$14)+IF((AF388/AI388&gt;'Parámetros Proyección'!$G$15),0,'Parámetros Proyección'!$G$15)))</f>
        <v/>
      </c>
      <c r="J388" s="35">
        <f>H388+I388</f>
        <v/>
      </c>
      <c r="K388" s="35">
        <f>P387</f>
        <v/>
      </c>
      <c r="L388" s="35">
        <f>K388*(1+'Parámetros Proyección'!$E$12)</f>
        <v/>
      </c>
      <c r="M388" s="35">
        <f>L388*'Parámetros Proyección'!$F$12</f>
        <v/>
      </c>
      <c r="N388" s="35">
        <f>L388+M388</f>
        <v/>
      </c>
      <c r="O388" s="35">
        <f>IF((N388/AI388&gt;'Parámetros Proyección'!$G$12),0,D388*'Parámetros Proyección'!$G$12/(IF((H388/AI388&gt;'Parámetros Proyección'!$G$11),0,'Parámetros Proyección'!$G$11)+IF((N388/AI388&gt;'Parámetros Proyección'!$G$12),0,'Parámetros Proyección'!$G$12)+IF((T388/AI388&gt;'Parámetros Proyección'!$G$13),0,'Parámetros Proyección'!$G$13)+IF((Z388/AI388&gt;'Parámetros Proyección'!$G$14),0,'Parámetros Proyección'!$G$14)+IF((AF388/AI388&gt;'Parámetros Proyección'!$G$15),0,'Parámetros Proyección'!$G$15)))</f>
        <v/>
      </c>
      <c r="P388" s="35">
        <f>N388+O388</f>
        <v/>
      </c>
      <c r="Q388" s="35">
        <f>V387</f>
        <v/>
      </c>
      <c r="R388" s="35">
        <f>Q388*(1+'Parámetros Proyección'!$E$13)</f>
        <v/>
      </c>
      <c r="S388" s="35">
        <f>R388*'Parámetros Proyección'!$F$13</f>
        <v/>
      </c>
      <c r="T388" s="35">
        <f>R388+S388</f>
        <v/>
      </c>
      <c r="U388" s="35">
        <f>IF((T388/AI388&gt;'Parámetros Proyección'!$G$13),0,D388*'Parámetros Proyección'!$G$13/(IF((H388/AI388&gt;'Parámetros Proyección'!$G$11),0,'Parámetros Proyección'!$G$11)+IF((N388/AI388&gt;'Parámetros Proyección'!$G$12),0,'Parámetros Proyección'!$G$12)+IF((T388/AI388&gt;'Parámetros Proyección'!$G$13),0,'Parámetros Proyección'!$G$13)+IF((Z388/AI388&gt;'Parámetros Proyección'!$G$14),0,'Parámetros Proyección'!$G$14)+IF((AF388/AI388&gt;'Parámetros Proyección'!$G$15),0,'Parámetros Proyección'!$G$15)))</f>
        <v/>
      </c>
      <c r="V388" s="35">
        <f>T388+U388</f>
        <v/>
      </c>
      <c r="W388" s="35">
        <f>AB387</f>
        <v/>
      </c>
      <c r="X388" s="35">
        <f>W388*(1+'Parámetros Proyección'!$E$14)</f>
        <v/>
      </c>
      <c r="Y388" s="35">
        <f>X388*'Parámetros Proyección'!$F$14</f>
        <v/>
      </c>
      <c r="Z388" s="35">
        <f>X388+Y388</f>
        <v/>
      </c>
      <c r="AA388" s="35">
        <f>IF((Z388/AI388&gt;'Parámetros Proyección'!$G$14),0,D388*'Parámetros Proyección'!$G$14/(IF((H388/AI388&gt;'Parámetros Proyección'!$G$11),0,'Parámetros Proyección'!$G$11)+IF((N388/AI388&gt;'Parámetros Proyección'!$G$12),0,'Parámetros Proyección'!$G$12)+IF((T388/AI388&gt;'Parámetros Proyección'!$G$13),0,'Parámetros Proyección'!$G$13)+IF((Z388/AI388&gt;'Parámetros Proyección'!$G$14),0,'Parámetros Proyección'!$G$14)+IF((AF388/AI388&gt;'Parámetros Proyección'!$G$15),0,'Parámetros Proyección'!$G$15)))</f>
        <v/>
      </c>
      <c r="AB388" s="35">
        <f>Z388+AA388</f>
        <v/>
      </c>
      <c r="AC388" s="35">
        <f>AH387</f>
        <v/>
      </c>
      <c r="AD388" s="35">
        <f>AC388*(1+'Parámetros Proyección'!$E$15)</f>
        <v/>
      </c>
      <c r="AE388" s="35">
        <f>AD388*'Parámetros Proyección'!$F$15</f>
        <v/>
      </c>
      <c r="AF388" s="35">
        <f>AD388+AE388</f>
        <v/>
      </c>
      <c r="AG388" s="35">
        <f>IF((AF388/AI388&gt;'Parámetros Proyección'!$G$15),0,D388*'Parámetros Proyección'!$G$15/(IF((H388/AI388&gt;'Parámetros Proyección'!$G$11),0,'Parámetros Proyección'!$G$11)+IF((N388/AI388&gt;'Parámetros Proyección'!$G$12),0,'Parámetros Proyección'!$G$12)+IF((T388/AI388&gt;'Parámetros Proyección'!$G$13),0,'Parámetros Proyección'!$G$13)+IF((Z388/AI388&gt;'Parámetros Proyección'!$G$14),0,'Parámetros Proyección'!$G$14)+IF((AF388/AI388&gt;'Parámetros Proyección'!$G$15),0,'Parámetros Proyección'!$G$15)))</f>
        <v/>
      </c>
      <c r="AH388" s="35">
        <f>AF388+AG388</f>
        <v/>
      </c>
      <c r="AI388" s="35">
        <f>H388+N388+T388+Z388+AF388</f>
        <v/>
      </c>
      <c r="AJ388" s="33">
        <f>AF388/AI388</f>
        <v/>
      </c>
      <c r="AK388">
        <f>IF(AJ388&gt;'Parámetros Proyección'!$B$5,1,0)</f>
        <v/>
      </c>
      <c r="AL388" s="35">
        <f>G388+M388+S388+Y388+AE388</f>
        <v/>
      </c>
      <c r="AM388" s="35">
        <f>AM387+D388</f>
        <v/>
      </c>
      <c r="AN388" s="35">
        <f>AN387+AL388</f>
        <v/>
      </c>
      <c r="AO388" s="35">
        <f>J388+P388+V388+AB388+AH388</f>
        <v/>
      </c>
    </row>
    <row r="389">
      <c r="A389" t="n">
        <v>386</v>
      </c>
      <c r="B389" s="34">
        <f>EDATE(B388,1)</f>
        <v/>
      </c>
      <c r="C389">
        <f>YEAR(B389)</f>
        <v/>
      </c>
      <c r="D389" s="35">
        <f>'Parámetros Proyección'!$B$3*(1+'Parámetros Proyección'!$B$4)^(C389-YEAR('Parámetros Proyección'!$B$6))</f>
        <v/>
      </c>
      <c r="E389" s="35">
        <f>J388</f>
        <v/>
      </c>
      <c r="F389" s="35">
        <f>E389*(1+'Parámetros Proyección'!$E$11)</f>
        <v/>
      </c>
      <c r="G389" s="35">
        <f>F389*'Parámetros Proyección'!$F$11</f>
        <v/>
      </c>
      <c r="H389" s="35">
        <f>F389+G389</f>
        <v/>
      </c>
      <c r="I389" s="35">
        <f>IF((H389/AI389&gt;'Parámetros Proyección'!$G$11),0,D389*'Parámetros Proyección'!$G$11/(IF((H389/AI389&gt;'Parámetros Proyección'!$G$11),0,'Parámetros Proyección'!$G$11)+IF((N389/AI389&gt;'Parámetros Proyección'!$G$12),0,'Parámetros Proyección'!$G$12)+IF((T389/AI389&gt;'Parámetros Proyección'!$G$13),0,'Parámetros Proyección'!$G$13)+IF((Z389/AI389&gt;'Parámetros Proyección'!$G$14),0,'Parámetros Proyección'!$G$14)+IF((AF389/AI389&gt;'Parámetros Proyección'!$G$15),0,'Parámetros Proyección'!$G$15)))</f>
        <v/>
      </c>
      <c r="J389" s="35">
        <f>H389+I389</f>
        <v/>
      </c>
      <c r="K389" s="35">
        <f>P388</f>
        <v/>
      </c>
      <c r="L389" s="35">
        <f>K389*(1+'Parámetros Proyección'!$E$12)</f>
        <v/>
      </c>
      <c r="M389" s="35">
        <f>L389*'Parámetros Proyección'!$F$12</f>
        <v/>
      </c>
      <c r="N389" s="35">
        <f>L389+M389</f>
        <v/>
      </c>
      <c r="O389" s="35">
        <f>IF((N389/AI389&gt;'Parámetros Proyección'!$G$12),0,D389*'Parámetros Proyección'!$G$12/(IF((H389/AI389&gt;'Parámetros Proyección'!$G$11),0,'Parámetros Proyección'!$G$11)+IF((N389/AI389&gt;'Parámetros Proyección'!$G$12),0,'Parámetros Proyección'!$G$12)+IF((T389/AI389&gt;'Parámetros Proyección'!$G$13),0,'Parámetros Proyección'!$G$13)+IF((Z389/AI389&gt;'Parámetros Proyección'!$G$14),0,'Parámetros Proyección'!$G$14)+IF((AF389/AI389&gt;'Parámetros Proyección'!$G$15),0,'Parámetros Proyección'!$G$15)))</f>
        <v/>
      </c>
      <c r="P389" s="35">
        <f>N389+O389</f>
        <v/>
      </c>
      <c r="Q389" s="35">
        <f>V388</f>
        <v/>
      </c>
      <c r="R389" s="35">
        <f>Q389*(1+'Parámetros Proyección'!$E$13)</f>
        <v/>
      </c>
      <c r="S389" s="35">
        <f>R389*'Parámetros Proyección'!$F$13</f>
        <v/>
      </c>
      <c r="T389" s="35">
        <f>R389+S389</f>
        <v/>
      </c>
      <c r="U389" s="35">
        <f>IF((T389/AI389&gt;'Parámetros Proyección'!$G$13),0,D389*'Parámetros Proyección'!$G$13/(IF((H389/AI389&gt;'Parámetros Proyección'!$G$11),0,'Parámetros Proyección'!$G$11)+IF((N389/AI389&gt;'Parámetros Proyección'!$G$12),0,'Parámetros Proyección'!$G$12)+IF((T389/AI389&gt;'Parámetros Proyección'!$G$13),0,'Parámetros Proyección'!$G$13)+IF((Z389/AI389&gt;'Parámetros Proyección'!$G$14),0,'Parámetros Proyección'!$G$14)+IF((AF389/AI389&gt;'Parámetros Proyección'!$G$15),0,'Parámetros Proyección'!$G$15)))</f>
        <v/>
      </c>
      <c r="V389" s="35">
        <f>T389+U389</f>
        <v/>
      </c>
      <c r="W389" s="35">
        <f>AB388</f>
        <v/>
      </c>
      <c r="X389" s="35">
        <f>W389*(1+'Parámetros Proyección'!$E$14)</f>
        <v/>
      </c>
      <c r="Y389" s="35">
        <f>X389*'Parámetros Proyección'!$F$14</f>
        <v/>
      </c>
      <c r="Z389" s="35">
        <f>X389+Y389</f>
        <v/>
      </c>
      <c r="AA389" s="35">
        <f>IF((Z389/AI389&gt;'Parámetros Proyección'!$G$14),0,D389*'Parámetros Proyección'!$G$14/(IF((H389/AI389&gt;'Parámetros Proyección'!$G$11),0,'Parámetros Proyección'!$G$11)+IF((N389/AI389&gt;'Parámetros Proyección'!$G$12),0,'Parámetros Proyección'!$G$12)+IF((T389/AI389&gt;'Parámetros Proyección'!$G$13),0,'Parámetros Proyección'!$G$13)+IF((Z389/AI389&gt;'Parámetros Proyección'!$G$14),0,'Parámetros Proyección'!$G$14)+IF((AF389/AI389&gt;'Parámetros Proyección'!$G$15),0,'Parámetros Proyección'!$G$15)))</f>
        <v/>
      </c>
      <c r="AB389" s="35">
        <f>Z389+AA389</f>
        <v/>
      </c>
      <c r="AC389" s="35">
        <f>AH388</f>
        <v/>
      </c>
      <c r="AD389" s="35">
        <f>AC389*(1+'Parámetros Proyección'!$E$15)</f>
        <v/>
      </c>
      <c r="AE389" s="35">
        <f>AD389*'Parámetros Proyección'!$F$15</f>
        <v/>
      </c>
      <c r="AF389" s="35">
        <f>AD389+AE389</f>
        <v/>
      </c>
      <c r="AG389" s="35">
        <f>IF((AF389/AI389&gt;'Parámetros Proyección'!$G$15),0,D389*'Parámetros Proyección'!$G$15/(IF((H389/AI389&gt;'Parámetros Proyección'!$G$11),0,'Parámetros Proyección'!$G$11)+IF((N389/AI389&gt;'Parámetros Proyección'!$G$12),0,'Parámetros Proyección'!$G$12)+IF((T389/AI389&gt;'Parámetros Proyección'!$G$13),0,'Parámetros Proyección'!$G$13)+IF((Z389/AI389&gt;'Parámetros Proyección'!$G$14),0,'Parámetros Proyección'!$G$14)+IF((AF389/AI389&gt;'Parámetros Proyección'!$G$15),0,'Parámetros Proyección'!$G$15)))</f>
        <v/>
      </c>
      <c r="AH389" s="35">
        <f>AF389+AG389</f>
        <v/>
      </c>
      <c r="AI389" s="35">
        <f>H389+N389+T389+Z389+AF389</f>
        <v/>
      </c>
      <c r="AJ389" s="33">
        <f>AF389/AI389</f>
        <v/>
      </c>
      <c r="AK389">
        <f>IF(AJ389&gt;'Parámetros Proyección'!$B$5,1,0)</f>
        <v/>
      </c>
      <c r="AL389" s="35">
        <f>G389+M389+S389+Y389+AE389</f>
        <v/>
      </c>
      <c r="AM389" s="35">
        <f>AM388+D389</f>
        <v/>
      </c>
      <c r="AN389" s="35">
        <f>AN388+AL389</f>
        <v/>
      </c>
      <c r="AO389" s="35">
        <f>J389+P389+V389+AB389+AH389</f>
        <v/>
      </c>
    </row>
    <row r="390">
      <c r="A390" t="n">
        <v>387</v>
      </c>
      <c r="B390" s="34">
        <f>EDATE(B389,1)</f>
        <v/>
      </c>
      <c r="C390">
        <f>YEAR(B390)</f>
        <v/>
      </c>
      <c r="D390" s="35">
        <f>'Parámetros Proyección'!$B$3*(1+'Parámetros Proyección'!$B$4)^(C390-YEAR('Parámetros Proyección'!$B$6))</f>
        <v/>
      </c>
      <c r="E390" s="35">
        <f>J389</f>
        <v/>
      </c>
      <c r="F390" s="35">
        <f>E390*(1+'Parámetros Proyección'!$E$11)</f>
        <v/>
      </c>
      <c r="G390" s="35">
        <f>F390*'Parámetros Proyección'!$F$11</f>
        <v/>
      </c>
      <c r="H390" s="35">
        <f>F390+G390</f>
        <v/>
      </c>
      <c r="I390" s="35">
        <f>IF((H390/AI390&gt;'Parámetros Proyección'!$G$11),0,D390*'Parámetros Proyección'!$G$11/(IF((H390/AI390&gt;'Parámetros Proyección'!$G$11),0,'Parámetros Proyección'!$G$11)+IF((N390/AI390&gt;'Parámetros Proyección'!$G$12),0,'Parámetros Proyección'!$G$12)+IF((T390/AI390&gt;'Parámetros Proyección'!$G$13),0,'Parámetros Proyección'!$G$13)+IF((Z390/AI390&gt;'Parámetros Proyección'!$G$14),0,'Parámetros Proyección'!$G$14)+IF((AF390/AI390&gt;'Parámetros Proyección'!$G$15),0,'Parámetros Proyección'!$G$15)))</f>
        <v/>
      </c>
      <c r="J390" s="35">
        <f>H390+I390</f>
        <v/>
      </c>
      <c r="K390" s="35">
        <f>P389</f>
        <v/>
      </c>
      <c r="L390" s="35">
        <f>K390*(1+'Parámetros Proyección'!$E$12)</f>
        <v/>
      </c>
      <c r="M390" s="35">
        <f>L390*'Parámetros Proyección'!$F$12</f>
        <v/>
      </c>
      <c r="N390" s="35">
        <f>L390+M390</f>
        <v/>
      </c>
      <c r="O390" s="35">
        <f>IF((N390/AI390&gt;'Parámetros Proyección'!$G$12),0,D390*'Parámetros Proyección'!$G$12/(IF((H390/AI390&gt;'Parámetros Proyección'!$G$11),0,'Parámetros Proyección'!$G$11)+IF((N390/AI390&gt;'Parámetros Proyección'!$G$12),0,'Parámetros Proyección'!$G$12)+IF((T390/AI390&gt;'Parámetros Proyección'!$G$13),0,'Parámetros Proyección'!$G$13)+IF((Z390/AI390&gt;'Parámetros Proyección'!$G$14),0,'Parámetros Proyección'!$G$14)+IF((AF390/AI390&gt;'Parámetros Proyección'!$G$15),0,'Parámetros Proyección'!$G$15)))</f>
        <v/>
      </c>
      <c r="P390" s="35">
        <f>N390+O390</f>
        <v/>
      </c>
      <c r="Q390" s="35">
        <f>V389</f>
        <v/>
      </c>
      <c r="R390" s="35">
        <f>Q390*(1+'Parámetros Proyección'!$E$13)</f>
        <v/>
      </c>
      <c r="S390" s="35">
        <f>R390*'Parámetros Proyección'!$F$13</f>
        <v/>
      </c>
      <c r="T390" s="35">
        <f>R390+S390</f>
        <v/>
      </c>
      <c r="U390" s="35">
        <f>IF((T390/AI390&gt;'Parámetros Proyección'!$G$13),0,D390*'Parámetros Proyección'!$G$13/(IF((H390/AI390&gt;'Parámetros Proyección'!$G$11),0,'Parámetros Proyección'!$G$11)+IF((N390/AI390&gt;'Parámetros Proyección'!$G$12),0,'Parámetros Proyección'!$G$12)+IF((T390/AI390&gt;'Parámetros Proyección'!$G$13),0,'Parámetros Proyección'!$G$13)+IF((Z390/AI390&gt;'Parámetros Proyección'!$G$14),0,'Parámetros Proyección'!$G$14)+IF((AF390/AI390&gt;'Parámetros Proyección'!$G$15),0,'Parámetros Proyección'!$G$15)))</f>
        <v/>
      </c>
      <c r="V390" s="35">
        <f>T390+U390</f>
        <v/>
      </c>
      <c r="W390" s="35">
        <f>AB389</f>
        <v/>
      </c>
      <c r="X390" s="35">
        <f>W390*(1+'Parámetros Proyección'!$E$14)</f>
        <v/>
      </c>
      <c r="Y390" s="35">
        <f>X390*'Parámetros Proyección'!$F$14</f>
        <v/>
      </c>
      <c r="Z390" s="35">
        <f>X390+Y390</f>
        <v/>
      </c>
      <c r="AA390" s="35">
        <f>IF((Z390/AI390&gt;'Parámetros Proyección'!$G$14),0,D390*'Parámetros Proyección'!$G$14/(IF((H390/AI390&gt;'Parámetros Proyección'!$G$11),0,'Parámetros Proyección'!$G$11)+IF((N390/AI390&gt;'Parámetros Proyección'!$G$12),0,'Parámetros Proyección'!$G$12)+IF((T390/AI390&gt;'Parámetros Proyección'!$G$13),0,'Parámetros Proyección'!$G$13)+IF((Z390/AI390&gt;'Parámetros Proyección'!$G$14),0,'Parámetros Proyección'!$G$14)+IF((AF390/AI390&gt;'Parámetros Proyección'!$G$15),0,'Parámetros Proyección'!$G$15)))</f>
        <v/>
      </c>
      <c r="AB390" s="35">
        <f>Z390+AA390</f>
        <v/>
      </c>
      <c r="AC390" s="35">
        <f>AH389</f>
        <v/>
      </c>
      <c r="AD390" s="35">
        <f>AC390*(1+'Parámetros Proyección'!$E$15)</f>
        <v/>
      </c>
      <c r="AE390" s="35">
        <f>AD390*'Parámetros Proyección'!$F$15</f>
        <v/>
      </c>
      <c r="AF390" s="35">
        <f>AD390+AE390</f>
        <v/>
      </c>
      <c r="AG390" s="35">
        <f>IF((AF390/AI390&gt;'Parámetros Proyección'!$G$15),0,D390*'Parámetros Proyección'!$G$15/(IF((H390/AI390&gt;'Parámetros Proyección'!$G$11),0,'Parámetros Proyección'!$G$11)+IF((N390/AI390&gt;'Parámetros Proyección'!$G$12),0,'Parámetros Proyección'!$G$12)+IF((T390/AI390&gt;'Parámetros Proyección'!$G$13),0,'Parámetros Proyección'!$G$13)+IF((Z390/AI390&gt;'Parámetros Proyección'!$G$14),0,'Parámetros Proyección'!$G$14)+IF((AF390/AI390&gt;'Parámetros Proyección'!$G$15),0,'Parámetros Proyección'!$G$15)))</f>
        <v/>
      </c>
      <c r="AH390" s="35">
        <f>AF390+AG390</f>
        <v/>
      </c>
      <c r="AI390" s="35">
        <f>H390+N390+T390+Z390+AF390</f>
        <v/>
      </c>
      <c r="AJ390" s="33">
        <f>AF390/AI390</f>
        <v/>
      </c>
      <c r="AK390">
        <f>IF(AJ390&gt;'Parámetros Proyección'!$B$5,1,0)</f>
        <v/>
      </c>
      <c r="AL390" s="35">
        <f>G390+M390+S390+Y390+AE390</f>
        <v/>
      </c>
      <c r="AM390" s="35">
        <f>AM389+D390</f>
        <v/>
      </c>
      <c r="AN390" s="35">
        <f>AN389+AL390</f>
        <v/>
      </c>
      <c r="AO390" s="35">
        <f>J390+P390+V390+AB390+AH390</f>
        <v/>
      </c>
    </row>
    <row r="391">
      <c r="A391" t="n">
        <v>388</v>
      </c>
      <c r="B391" s="34">
        <f>EDATE(B390,1)</f>
        <v/>
      </c>
      <c r="C391">
        <f>YEAR(B391)</f>
        <v/>
      </c>
      <c r="D391" s="35">
        <f>'Parámetros Proyección'!$B$3*(1+'Parámetros Proyección'!$B$4)^(C391-YEAR('Parámetros Proyección'!$B$6))</f>
        <v/>
      </c>
      <c r="E391" s="35">
        <f>J390</f>
        <v/>
      </c>
      <c r="F391" s="35">
        <f>E391*(1+'Parámetros Proyección'!$E$11)</f>
        <v/>
      </c>
      <c r="G391" s="35">
        <f>F391*'Parámetros Proyección'!$F$11</f>
        <v/>
      </c>
      <c r="H391" s="35">
        <f>F391+G391</f>
        <v/>
      </c>
      <c r="I391" s="35">
        <f>IF((H391/AI391&gt;'Parámetros Proyección'!$G$11),0,D391*'Parámetros Proyección'!$G$11/(IF((H391/AI391&gt;'Parámetros Proyección'!$G$11),0,'Parámetros Proyección'!$G$11)+IF((N391/AI391&gt;'Parámetros Proyección'!$G$12),0,'Parámetros Proyección'!$G$12)+IF((T391/AI391&gt;'Parámetros Proyección'!$G$13),0,'Parámetros Proyección'!$G$13)+IF((Z391/AI391&gt;'Parámetros Proyección'!$G$14),0,'Parámetros Proyección'!$G$14)+IF((AF391/AI391&gt;'Parámetros Proyección'!$G$15),0,'Parámetros Proyección'!$G$15)))</f>
        <v/>
      </c>
      <c r="J391" s="35">
        <f>H391+I391</f>
        <v/>
      </c>
      <c r="K391" s="35">
        <f>P390</f>
        <v/>
      </c>
      <c r="L391" s="35">
        <f>K391*(1+'Parámetros Proyección'!$E$12)</f>
        <v/>
      </c>
      <c r="M391" s="35">
        <f>L391*'Parámetros Proyección'!$F$12</f>
        <v/>
      </c>
      <c r="N391" s="35">
        <f>L391+M391</f>
        <v/>
      </c>
      <c r="O391" s="35">
        <f>IF((N391/AI391&gt;'Parámetros Proyección'!$G$12),0,D391*'Parámetros Proyección'!$G$12/(IF((H391/AI391&gt;'Parámetros Proyección'!$G$11),0,'Parámetros Proyección'!$G$11)+IF((N391/AI391&gt;'Parámetros Proyección'!$G$12),0,'Parámetros Proyección'!$G$12)+IF((T391/AI391&gt;'Parámetros Proyección'!$G$13),0,'Parámetros Proyección'!$G$13)+IF((Z391/AI391&gt;'Parámetros Proyección'!$G$14),0,'Parámetros Proyección'!$G$14)+IF((AF391/AI391&gt;'Parámetros Proyección'!$G$15),0,'Parámetros Proyección'!$G$15)))</f>
        <v/>
      </c>
      <c r="P391" s="35">
        <f>N391+O391</f>
        <v/>
      </c>
      <c r="Q391" s="35">
        <f>V390</f>
        <v/>
      </c>
      <c r="R391" s="35">
        <f>Q391*(1+'Parámetros Proyección'!$E$13)</f>
        <v/>
      </c>
      <c r="S391" s="35">
        <f>R391*'Parámetros Proyección'!$F$13</f>
        <v/>
      </c>
      <c r="T391" s="35">
        <f>R391+S391</f>
        <v/>
      </c>
      <c r="U391" s="35">
        <f>IF((T391/AI391&gt;'Parámetros Proyección'!$G$13),0,D391*'Parámetros Proyección'!$G$13/(IF((H391/AI391&gt;'Parámetros Proyección'!$G$11),0,'Parámetros Proyección'!$G$11)+IF((N391/AI391&gt;'Parámetros Proyección'!$G$12),0,'Parámetros Proyección'!$G$12)+IF((T391/AI391&gt;'Parámetros Proyección'!$G$13),0,'Parámetros Proyección'!$G$13)+IF((Z391/AI391&gt;'Parámetros Proyección'!$G$14),0,'Parámetros Proyección'!$G$14)+IF((AF391/AI391&gt;'Parámetros Proyección'!$G$15),0,'Parámetros Proyección'!$G$15)))</f>
        <v/>
      </c>
      <c r="V391" s="35">
        <f>T391+U391</f>
        <v/>
      </c>
      <c r="W391" s="35">
        <f>AB390</f>
        <v/>
      </c>
      <c r="X391" s="35">
        <f>W391*(1+'Parámetros Proyección'!$E$14)</f>
        <v/>
      </c>
      <c r="Y391" s="35">
        <f>X391*'Parámetros Proyección'!$F$14</f>
        <v/>
      </c>
      <c r="Z391" s="35">
        <f>X391+Y391</f>
        <v/>
      </c>
      <c r="AA391" s="35">
        <f>IF((Z391/AI391&gt;'Parámetros Proyección'!$G$14),0,D391*'Parámetros Proyección'!$G$14/(IF((H391/AI391&gt;'Parámetros Proyección'!$G$11),0,'Parámetros Proyección'!$G$11)+IF((N391/AI391&gt;'Parámetros Proyección'!$G$12),0,'Parámetros Proyección'!$G$12)+IF((T391/AI391&gt;'Parámetros Proyección'!$G$13),0,'Parámetros Proyección'!$G$13)+IF((Z391/AI391&gt;'Parámetros Proyección'!$G$14),0,'Parámetros Proyección'!$G$14)+IF((AF391/AI391&gt;'Parámetros Proyección'!$G$15),0,'Parámetros Proyección'!$G$15)))</f>
        <v/>
      </c>
      <c r="AB391" s="35">
        <f>Z391+AA391</f>
        <v/>
      </c>
      <c r="AC391" s="35">
        <f>AH390</f>
        <v/>
      </c>
      <c r="AD391" s="35">
        <f>AC391*(1+'Parámetros Proyección'!$E$15)</f>
        <v/>
      </c>
      <c r="AE391" s="35">
        <f>AD391*'Parámetros Proyección'!$F$15</f>
        <v/>
      </c>
      <c r="AF391" s="35">
        <f>AD391+AE391</f>
        <v/>
      </c>
      <c r="AG391" s="35">
        <f>IF((AF391/AI391&gt;'Parámetros Proyección'!$G$15),0,D391*'Parámetros Proyección'!$G$15/(IF((H391/AI391&gt;'Parámetros Proyección'!$G$11),0,'Parámetros Proyección'!$G$11)+IF((N391/AI391&gt;'Parámetros Proyección'!$G$12),0,'Parámetros Proyección'!$G$12)+IF((T391/AI391&gt;'Parámetros Proyección'!$G$13),0,'Parámetros Proyección'!$G$13)+IF((Z391/AI391&gt;'Parámetros Proyección'!$G$14),0,'Parámetros Proyección'!$G$14)+IF((AF391/AI391&gt;'Parámetros Proyección'!$G$15),0,'Parámetros Proyección'!$G$15)))</f>
        <v/>
      </c>
      <c r="AH391" s="35">
        <f>AF391+AG391</f>
        <v/>
      </c>
      <c r="AI391" s="35">
        <f>H391+N391+T391+Z391+AF391</f>
        <v/>
      </c>
      <c r="AJ391" s="33">
        <f>AF391/AI391</f>
        <v/>
      </c>
      <c r="AK391">
        <f>IF(AJ391&gt;'Parámetros Proyección'!$B$5,1,0)</f>
        <v/>
      </c>
      <c r="AL391" s="35">
        <f>G391+M391+S391+Y391+AE391</f>
        <v/>
      </c>
      <c r="AM391" s="35">
        <f>AM390+D391</f>
        <v/>
      </c>
      <c r="AN391" s="35">
        <f>AN390+AL391</f>
        <v/>
      </c>
      <c r="AO391" s="35">
        <f>J391+P391+V391+AB391+AH391</f>
        <v/>
      </c>
    </row>
    <row r="392">
      <c r="A392" t="n">
        <v>389</v>
      </c>
      <c r="B392" s="34">
        <f>EDATE(B391,1)</f>
        <v/>
      </c>
      <c r="C392">
        <f>YEAR(B392)</f>
        <v/>
      </c>
      <c r="D392" s="35">
        <f>'Parámetros Proyección'!$B$3*(1+'Parámetros Proyección'!$B$4)^(C392-YEAR('Parámetros Proyección'!$B$6))</f>
        <v/>
      </c>
      <c r="E392" s="35">
        <f>J391</f>
        <v/>
      </c>
      <c r="F392" s="35">
        <f>E392*(1+'Parámetros Proyección'!$E$11)</f>
        <v/>
      </c>
      <c r="G392" s="35">
        <f>F392*'Parámetros Proyección'!$F$11</f>
        <v/>
      </c>
      <c r="H392" s="35">
        <f>F392+G392</f>
        <v/>
      </c>
      <c r="I392" s="35">
        <f>IF((H392/AI392&gt;'Parámetros Proyección'!$G$11),0,D392*'Parámetros Proyección'!$G$11/(IF((H392/AI392&gt;'Parámetros Proyección'!$G$11),0,'Parámetros Proyección'!$G$11)+IF((N392/AI392&gt;'Parámetros Proyección'!$G$12),0,'Parámetros Proyección'!$G$12)+IF((T392/AI392&gt;'Parámetros Proyección'!$G$13),0,'Parámetros Proyección'!$G$13)+IF((Z392/AI392&gt;'Parámetros Proyección'!$G$14),0,'Parámetros Proyección'!$G$14)+IF((AF392/AI392&gt;'Parámetros Proyección'!$G$15),0,'Parámetros Proyección'!$G$15)))</f>
        <v/>
      </c>
      <c r="J392" s="35">
        <f>H392+I392</f>
        <v/>
      </c>
      <c r="K392" s="35">
        <f>P391</f>
        <v/>
      </c>
      <c r="L392" s="35">
        <f>K392*(1+'Parámetros Proyección'!$E$12)</f>
        <v/>
      </c>
      <c r="M392" s="35">
        <f>L392*'Parámetros Proyección'!$F$12</f>
        <v/>
      </c>
      <c r="N392" s="35">
        <f>L392+M392</f>
        <v/>
      </c>
      <c r="O392" s="35">
        <f>IF((N392/AI392&gt;'Parámetros Proyección'!$G$12),0,D392*'Parámetros Proyección'!$G$12/(IF((H392/AI392&gt;'Parámetros Proyección'!$G$11),0,'Parámetros Proyección'!$G$11)+IF((N392/AI392&gt;'Parámetros Proyección'!$G$12),0,'Parámetros Proyección'!$G$12)+IF((T392/AI392&gt;'Parámetros Proyección'!$G$13),0,'Parámetros Proyección'!$G$13)+IF((Z392/AI392&gt;'Parámetros Proyección'!$G$14),0,'Parámetros Proyección'!$G$14)+IF((AF392/AI392&gt;'Parámetros Proyección'!$G$15),0,'Parámetros Proyección'!$G$15)))</f>
        <v/>
      </c>
      <c r="P392" s="35">
        <f>N392+O392</f>
        <v/>
      </c>
      <c r="Q392" s="35">
        <f>V391</f>
        <v/>
      </c>
      <c r="R392" s="35">
        <f>Q392*(1+'Parámetros Proyección'!$E$13)</f>
        <v/>
      </c>
      <c r="S392" s="35">
        <f>R392*'Parámetros Proyección'!$F$13</f>
        <v/>
      </c>
      <c r="T392" s="35">
        <f>R392+S392</f>
        <v/>
      </c>
      <c r="U392" s="35">
        <f>IF((T392/AI392&gt;'Parámetros Proyección'!$G$13),0,D392*'Parámetros Proyección'!$G$13/(IF((H392/AI392&gt;'Parámetros Proyección'!$G$11),0,'Parámetros Proyección'!$G$11)+IF((N392/AI392&gt;'Parámetros Proyección'!$G$12),0,'Parámetros Proyección'!$G$12)+IF((T392/AI392&gt;'Parámetros Proyección'!$G$13),0,'Parámetros Proyección'!$G$13)+IF((Z392/AI392&gt;'Parámetros Proyección'!$G$14),0,'Parámetros Proyección'!$G$14)+IF((AF392/AI392&gt;'Parámetros Proyección'!$G$15),0,'Parámetros Proyección'!$G$15)))</f>
        <v/>
      </c>
      <c r="V392" s="35">
        <f>T392+U392</f>
        <v/>
      </c>
      <c r="W392" s="35">
        <f>AB391</f>
        <v/>
      </c>
      <c r="X392" s="35">
        <f>W392*(1+'Parámetros Proyección'!$E$14)</f>
        <v/>
      </c>
      <c r="Y392" s="35">
        <f>X392*'Parámetros Proyección'!$F$14</f>
        <v/>
      </c>
      <c r="Z392" s="35">
        <f>X392+Y392</f>
        <v/>
      </c>
      <c r="AA392" s="35">
        <f>IF((Z392/AI392&gt;'Parámetros Proyección'!$G$14),0,D392*'Parámetros Proyección'!$G$14/(IF((H392/AI392&gt;'Parámetros Proyección'!$G$11),0,'Parámetros Proyección'!$G$11)+IF((N392/AI392&gt;'Parámetros Proyección'!$G$12),0,'Parámetros Proyección'!$G$12)+IF((T392/AI392&gt;'Parámetros Proyección'!$G$13),0,'Parámetros Proyección'!$G$13)+IF((Z392/AI392&gt;'Parámetros Proyección'!$G$14),0,'Parámetros Proyección'!$G$14)+IF((AF392/AI392&gt;'Parámetros Proyección'!$G$15),0,'Parámetros Proyección'!$G$15)))</f>
        <v/>
      </c>
      <c r="AB392" s="35">
        <f>Z392+AA392</f>
        <v/>
      </c>
      <c r="AC392" s="35">
        <f>AH391</f>
        <v/>
      </c>
      <c r="AD392" s="35">
        <f>AC392*(1+'Parámetros Proyección'!$E$15)</f>
        <v/>
      </c>
      <c r="AE392" s="35">
        <f>AD392*'Parámetros Proyección'!$F$15</f>
        <v/>
      </c>
      <c r="AF392" s="35">
        <f>AD392+AE392</f>
        <v/>
      </c>
      <c r="AG392" s="35">
        <f>IF((AF392/AI392&gt;'Parámetros Proyección'!$G$15),0,D392*'Parámetros Proyección'!$G$15/(IF((H392/AI392&gt;'Parámetros Proyección'!$G$11),0,'Parámetros Proyección'!$G$11)+IF((N392/AI392&gt;'Parámetros Proyección'!$G$12),0,'Parámetros Proyección'!$G$12)+IF((T392/AI392&gt;'Parámetros Proyección'!$G$13),0,'Parámetros Proyección'!$G$13)+IF((Z392/AI392&gt;'Parámetros Proyección'!$G$14),0,'Parámetros Proyección'!$G$14)+IF((AF392/AI392&gt;'Parámetros Proyección'!$G$15),0,'Parámetros Proyección'!$G$15)))</f>
        <v/>
      </c>
      <c r="AH392" s="35">
        <f>AF392+AG392</f>
        <v/>
      </c>
      <c r="AI392" s="35">
        <f>H392+N392+T392+Z392+AF392</f>
        <v/>
      </c>
      <c r="AJ392" s="33">
        <f>AF392/AI392</f>
        <v/>
      </c>
      <c r="AK392">
        <f>IF(AJ392&gt;'Parámetros Proyección'!$B$5,1,0)</f>
        <v/>
      </c>
      <c r="AL392" s="35">
        <f>G392+M392+S392+Y392+AE392</f>
        <v/>
      </c>
      <c r="AM392" s="35">
        <f>AM391+D392</f>
        <v/>
      </c>
      <c r="AN392" s="35">
        <f>AN391+AL392</f>
        <v/>
      </c>
      <c r="AO392" s="35">
        <f>J392+P392+V392+AB392+AH392</f>
        <v/>
      </c>
    </row>
    <row r="393">
      <c r="A393" t="n">
        <v>390</v>
      </c>
      <c r="B393" s="34">
        <f>EDATE(B392,1)</f>
        <v/>
      </c>
      <c r="C393">
        <f>YEAR(B393)</f>
        <v/>
      </c>
      <c r="D393" s="35">
        <f>'Parámetros Proyección'!$B$3*(1+'Parámetros Proyección'!$B$4)^(C393-YEAR('Parámetros Proyección'!$B$6))</f>
        <v/>
      </c>
      <c r="E393" s="35">
        <f>J392</f>
        <v/>
      </c>
      <c r="F393" s="35">
        <f>E393*(1+'Parámetros Proyección'!$E$11)</f>
        <v/>
      </c>
      <c r="G393" s="35">
        <f>F393*'Parámetros Proyección'!$F$11</f>
        <v/>
      </c>
      <c r="H393" s="35">
        <f>F393+G393</f>
        <v/>
      </c>
      <c r="I393" s="35">
        <f>IF((H393/AI393&gt;'Parámetros Proyección'!$G$11),0,D393*'Parámetros Proyección'!$G$11/(IF((H393/AI393&gt;'Parámetros Proyección'!$G$11),0,'Parámetros Proyección'!$G$11)+IF((N393/AI393&gt;'Parámetros Proyección'!$G$12),0,'Parámetros Proyección'!$G$12)+IF((T393/AI393&gt;'Parámetros Proyección'!$G$13),0,'Parámetros Proyección'!$G$13)+IF((Z393/AI393&gt;'Parámetros Proyección'!$G$14),0,'Parámetros Proyección'!$G$14)+IF((AF393/AI393&gt;'Parámetros Proyección'!$G$15),0,'Parámetros Proyección'!$G$15)))</f>
        <v/>
      </c>
      <c r="J393" s="35">
        <f>H393+I393</f>
        <v/>
      </c>
      <c r="K393" s="35">
        <f>P392</f>
        <v/>
      </c>
      <c r="L393" s="35">
        <f>K393*(1+'Parámetros Proyección'!$E$12)</f>
        <v/>
      </c>
      <c r="M393" s="35">
        <f>L393*'Parámetros Proyección'!$F$12</f>
        <v/>
      </c>
      <c r="N393" s="35">
        <f>L393+M393</f>
        <v/>
      </c>
      <c r="O393" s="35">
        <f>IF((N393/AI393&gt;'Parámetros Proyección'!$G$12),0,D393*'Parámetros Proyección'!$G$12/(IF((H393/AI393&gt;'Parámetros Proyección'!$G$11),0,'Parámetros Proyección'!$G$11)+IF((N393/AI393&gt;'Parámetros Proyección'!$G$12),0,'Parámetros Proyección'!$G$12)+IF((T393/AI393&gt;'Parámetros Proyección'!$G$13),0,'Parámetros Proyección'!$G$13)+IF((Z393/AI393&gt;'Parámetros Proyección'!$G$14),0,'Parámetros Proyección'!$G$14)+IF((AF393/AI393&gt;'Parámetros Proyección'!$G$15),0,'Parámetros Proyección'!$G$15)))</f>
        <v/>
      </c>
      <c r="P393" s="35">
        <f>N393+O393</f>
        <v/>
      </c>
      <c r="Q393" s="35">
        <f>V392</f>
        <v/>
      </c>
      <c r="R393" s="35">
        <f>Q393*(1+'Parámetros Proyección'!$E$13)</f>
        <v/>
      </c>
      <c r="S393" s="35">
        <f>R393*'Parámetros Proyección'!$F$13</f>
        <v/>
      </c>
      <c r="T393" s="35">
        <f>R393+S393</f>
        <v/>
      </c>
      <c r="U393" s="35">
        <f>IF((T393/AI393&gt;'Parámetros Proyección'!$G$13),0,D393*'Parámetros Proyección'!$G$13/(IF((H393/AI393&gt;'Parámetros Proyección'!$G$11),0,'Parámetros Proyección'!$G$11)+IF((N393/AI393&gt;'Parámetros Proyección'!$G$12),0,'Parámetros Proyección'!$G$12)+IF((T393/AI393&gt;'Parámetros Proyección'!$G$13),0,'Parámetros Proyección'!$G$13)+IF((Z393/AI393&gt;'Parámetros Proyección'!$G$14),0,'Parámetros Proyección'!$G$14)+IF((AF393/AI393&gt;'Parámetros Proyección'!$G$15),0,'Parámetros Proyección'!$G$15)))</f>
        <v/>
      </c>
      <c r="V393" s="35">
        <f>T393+U393</f>
        <v/>
      </c>
      <c r="W393" s="35">
        <f>AB392</f>
        <v/>
      </c>
      <c r="X393" s="35">
        <f>W393*(1+'Parámetros Proyección'!$E$14)</f>
        <v/>
      </c>
      <c r="Y393" s="35">
        <f>X393*'Parámetros Proyección'!$F$14</f>
        <v/>
      </c>
      <c r="Z393" s="35">
        <f>X393+Y393</f>
        <v/>
      </c>
      <c r="AA393" s="35">
        <f>IF((Z393/AI393&gt;'Parámetros Proyección'!$G$14),0,D393*'Parámetros Proyección'!$G$14/(IF((H393/AI393&gt;'Parámetros Proyección'!$G$11),0,'Parámetros Proyección'!$G$11)+IF((N393/AI393&gt;'Parámetros Proyección'!$G$12),0,'Parámetros Proyección'!$G$12)+IF((T393/AI393&gt;'Parámetros Proyección'!$G$13),0,'Parámetros Proyección'!$G$13)+IF((Z393/AI393&gt;'Parámetros Proyección'!$G$14),0,'Parámetros Proyección'!$G$14)+IF((AF393/AI393&gt;'Parámetros Proyección'!$G$15),0,'Parámetros Proyección'!$G$15)))</f>
        <v/>
      </c>
      <c r="AB393" s="35">
        <f>Z393+AA393</f>
        <v/>
      </c>
      <c r="AC393" s="35">
        <f>AH392</f>
        <v/>
      </c>
      <c r="AD393" s="35">
        <f>AC393*(1+'Parámetros Proyección'!$E$15)</f>
        <v/>
      </c>
      <c r="AE393" s="35">
        <f>AD393*'Parámetros Proyección'!$F$15</f>
        <v/>
      </c>
      <c r="AF393" s="35">
        <f>AD393+AE393</f>
        <v/>
      </c>
      <c r="AG393" s="35">
        <f>IF((AF393/AI393&gt;'Parámetros Proyección'!$G$15),0,D393*'Parámetros Proyección'!$G$15/(IF((H393/AI393&gt;'Parámetros Proyección'!$G$11),0,'Parámetros Proyección'!$G$11)+IF((N393/AI393&gt;'Parámetros Proyección'!$G$12),0,'Parámetros Proyección'!$G$12)+IF((T393/AI393&gt;'Parámetros Proyección'!$G$13),0,'Parámetros Proyección'!$G$13)+IF((Z393/AI393&gt;'Parámetros Proyección'!$G$14),0,'Parámetros Proyección'!$G$14)+IF((AF393/AI393&gt;'Parámetros Proyección'!$G$15),0,'Parámetros Proyección'!$G$15)))</f>
        <v/>
      </c>
      <c r="AH393" s="35">
        <f>AF393+AG393</f>
        <v/>
      </c>
      <c r="AI393" s="35">
        <f>H393+N393+T393+Z393+AF393</f>
        <v/>
      </c>
      <c r="AJ393" s="33">
        <f>AF393/AI393</f>
        <v/>
      </c>
      <c r="AK393">
        <f>IF(AJ393&gt;'Parámetros Proyección'!$B$5,1,0)</f>
        <v/>
      </c>
      <c r="AL393" s="35">
        <f>G393+M393+S393+Y393+AE393</f>
        <v/>
      </c>
      <c r="AM393" s="35">
        <f>AM392+D393</f>
        <v/>
      </c>
      <c r="AN393" s="35">
        <f>AN392+AL393</f>
        <v/>
      </c>
      <c r="AO393" s="35">
        <f>J393+P393+V393+AB393+AH393</f>
        <v/>
      </c>
    </row>
    <row r="394">
      <c r="A394" t="n">
        <v>391</v>
      </c>
      <c r="B394" s="34">
        <f>EDATE(B393,1)</f>
        <v/>
      </c>
      <c r="C394">
        <f>YEAR(B394)</f>
        <v/>
      </c>
      <c r="D394" s="35">
        <f>'Parámetros Proyección'!$B$3*(1+'Parámetros Proyección'!$B$4)^(C394-YEAR('Parámetros Proyección'!$B$6))</f>
        <v/>
      </c>
      <c r="E394" s="35">
        <f>J393</f>
        <v/>
      </c>
      <c r="F394" s="35">
        <f>E394*(1+'Parámetros Proyección'!$E$11)</f>
        <v/>
      </c>
      <c r="G394" s="35">
        <f>F394*'Parámetros Proyección'!$F$11</f>
        <v/>
      </c>
      <c r="H394" s="35">
        <f>F394+G394</f>
        <v/>
      </c>
      <c r="I394" s="35">
        <f>IF((H394/AI394&gt;'Parámetros Proyección'!$G$11),0,D394*'Parámetros Proyección'!$G$11/(IF((H394/AI394&gt;'Parámetros Proyección'!$G$11),0,'Parámetros Proyección'!$G$11)+IF((N394/AI394&gt;'Parámetros Proyección'!$G$12),0,'Parámetros Proyección'!$G$12)+IF((T394/AI394&gt;'Parámetros Proyección'!$G$13),0,'Parámetros Proyección'!$G$13)+IF((Z394/AI394&gt;'Parámetros Proyección'!$G$14),0,'Parámetros Proyección'!$G$14)+IF((AF394/AI394&gt;'Parámetros Proyección'!$G$15),0,'Parámetros Proyección'!$G$15)))</f>
        <v/>
      </c>
      <c r="J394" s="35">
        <f>H394+I394</f>
        <v/>
      </c>
      <c r="K394" s="35">
        <f>P393</f>
        <v/>
      </c>
      <c r="L394" s="35">
        <f>K394*(1+'Parámetros Proyección'!$E$12)</f>
        <v/>
      </c>
      <c r="M394" s="35">
        <f>L394*'Parámetros Proyección'!$F$12</f>
        <v/>
      </c>
      <c r="N394" s="35">
        <f>L394+M394</f>
        <v/>
      </c>
      <c r="O394" s="35">
        <f>IF((N394/AI394&gt;'Parámetros Proyección'!$G$12),0,D394*'Parámetros Proyección'!$G$12/(IF((H394/AI394&gt;'Parámetros Proyección'!$G$11),0,'Parámetros Proyección'!$G$11)+IF((N394/AI394&gt;'Parámetros Proyección'!$G$12),0,'Parámetros Proyección'!$G$12)+IF((T394/AI394&gt;'Parámetros Proyección'!$G$13),0,'Parámetros Proyección'!$G$13)+IF((Z394/AI394&gt;'Parámetros Proyección'!$G$14),0,'Parámetros Proyección'!$G$14)+IF((AF394/AI394&gt;'Parámetros Proyección'!$G$15),0,'Parámetros Proyección'!$G$15)))</f>
        <v/>
      </c>
      <c r="P394" s="35">
        <f>N394+O394</f>
        <v/>
      </c>
      <c r="Q394" s="35">
        <f>V393</f>
        <v/>
      </c>
      <c r="R394" s="35">
        <f>Q394*(1+'Parámetros Proyección'!$E$13)</f>
        <v/>
      </c>
      <c r="S394" s="35">
        <f>R394*'Parámetros Proyección'!$F$13</f>
        <v/>
      </c>
      <c r="T394" s="35">
        <f>R394+S394</f>
        <v/>
      </c>
      <c r="U394" s="35">
        <f>IF((T394/AI394&gt;'Parámetros Proyección'!$G$13),0,D394*'Parámetros Proyección'!$G$13/(IF((H394/AI394&gt;'Parámetros Proyección'!$G$11),0,'Parámetros Proyección'!$G$11)+IF((N394/AI394&gt;'Parámetros Proyección'!$G$12),0,'Parámetros Proyección'!$G$12)+IF((T394/AI394&gt;'Parámetros Proyección'!$G$13),0,'Parámetros Proyección'!$G$13)+IF((Z394/AI394&gt;'Parámetros Proyección'!$G$14),0,'Parámetros Proyección'!$G$14)+IF((AF394/AI394&gt;'Parámetros Proyección'!$G$15),0,'Parámetros Proyección'!$G$15)))</f>
        <v/>
      </c>
      <c r="V394" s="35">
        <f>T394+U394</f>
        <v/>
      </c>
      <c r="W394" s="35">
        <f>AB393</f>
        <v/>
      </c>
      <c r="X394" s="35">
        <f>W394*(1+'Parámetros Proyección'!$E$14)</f>
        <v/>
      </c>
      <c r="Y394" s="35">
        <f>X394*'Parámetros Proyección'!$F$14</f>
        <v/>
      </c>
      <c r="Z394" s="35">
        <f>X394+Y394</f>
        <v/>
      </c>
      <c r="AA394" s="35">
        <f>IF((Z394/AI394&gt;'Parámetros Proyección'!$G$14),0,D394*'Parámetros Proyección'!$G$14/(IF((H394/AI394&gt;'Parámetros Proyección'!$G$11),0,'Parámetros Proyección'!$G$11)+IF((N394/AI394&gt;'Parámetros Proyección'!$G$12),0,'Parámetros Proyección'!$G$12)+IF((T394/AI394&gt;'Parámetros Proyección'!$G$13),0,'Parámetros Proyección'!$G$13)+IF((Z394/AI394&gt;'Parámetros Proyección'!$G$14),0,'Parámetros Proyección'!$G$14)+IF((AF394/AI394&gt;'Parámetros Proyección'!$G$15),0,'Parámetros Proyección'!$G$15)))</f>
        <v/>
      </c>
      <c r="AB394" s="35">
        <f>Z394+AA394</f>
        <v/>
      </c>
      <c r="AC394" s="35">
        <f>AH393</f>
        <v/>
      </c>
      <c r="AD394" s="35">
        <f>AC394*(1+'Parámetros Proyección'!$E$15)</f>
        <v/>
      </c>
      <c r="AE394" s="35">
        <f>AD394*'Parámetros Proyección'!$F$15</f>
        <v/>
      </c>
      <c r="AF394" s="35">
        <f>AD394+AE394</f>
        <v/>
      </c>
      <c r="AG394" s="35">
        <f>IF((AF394/AI394&gt;'Parámetros Proyección'!$G$15),0,D394*'Parámetros Proyección'!$G$15/(IF((H394/AI394&gt;'Parámetros Proyección'!$G$11),0,'Parámetros Proyección'!$G$11)+IF((N394/AI394&gt;'Parámetros Proyección'!$G$12),0,'Parámetros Proyección'!$G$12)+IF((T394/AI394&gt;'Parámetros Proyección'!$G$13),0,'Parámetros Proyección'!$G$13)+IF((Z394/AI394&gt;'Parámetros Proyección'!$G$14),0,'Parámetros Proyección'!$G$14)+IF((AF394/AI394&gt;'Parámetros Proyección'!$G$15),0,'Parámetros Proyección'!$G$15)))</f>
        <v/>
      </c>
      <c r="AH394" s="35">
        <f>AF394+AG394</f>
        <v/>
      </c>
      <c r="AI394" s="35">
        <f>H394+N394+T394+Z394+AF394</f>
        <v/>
      </c>
      <c r="AJ394" s="33">
        <f>AF394/AI394</f>
        <v/>
      </c>
      <c r="AK394">
        <f>IF(AJ394&gt;'Parámetros Proyección'!$B$5,1,0)</f>
        <v/>
      </c>
      <c r="AL394" s="35">
        <f>G394+M394+S394+Y394+AE394</f>
        <v/>
      </c>
      <c r="AM394" s="35">
        <f>AM393+D394</f>
        <v/>
      </c>
      <c r="AN394" s="35">
        <f>AN393+AL394</f>
        <v/>
      </c>
      <c r="AO394" s="35">
        <f>J394+P394+V394+AB394+AH394</f>
        <v/>
      </c>
    </row>
    <row r="395">
      <c r="A395" t="n">
        <v>392</v>
      </c>
      <c r="B395" s="34">
        <f>EDATE(B394,1)</f>
        <v/>
      </c>
      <c r="C395">
        <f>YEAR(B395)</f>
        <v/>
      </c>
      <c r="D395" s="35">
        <f>'Parámetros Proyección'!$B$3*(1+'Parámetros Proyección'!$B$4)^(C395-YEAR('Parámetros Proyección'!$B$6))</f>
        <v/>
      </c>
      <c r="E395" s="35">
        <f>J394</f>
        <v/>
      </c>
      <c r="F395" s="35">
        <f>E395*(1+'Parámetros Proyección'!$E$11)</f>
        <v/>
      </c>
      <c r="G395" s="35">
        <f>F395*'Parámetros Proyección'!$F$11</f>
        <v/>
      </c>
      <c r="H395" s="35">
        <f>F395+G395</f>
        <v/>
      </c>
      <c r="I395" s="35">
        <f>IF((H395/AI395&gt;'Parámetros Proyección'!$G$11),0,D395*'Parámetros Proyección'!$G$11/(IF((H395/AI395&gt;'Parámetros Proyección'!$G$11),0,'Parámetros Proyección'!$G$11)+IF((N395/AI395&gt;'Parámetros Proyección'!$G$12),0,'Parámetros Proyección'!$G$12)+IF((T395/AI395&gt;'Parámetros Proyección'!$G$13),0,'Parámetros Proyección'!$G$13)+IF((Z395/AI395&gt;'Parámetros Proyección'!$G$14),0,'Parámetros Proyección'!$G$14)+IF((AF395/AI395&gt;'Parámetros Proyección'!$G$15),0,'Parámetros Proyección'!$G$15)))</f>
        <v/>
      </c>
      <c r="J395" s="35">
        <f>H395+I395</f>
        <v/>
      </c>
      <c r="K395" s="35">
        <f>P394</f>
        <v/>
      </c>
      <c r="L395" s="35">
        <f>K395*(1+'Parámetros Proyección'!$E$12)</f>
        <v/>
      </c>
      <c r="M395" s="35">
        <f>L395*'Parámetros Proyección'!$F$12</f>
        <v/>
      </c>
      <c r="N395" s="35">
        <f>L395+M395</f>
        <v/>
      </c>
      <c r="O395" s="35">
        <f>IF((N395/AI395&gt;'Parámetros Proyección'!$G$12),0,D395*'Parámetros Proyección'!$G$12/(IF((H395/AI395&gt;'Parámetros Proyección'!$G$11),0,'Parámetros Proyección'!$G$11)+IF((N395/AI395&gt;'Parámetros Proyección'!$G$12),0,'Parámetros Proyección'!$G$12)+IF((T395/AI395&gt;'Parámetros Proyección'!$G$13),0,'Parámetros Proyección'!$G$13)+IF((Z395/AI395&gt;'Parámetros Proyección'!$G$14),0,'Parámetros Proyección'!$G$14)+IF((AF395/AI395&gt;'Parámetros Proyección'!$G$15),0,'Parámetros Proyección'!$G$15)))</f>
        <v/>
      </c>
      <c r="P395" s="35">
        <f>N395+O395</f>
        <v/>
      </c>
      <c r="Q395" s="35">
        <f>V394</f>
        <v/>
      </c>
      <c r="R395" s="35">
        <f>Q395*(1+'Parámetros Proyección'!$E$13)</f>
        <v/>
      </c>
      <c r="S395" s="35">
        <f>R395*'Parámetros Proyección'!$F$13</f>
        <v/>
      </c>
      <c r="T395" s="35">
        <f>R395+S395</f>
        <v/>
      </c>
      <c r="U395" s="35">
        <f>IF((T395/AI395&gt;'Parámetros Proyección'!$G$13),0,D395*'Parámetros Proyección'!$G$13/(IF((H395/AI395&gt;'Parámetros Proyección'!$G$11),0,'Parámetros Proyección'!$G$11)+IF((N395/AI395&gt;'Parámetros Proyección'!$G$12),0,'Parámetros Proyección'!$G$12)+IF((T395/AI395&gt;'Parámetros Proyección'!$G$13),0,'Parámetros Proyección'!$G$13)+IF((Z395/AI395&gt;'Parámetros Proyección'!$G$14),0,'Parámetros Proyección'!$G$14)+IF((AF395/AI395&gt;'Parámetros Proyección'!$G$15),0,'Parámetros Proyección'!$G$15)))</f>
        <v/>
      </c>
      <c r="V395" s="35">
        <f>T395+U395</f>
        <v/>
      </c>
      <c r="W395" s="35">
        <f>AB394</f>
        <v/>
      </c>
      <c r="X395" s="35">
        <f>W395*(1+'Parámetros Proyección'!$E$14)</f>
        <v/>
      </c>
      <c r="Y395" s="35">
        <f>X395*'Parámetros Proyección'!$F$14</f>
        <v/>
      </c>
      <c r="Z395" s="35">
        <f>X395+Y395</f>
        <v/>
      </c>
      <c r="AA395" s="35">
        <f>IF((Z395/AI395&gt;'Parámetros Proyección'!$G$14),0,D395*'Parámetros Proyección'!$G$14/(IF((H395/AI395&gt;'Parámetros Proyección'!$G$11),0,'Parámetros Proyección'!$G$11)+IF((N395/AI395&gt;'Parámetros Proyección'!$G$12),0,'Parámetros Proyección'!$G$12)+IF((T395/AI395&gt;'Parámetros Proyección'!$G$13),0,'Parámetros Proyección'!$G$13)+IF((Z395/AI395&gt;'Parámetros Proyección'!$G$14),0,'Parámetros Proyección'!$G$14)+IF((AF395/AI395&gt;'Parámetros Proyección'!$G$15),0,'Parámetros Proyección'!$G$15)))</f>
        <v/>
      </c>
      <c r="AB395" s="35">
        <f>Z395+AA395</f>
        <v/>
      </c>
      <c r="AC395" s="35">
        <f>AH394</f>
        <v/>
      </c>
      <c r="AD395" s="35">
        <f>AC395*(1+'Parámetros Proyección'!$E$15)</f>
        <v/>
      </c>
      <c r="AE395" s="35">
        <f>AD395*'Parámetros Proyección'!$F$15</f>
        <v/>
      </c>
      <c r="AF395" s="35">
        <f>AD395+AE395</f>
        <v/>
      </c>
      <c r="AG395" s="35">
        <f>IF((AF395/AI395&gt;'Parámetros Proyección'!$G$15),0,D395*'Parámetros Proyección'!$G$15/(IF((H395/AI395&gt;'Parámetros Proyección'!$G$11),0,'Parámetros Proyección'!$G$11)+IF((N395/AI395&gt;'Parámetros Proyección'!$G$12),0,'Parámetros Proyección'!$G$12)+IF((T395/AI395&gt;'Parámetros Proyección'!$G$13),0,'Parámetros Proyección'!$G$13)+IF((Z395/AI395&gt;'Parámetros Proyección'!$G$14),0,'Parámetros Proyección'!$G$14)+IF((AF395/AI395&gt;'Parámetros Proyección'!$G$15),0,'Parámetros Proyección'!$G$15)))</f>
        <v/>
      </c>
      <c r="AH395" s="35">
        <f>AF395+AG395</f>
        <v/>
      </c>
      <c r="AI395" s="35">
        <f>H395+N395+T395+Z395+AF395</f>
        <v/>
      </c>
      <c r="AJ395" s="33">
        <f>AF395/AI395</f>
        <v/>
      </c>
      <c r="AK395">
        <f>IF(AJ395&gt;'Parámetros Proyección'!$B$5,1,0)</f>
        <v/>
      </c>
      <c r="AL395" s="35">
        <f>G395+M395+S395+Y395+AE395</f>
        <v/>
      </c>
      <c r="AM395" s="35">
        <f>AM394+D395</f>
        <v/>
      </c>
      <c r="AN395" s="35">
        <f>AN394+AL395</f>
        <v/>
      </c>
      <c r="AO395" s="35">
        <f>J395+P395+V395+AB395+AH395</f>
        <v/>
      </c>
    </row>
    <row r="396">
      <c r="A396" t="n">
        <v>393</v>
      </c>
      <c r="B396" s="34">
        <f>EDATE(B395,1)</f>
        <v/>
      </c>
      <c r="C396">
        <f>YEAR(B396)</f>
        <v/>
      </c>
      <c r="D396" s="35">
        <f>'Parámetros Proyección'!$B$3*(1+'Parámetros Proyección'!$B$4)^(C396-YEAR('Parámetros Proyección'!$B$6))</f>
        <v/>
      </c>
      <c r="E396" s="35">
        <f>J395</f>
        <v/>
      </c>
      <c r="F396" s="35">
        <f>E396*(1+'Parámetros Proyección'!$E$11)</f>
        <v/>
      </c>
      <c r="G396" s="35">
        <f>F396*'Parámetros Proyección'!$F$11</f>
        <v/>
      </c>
      <c r="H396" s="35">
        <f>F396+G396</f>
        <v/>
      </c>
      <c r="I396" s="35">
        <f>IF((H396/AI396&gt;'Parámetros Proyección'!$G$11),0,D396*'Parámetros Proyección'!$G$11/(IF((H396/AI396&gt;'Parámetros Proyección'!$G$11),0,'Parámetros Proyección'!$G$11)+IF((N396/AI396&gt;'Parámetros Proyección'!$G$12),0,'Parámetros Proyección'!$G$12)+IF((T396/AI396&gt;'Parámetros Proyección'!$G$13),0,'Parámetros Proyección'!$G$13)+IF((Z396/AI396&gt;'Parámetros Proyección'!$G$14),0,'Parámetros Proyección'!$G$14)+IF((AF396/AI396&gt;'Parámetros Proyección'!$G$15),0,'Parámetros Proyección'!$G$15)))</f>
        <v/>
      </c>
      <c r="J396" s="35">
        <f>H396+I396</f>
        <v/>
      </c>
      <c r="K396" s="35">
        <f>P395</f>
        <v/>
      </c>
      <c r="L396" s="35">
        <f>K396*(1+'Parámetros Proyección'!$E$12)</f>
        <v/>
      </c>
      <c r="M396" s="35">
        <f>L396*'Parámetros Proyección'!$F$12</f>
        <v/>
      </c>
      <c r="N396" s="35">
        <f>L396+M396</f>
        <v/>
      </c>
      <c r="O396" s="35">
        <f>IF((N396/AI396&gt;'Parámetros Proyección'!$G$12),0,D396*'Parámetros Proyección'!$G$12/(IF((H396/AI396&gt;'Parámetros Proyección'!$G$11),0,'Parámetros Proyección'!$G$11)+IF((N396/AI396&gt;'Parámetros Proyección'!$G$12),0,'Parámetros Proyección'!$G$12)+IF((T396/AI396&gt;'Parámetros Proyección'!$G$13),0,'Parámetros Proyección'!$G$13)+IF((Z396/AI396&gt;'Parámetros Proyección'!$G$14),0,'Parámetros Proyección'!$G$14)+IF((AF396/AI396&gt;'Parámetros Proyección'!$G$15),0,'Parámetros Proyección'!$G$15)))</f>
        <v/>
      </c>
      <c r="P396" s="35">
        <f>N396+O396</f>
        <v/>
      </c>
      <c r="Q396" s="35">
        <f>V395</f>
        <v/>
      </c>
      <c r="R396" s="35">
        <f>Q396*(1+'Parámetros Proyección'!$E$13)</f>
        <v/>
      </c>
      <c r="S396" s="35">
        <f>R396*'Parámetros Proyección'!$F$13</f>
        <v/>
      </c>
      <c r="T396" s="35">
        <f>R396+S396</f>
        <v/>
      </c>
      <c r="U396" s="35">
        <f>IF((T396/AI396&gt;'Parámetros Proyección'!$G$13),0,D396*'Parámetros Proyección'!$G$13/(IF((H396/AI396&gt;'Parámetros Proyección'!$G$11),0,'Parámetros Proyección'!$G$11)+IF((N396/AI396&gt;'Parámetros Proyección'!$G$12),0,'Parámetros Proyección'!$G$12)+IF((T396/AI396&gt;'Parámetros Proyección'!$G$13),0,'Parámetros Proyección'!$G$13)+IF((Z396/AI396&gt;'Parámetros Proyección'!$G$14),0,'Parámetros Proyección'!$G$14)+IF((AF396/AI396&gt;'Parámetros Proyección'!$G$15),0,'Parámetros Proyección'!$G$15)))</f>
        <v/>
      </c>
      <c r="V396" s="35">
        <f>T396+U396</f>
        <v/>
      </c>
      <c r="W396" s="35">
        <f>AB395</f>
        <v/>
      </c>
      <c r="X396" s="35">
        <f>W396*(1+'Parámetros Proyección'!$E$14)</f>
        <v/>
      </c>
      <c r="Y396" s="35">
        <f>X396*'Parámetros Proyección'!$F$14</f>
        <v/>
      </c>
      <c r="Z396" s="35">
        <f>X396+Y396</f>
        <v/>
      </c>
      <c r="AA396" s="35">
        <f>IF((Z396/AI396&gt;'Parámetros Proyección'!$G$14),0,D396*'Parámetros Proyección'!$G$14/(IF((H396/AI396&gt;'Parámetros Proyección'!$G$11),0,'Parámetros Proyección'!$G$11)+IF((N396/AI396&gt;'Parámetros Proyección'!$G$12),0,'Parámetros Proyección'!$G$12)+IF((T396/AI396&gt;'Parámetros Proyección'!$G$13),0,'Parámetros Proyección'!$G$13)+IF((Z396/AI396&gt;'Parámetros Proyección'!$G$14),0,'Parámetros Proyección'!$G$14)+IF((AF396/AI396&gt;'Parámetros Proyección'!$G$15),0,'Parámetros Proyección'!$G$15)))</f>
        <v/>
      </c>
      <c r="AB396" s="35">
        <f>Z396+AA396</f>
        <v/>
      </c>
      <c r="AC396" s="35">
        <f>AH395</f>
        <v/>
      </c>
      <c r="AD396" s="35">
        <f>AC396*(1+'Parámetros Proyección'!$E$15)</f>
        <v/>
      </c>
      <c r="AE396" s="35">
        <f>AD396*'Parámetros Proyección'!$F$15</f>
        <v/>
      </c>
      <c r="AF396" s="35">
        <f>AD396+AE396</f>
        <v/>
      </c>
      <c r="AG396" s="35">
        <f>IF((AF396/AI396&gt;'Parámetros Proyección'!$G$15),0,D396*'Parámetros Proyección'!$G$15/(IF((H396/AI396&gt;'Parámetros Proyección'!$G$11),0,'Parámetros Proyección'!$G$11)+IF((N396/AI396&gt;'Parámetros Proyección'!$G$12),0,'Parámetros Proyección'!$G$12)+IF((T396/AI396&gt;'Parámetros Proyección'!$G$13),0,'Parámetros Proyección'!$G$13)+IF((Z396/AI396&gt;'Parámetros Proyección'!$G$14),0,'Parámetros Proyección'!$G$14)+IF((AF396/AI396&gt;'Parámetros Proyección'!$G$15),0,'Parámetros Proyección'!$G$15)))</f>
        <v/>
      </c>
      <c r="AH396" s="35">
        <f>AF396+AG396</f>
        <v/>
      </c>
      <c r="AI396" s="35">
        <f>H396+N396+T396+Z396+AF396</f>
        <v/>
      </c>
      <c r="AJ396" s="33">
        <f>AF396/AI396</f>
        <v/>
      </c>
      <c r="AK396">
        <f>IF(AJ396&gt;'Parámetros Proyección'!$B$5,1,0)</f>
        <v/>
      </c>
      <c r="AL396" s="35">
        <f>G396+M396+S396+Y396+AE396</f>
        <v/>
      </c>
      <c r="AM396" s="35">
        <f>AM395+D396</f>
        <v/>
      </c>
      <c r="AN396" s="35">
        <f>AN395+AL396</f>
        <v/>
      </c>
      <c r="AO396" s="35">
        <f>J396+P396+V396+AB396+AH396</f>
        <v/>
      </c>
    </row>
    <row r="397">
      <c r="A397" t="n">
        <v>394</v>
      </c>
      <c r="B397" s="34">
        <f>EDATE(B396,1)</f>
        <v/>
      </c>
      <c r="C397">
        <f>YEAR(B397)</f>
        <v/>
      </c>
      <c r="D397" s="35">
        <f>'Parámetros Proyección'!$B$3*(1+'Parámetros Proyección'!$B$4)^(C397-YEAR('Parámetros Proyección'!$B$6))</f>
        <v/>
      </c>
      <c r="E397" s="35">
        <f>J396</f>
        <v/>
      </c>
      <c r="F397" s="35">
        <f>E397*(1+'Parámetros Proyección'!$E$11)</f>
        <v/>
      </c>
      <c r="G397" s="35">
        <f>F397*'Parámetros Proyección'!$F$11</f>
        <v/>
      </c>
      <c r="H397" s="35">
        <f>F397+G397</f>
        <v/>
      </c>
      <c r="I397" s="35">
        <f>IF((H397/AI397&gt;'Parámetros Proyección'!$G$11),0,D397*'Parámetros Proyección'!$G$11/(IF((H397/AI397&gt;'Parámetros Proyección'!$G$11),0,'Parámetros Proyección'!$G$11)+IF((N397/AI397&gt;'Parámetros Proyección'!$G$12),0,'Parámetros Proyección'!$G$12)+IF((T397/AI397&gt;'Parámetros Proyección'!$G$13),0,'Parámetros Proyección'!$G$13)+IF((Z397/AI397&gt;'Parámetros Proyección'!$G$14),0,'Parámetros Proyección'!$G$14)+IF((AF397/AI397&gt;'Parámetros Proyección'!$G$15),0,'Parámetros Proyección'!$G$15)))</f>
        <v/>
      </c>
      <c r="J397" s="35">
        <f>H397+I397</f>
        <v/>
      </c>
      <c r="K397" s="35">
        <f>P396</f>
        <v/>
      </c>
      <c r="L397" s="35">
        <f>K397*(1+'Parámetros Proyección'!$E$12)</f>
        <v/>
      </c>
      <c r="M397" s="35">
        <f>L397*'Parámetros Proyección'!$F$12</f>
        <v/>
      </c>
      <c r="N397" s="35">
        <f>L397+M397</f>
        <v/>
      </c>
      <c r="O397" s="35">
        <f>IF((N397/AI397&gt;'Parámetros Proyección'!$G$12),0,D397*'Parámetros Proyección'!$G$12/(IF((H397/AI397&gt;'Parámetros Proyección'!$G$11),0,'Parámetros Proyección'!$G$11)+IF((N397/AI397&gt;'Parámetros Proyección'!$G$12),0,'Parámetros Proyección'!$G$12)+IF((T397/AI397&gt;'Parámetros Proyección'!$G$13),0,'Parámetros Proyección'!$G$13)+IF((Z397/AI397&gt;'Parámetros Proyección'!$G$14),0,'Parámetros Proyección'!$G$14)+IF((AF397/AI397&gt;'Parámetros Proyección'!$G$15),0,'Parámetros Proyección'!$G$15)))</f>
        <v/>
      </c>
      <c r="P397" s="35">
        <f>N397+O397</f>
        <v/>
      </c>
      <c r="Q397" s="35">
        <f>V396</f>
        <v/>
      </c>
      <c r="R397" s="35">
        <f>Q397*(1+'Parámetros Proyección'!$E$13)</f>
        <v/>
      </c>
      <c r="S397" s="35">
        <f>R397*'Parámetros Proyección'!$F$13</f>
        <v/>
      </c>
      <c r="T397" s="35">
        <f>R397+S397</f>
        <v/>
      </c>
      <c r="U397" s="35">
        <f>IF((T397/AI397&gt;'Parámetros Proyección'!$G$13),0,D397*'Parámetros Proyección'!$G$13/(IF((H397/AI397&gt;'Parámetros Proyección'!$G$11),0,'Parámetros Proyección'!$G$11)+IF((N397/AI397&gt;'Parámetros Proyección'!$G$12),0,'Parámetros Proyección'!$G$12)+IF((T397/AI397&gt;'Parámetros Proyección'!$G$13),0,'Parámetros Proyección'!$G$13)+IF((Z397/AI397&gt;'Parámetros Proyección'!$G$14),0,'Parámetros Proyección'!$G$14)+IF((AF397/AI397&gt;'Parámetros Proyección'!$G$15),0,'Parámetros Proyección'!$G$15)))</f>
        <v/>
      </c>
      <c r="V397" s="35">
        <f>T397+U397</f>
        <v/>
      </c>
      <c r="W397" s="35">
        <f>AB396</f>
        <v/>
      </c>
      <c r="X397" s="35">
        <f>W397*(1+'Parámetros Proyección'!$E$14)</f>
        <v/>
      </c>
      <c r="Y397" s="35">
        <f>X397*'Parámetros Proyección'!$F$14</f>
        <v/>
      </c>
      <c r="Z397" s="35">
        <f>X397+Y397</f>
        <v/>
      </c>
      <c r="AA397" s="35">
        <f>IF((Z397/AI397&gt;'Parámetros Proyección'!$G$14),0,D397*'Parámetros Proyección'!$G$14/(IF((H397/AI397&gt;'Parámetros Proyección'!$G$11),0,'Parámetros Proyección'!$G$11)+IF((N397/AI397&gt;'Parámetros Proyección'!$G$12),0,'Parámetros Proyección'!$G$12)+IF((T397/AI397&gt;'Parámetros Proyección'!$G$13),0,'Parámetros Proyección'!$G$13)+IF((Z397/AI397&gt;'Parámetros Proyección'!$G$14),0,'Parámetros Proyección'!$G$14)+IF((AF397/AI397&gt;'Parámetros Proyección'!$G$15),0,'Parámetros Proyección'!$G$15)))</f>
        <v/>
      </c>
      <c r="AB397" s="35">
        <f>Z397+AA397</f>
        <v/>
      </c>
      <c r="AC397" s="35">
        <f>AH396</f>
        <v/>
      </c>
      <c r="AD397" s="35">
        <f>AC397*(1+'Parámetros Proyección'!$E$15)</f>
        <v/>
      </c>
      <c r="AE397" s="35">
        <f>AD397*'Parámetros Proyección'!$F$15</f>
        <v/>
      </c>
      <c r="AF397" s="35">
        <f>AD397+AE397</f>
        <v/>
      </c>
      <c r="AG397" s="35">
        <f>IF((AF397/AI397&gt;'Parámetros Proyección'!$G$15),0,D397*'Parámetros Proyección'!$G$15/(IF((H397/AI397&gt;'Parámetros Proyección'!$G$11),0,'Parámetros Proyección'!$G$11)+IF((N397/AI397&gt;'Parámetros Proyección'!$G$12),0,'Parámetros Proyección'!$G$12)+IF((T397/AI397&gt;'Parámetros Proyección'!$G$13),0,'Parámetros Proyección'!$G$13)+IF((Z397/AI397&gt;'Parámetros Proyección'!$G$14),0,'Parámetros Proyección'!$G$14)+IF((AF397/AI397&gt;'Parámetros Proyección'!$G$15),0,'Parámetros Proyección'!$G$15)))</f>
        <v/>
      </c>
      <c r="AH397" s="35">
        <f>AF397+AG397</f>
        <v/>
      </c>
      <c r="AI397" s="35">
        <f>H397+N397+T397+Z397+AF397</f>
        <v/>
      </c>
      <c r="AJ397" s="33">
        <f>AF397/AI397</f>
        <v/>
      </c>
      <c r="AK397">
        <f>IF(AJ397&gt;'Parámetros Proyección'!$B$5,1,0)</f>
        <v/>
      </c>
      <c r="AL397" s="35">
        <f>G397+M397+S397+Y397+AE397</f>
        <v/>
      </c>
      <c r="AM397" s="35">
        <f>AM396+D397</f>
        <v/>
      </c>
      <c r="AN397" s="35">
        <f>AN396+AL397</f>
        <v/>
      </c>
      <c r="AO397" s="35">
        <f>J397+P397+V397+AB397+AH397</f>
        <v/>
      </c>
    </row>
    <row r="398">
      <c r="A398" t="n">
        <v>395</v>
      </c>
      <c r="B398" s="34">
        <f>EDATE(B397,1)</f>
        <v/>
      </c>
      <c r="C398">
        <f>YEAR(B398)</f>
        <v/>
      </c>
      <c r="D398" s="35">
        <f>'Parámetros Proyección'!$B$3*(1+'Parámetros Proyección'!$B$4)^(C398-YEAR('Parámetros Proyección'!$B$6))</f>
        <v/>
      </c>
      <c r="E398" s="35">
        <f>J397</f>
        <v/>
      </c>
      <c r="F398" s="35">
        <f>E398*(1+'Parámetros Proyección'!$E$11)</f>
        <v/>
      </c>
      <c r="G398" s="35">
        <f>F398*'Parámetros Proyección'!$F$11</f>
        <v/>
      </c>
      <c r="H398" s="35">
        <f>F398+G398</f>
        <v/>
      </c>
      <c r="I398" s="35">
        <f>IF((H398/AI398&gt;'Parámetros Proyección'!$G$11),0,D398*'Parámetros Proyección'!$G$11/(IF((H398/AI398&gt;'Parámetros Proyección'!$G$11),0,'Parámetros Proyección'!$G$11)+IF((N398/AI398&gt;'Parámetros Proyección'!$G$12),0,'Parámetros Proyección'!$G$12)+IF((T398/AI398&gt;'Parámetros Proyección'!$G$13),0,'Parámetros Proyección'!$G$13)+IF((Z398/AI398&gt;'Parámetros Proyección'!$G$14),0,'Parámetros Proyección'!$G$14)+IF((AF398/AI398&gt;'Parámetros Proyección'!$G$15),0,'Parámetros Proyección'!$G$15)))</f>
        <v/>
      </c>
      <c r="J398" s="35">
        <f>H398+I398</f>
        <v/>
      </c>
      <c r="K398" s="35">
        <f>P397</f>
        <v/>
      </c>
      <c r="L398" s="35">
        <f>K398*(1+'Parámetros Proyección'!$E$12)</f>
        <v/>
      </c>
      <c r="M398" s="35">
        <f>L398*'Parámetros Proyección'!$F$12</f>
        <v/>
      </c>
      <c r="N398" s="35">
        <f>L398+M398</f>
        <v/>
      </c>
      <c r="O398" s="35">
        <f>IF((N398/AI398&gt;'Parámetros Proyección'!$G$12),0,D398*'Parámetros Proyección'!$G$12/(IF((H398/AI398&gt;'Parámetros Proyección'!$G$11),0,'Parámetros Proyección'!$G$11)+IF((N398/AI398&gt;'Parámetros Proyección'!$G$12),0,'Parámetros Proyección'!$G$12)+IF((T398/AI398&gt;'Parámetros Proyección'!$G$13),0,'Parámetros Proyección'!$G$13)+IF((Z398/AI398&gt;'Parámetros Proyección'!$G$14),0,'Parámetros Proyección'!$G$14)+IF((AF398/AI398&gt;'Parámetros Proyección'!$G$15),0,'Parámetros Proyección'!$G$15)))</f>
        <v/>
      </c>
      <c r="P398" s="35">
        <f>N398+O398</f>
        <v/>
      </c>
      <c r="Q398" s="35">
        <f>V397</f>
        <v/>
      </c>
      <c r="R398" s="35">
        <f>Q398*(1+'Parámetros Proyección'!$E$13)</f>
        <v/>
      </c>
      <c r="S398" s="35">
        <f>R398*'Parámetros Proyección'!$F$13</f>
        <v/>
      </c>
      <c r="T398" s="35">
        <f>R398+S398</f>
        <v/>
      </c>
      <c r="U398" s="35">
        <f>IF((T398/AI398&gt;'Parámetros Proyección'!$G$13),0,D398*'Parámetros Proyección'!$G$13/(IF((H398/AI398&gt;'Parámetros Proyección'!$G$11),0,'Parámetros Proyección'!$G$11)+IF((N398/AI398&gt;'Parámetros Proyección'!$G$12),0,'Parámetros Proyección'!$G$12)+IF((T398/AI398&gt;'Parámetros Proyección'!$G$13),0,'Parámetros Proyección'!$G$13)+IF((Z398/AI398&gt;'Parámetros Proyección'!$G$14),0,'Parámetros Proyección'!$G$14)+IF((AF398/AI398&gt;'Parámetros Proyección'!$G$15),0,'Parámetros Proyección'!$G$15)))</f>
        <v/>
      </c>
      <c r="V398" s="35">
        <f>T398+U398</f>
        <v/>
      </c>
      <c r="W398" s="35">
        <f>AB397</f>
        <v/>
      </c>
      <c r="X398" s="35">
        <f>W398*(1+'Parámetros Proyección'!$E$14)</f>
        <v/>
      </c>
      <c r="Y398" s="35">
        <f>X398*'Parámetros Proyección'!$F$14</f>
        <v/>
      </c>
      <c r="Z398" s="35">
        <f>X398+Y398</f>
        <v/>
      </c>
      <c r="AA398" s="35">
        <f>IF((Z398/AI398&gt;'Parámetros Proyección'!$G$14),0,D398*'Parámetros Proyección'!$G$14/(IF((H398/AI398&gt;'Parámetros Proyección'!$G$11),0,'Parámetros Proyección'!$G$11)+IF((N398/AI398&gt;'Parámetros Proyección'!$G$12),0,'Parámetros Proyección'!$G$12)+IF((T398/AI398&gt;'Parámetros Proyección'!$G$13),0,'Parámetros Proyección'!$G$13)+IF((Z398/AI398&gt;'Parámetros Proyección'!$G$14),0,'Parámetros Proyección'!$G$14)+IF((AF398/AI398&gt;'Parámetros Proyección'!$G$15),0,'Parámetros Proyección'!$G$15)))</f>
        <v/>
      </c>
      <c r="AB398" s="35">
        <f>Z398+AA398</f>
        <v/>
      </c>
      <c r="AC398" s="35">
        <f>AH397</f>
        <v/>
      </c>
      <c r="AD398" s="35">
        <f>AC398*(1+'Parámetros Proyección'!$E$15)</f>
        <v/>
      </c>
      <c r="AE398" s="35">
        <f>AD398*'Parámetros Proyección'!$F$15</f>
        <v/>
      </c>
      <c r="AF398" s="35">
        <f>AD398+AE398</f>
        <v/>
      </c>
      <c r="AG398" s="35">
        <f>IF((AF398/AI398&gt;'Parámetros Proyección'!$G$15),0,D398*'Parámetros Proyección'!$G$15/(IF((H398/AI398&gt;'Parámetros Proyección'!$G$11),0,'Parámetros Proyección'!$G$11)+IF((N398/AI398&gt;'Parámetros Proyección'!$G$12),0,'Parámetros Proyección'!$G$12)+IF((T398/AI398&gt;'Parámetros Proyección'!$G$13),0,'Parámetros Proyección'!$G$13)+IF((Z398/AI398&gt;'Parámetros Proyección'!$G$14),0,'Parámetros Proyección'!$G$14)+IF((AF398/AI398&gt;'Parámetros Proyección'!$G$15),0,'Parámetros Proyección'!$G$15)))</f>
        <v/>
      </c>
      <c r="AH398" s="35">
        <f>AF398+AG398</f>
        <v/>
      </c>
      <c r="AI398" s="35">
        <f>H398+N398+T398+Z398+AF398</f>
        <v/>
      </c>
      <c r="AJ398" s="33">
        <f>AF398/AI398</f>
        <v/>
      </c>
      <c r="AK398">
        <f>IF(AJ398&gt;'Parámetros Proyección'!$B$5,1,0)</f>
        <v/>
      </c>
      <c r="AL398" s="35">
        <f>G398+M398+S398+Y398+AE398</f>
        <v/>
      </c>
      <c r="AM398" s="35">
        <f>AM397+D398</f>
        <v/>
      </c>
      <c r="AN398" s="35">
        <f>AN397+AL398</f>
        <v/>
      </c>
      <c r="AO398" s="35">
        <f>J398+P398+V398+AB398+AH398</f>
        <v/>
      </c>
    </row>
    <row r="399">
      <c r="A399" t="n">
        <v>396</v>
      </c>
      <c r="B399" s="34">
        <f>EDATE(B398,1)</f>
        <v/>
      </c>
      <c r="C399">
        <f>YEAR(B399)</f>
        <v/>
      </c>
      <c r="D399" s="35">
        <f>'Parámetros Proyección'!$B$3*(1+'Parámetros Proyección'!$B$4)^(C399-YEAR('Parámetros Proyección'!$B$6))</f>
        <v/>
      </c>
      <c r="E399" s="35">
        <f>J398</f>
        <v/>
      </c>
      <c r="F399" s="35">
        <f>E399*(1+'Parámetros Proyección'!$E$11)</f>
        <v/>
      </c>
      <c r="G399" s="35">
        <f>F399*'Parámetros Proyección'!$F$11</f>
        <v/>
      </c>
      <c r="H399" s="35">
        <f>F399+G399</f>
        <v/>
      </c>
      <c r="I399" s="35">
        <f>IF((H399/AI399&gt;'Parámetros Proyección'!$G$11),0,D399*'Parámetros Proyección'!$G$11/(IF((H399/AI399&gt;'Parámetros Proyección'!$G$11),0,'Parámetros Proyección'!$G$11)+IF((N399/AI399&gt;'Parámetros Proyección'!$G$12),0,'Parámetros Proyección'!$G$12)+IF((T399/AI399&gt;'Parámetros Proyección'!$G$13),0,'Parámetros Proyección'!$G$13)+IF((Z399/AI399&gt;'Parámetros Proyección'!$G$14),0,'Parámetros Proyección'!$G$14)+IF((AF399/AI399&gt;'Parámetros Proyección'!$G$15),0,'Parámetros Proyección'!$G$15)))</f>
        <v/>
      </c>
      <c r="J399" s="35">
        <f>H399+I399</f>
        <v/>
      </c>
      <c r="K399" s="35">
        <f>P398</f>
        <v/>
      </c>
      <c r="L399" s="35">
        <f>K399*(1+'Parámetros Proyección'!$E$12)</f>
        <v/>
      </c>
      <c r="M399" s="35">
        <f>L399*'Parámetros Proyección'!$F$12</f>
        <v/>
      </c>
      <c r="N399" s="35">
        <f>L399+M399</f>
        <v/>
      </c>
      <c r="O399" s="35">
        <f>IF((N399/AI399&gt;'Parámetros Proyección'!$G$12),0,D399*'Parámetros Proyección'!$G$12/(IF((H399/AI399&gt;'Parámetros Proyección'!$G$11),0,'Parámetros Proyección'!$G$11)+IF((N399/AI399&gt;'Parámetros Proyección'!$G$12),0,'Parámetros Proyección'!$G$12)+IF((T399/AI399&gt;'Parámetros Proyección'!$G$13),0,'Parámetros Proyección'!$G$13)+IF((Z399/AI399&gt;'Parámetros Proyección'!$G$14),0,'Parámetros Proyección'!$G$14)+IF((AF399/AI399&gt;'Parámetros Proyección'!$G$15),0,'Parámetros Proyección'!$G$15)))</f>
        <v/>
      </c>
      <c r="P399" s="35">
        <f>N399+O399</f>
        <v/>
      </c>
      <c r="Q399" s="35">
        <f>V398</f>
        <v/>
      </c>
      <c r="R399" s="35">
        <f>Q399*(1+'Parámetros Proyección'!$E$13)</f>
        <v/>
      </c>
      <c r="S399" s="35">
        <f>R399*'Parámetros Proyección'!$F$13</f>
        <v/>
      </c>
      <c r="T399" s="35">
        <f>R399+S399</f>
        <v/>
      </c>
      <c r="U399" s="35">
        <f>IF((T399/AI399&gt;'Parámetros Proyección'!$G$13),0,D399*'Parámetros Proyección'!$G$13/(IF((H399/AI399&gt;'Parámetros Proyección'!$G$11),0,'Parámetros Proyección'!$G$11)+IF((N399/AI399&gt;'Parámetros Proyección'!$G$12),0,'Parámetros Proyección'!$G$12)+IF((T399/AI399&gt;'Parámetros Proyección'!$G$13),0,'Parámetros Proyección'!$G$13)+IF((Z399/AI399&gt;'Parámetros Proyección'!$G$14),0,'Parámetros Proyección'!$G$14)+IF((AF399/AI399&gt;'Parámetros Proyección'!$G$15),0,'Parámetros Proyección'!$G$15)))</f>
        <v/>
      </c>
      <c r="V399" s="35">
        <f>T399+U399</f>
        <v/>
      </c>
      <c r="W399" s="35">
        <f>AB398</f>
        <v/>
      </c>
      <c r="X399" s="35">
        <f>W399*(1+'Parámetros Proyección'!$E$14)</f>
        <v/>
      </c>
      <c r="Y399" s="35">
        <f>X399*'Parámetros Proyección'!$F$14</f>
        <v/>
      </c>
      <c r="Z399" s="35">
        <f>X399+Y399</f>
        <v/>
      </c>
      <c r="AA399" s="35">
        <f>IF((Z399/AI399&gt;'Parámetros Proyección'!$G$14),0,D399*'Parámetros Proyección'!$G$14/(IF((H399/AI399&gt;'Parámetros Proyección'!$G$11),0,'Parámetros Proyección'!$G$11)+IF((N399/AI399&gt;'Parámetros Proyección'!$G$12),0,'Parámetros Proyección'!$G$12)+IF((T399/AI399&gt;'Parámetros Proyección'!$G$13),0,'Parámetros Proyección'!$G$13)+IF((Z399/AI399&gt;'Parámetros Proyección'!$G$14),0,'Parámetros Proyección'!$G$14)+IF((AF399/AI399&gt;'Parámetros Proyección'!$G$15),0,'Parámetros Proyección'!$G$15)))</f>
        <v/>
      </c>
      <c r="AB399" s="35">
        <f>Z399+AA399</f>
        <v/>
      </c>
      <c r="AC399" s="35">
        <f>AH398</f>
        <v/>
      </c>
      <c r="AD399" s="35">
        <f>AC399*(1+'Parámetros Proyección'!$E$15)</f>
        <v/>
      </c>
      <c r="AE399" s="35">
        <f>AD399*'Parámetros Proyección'!$F$15</f>
        <v/>
      </c>
      <c r="AF399" s="35">
        <f>AD399+AE399</f>
        <v/>
      </c>
      <c r="AG399" s="35">
        <f>IF((AF399/AI399&gt;'Parámetros Proyección'!$G$15),0,D399*'Parámetros Proyección'!$G$15/(IF((H399/AI399&gt;'Parámetros Proyección'!$G$11),0,'Parámetros Proyección'!$G$11)+IF((N399/AI399&gt;'Parámetros Proyección'!$G$12),0,'Parámetros Proyección'!$G$12)+IF((T399/AI399&gt;'Parámetros Proyección'!$G$13),0,'Parámetros Proyección'!$G$13)+IF((Z399/AI399&gt;'Parámetros Proyección'!$G$14),0,'Parámetros Proyección'!$G$14)+IF((AF399/AI399&gt;'Parámetros Proyección'!$G$15),0,'Parámetros Proyección'!$G$15)))</f>
        <v/>
      </c>
      <c r="AH399" s="35">
        <f>AF399+AG399</f>
        <v/>
      </c>
      <c r="AI399" s="35">
        <f>H399+N399+T399+Z399+AF399</f>
        <v/>
      </c>
      <c r="AJ399" s="33">
        <f>AF399/AI399</f>
        <v/>
      </c>
      <c r="AK399">
        <f>IF(AJ399&gt;'Parámetros Proyección'!$B$5,1,0)</f>
        <v/>
      </c>
      <c r="AL399" s="35">
        <f>G399+M399+S399+Y399+AE399</f>
        <v/>
      </c>
      <c r="AM399" s="35">
        <f>AM398+D399</f>
        <v/>
      </c>
      <c r="AN399" s="35">
        <f>AN398+AL399</f>
        <v/>
      </c>
      <c r="AO399" s="35">
        <f>J399+P399+V399+AB399+AH399</f>
        <v/>
      </c>
    </row>
    <row r="400">
      <c r="A400" t="n">
        <v>397</v>
      </c>
      <c r="B400" s="34">
        <f>EDATE(B399,1)</f>
        <v/>
      </c>
      <c r="C400">
        <f>YEAR(B400)</f>
        <v/>
      </c>
      <c r="D400" s="35">
        <f>'Parámetros Proyección'!$B$3*(1+'Parámetros Proyección'!$B$4)^(C400-YEAR('Parámetros Proyección'!$B$6))</f>
        <v/>
      </c>
      <c r="E400" s="35">
        <f>J399</f>
        <v/>
      </c>
      <c r="F400" s="35">
        <f>E400*(1+'Parámetros Proyección'!$E$11)</f>
        <v/>
      </c>
      <c r="G400" s="35">
        <f>F400*'Parámetros Proyección'!$F$11</f>
        <v/>
      </c>
      <c r="H400" s="35">
        <f>F400+G400</f>
        <v/>
      </c>
      <c r="I400" s="35">
        <f>IF((H400/AI400&gt;'Parámetros Proyección'!$G$11),0,D400*'Parámetros Proyección'!$G$11/(IF((H400/AI400&gt;'Parámetros Proyección'!$G$11),0,'Parámetros Proyección'!$G$11)+IF((N400/AI400&gt;'Parámetros Proyección'!$G$12),0,'Parámetros Proyección'!$G$12)+IF((T400/AI400&gt;'Parámetros Proyección'!$G$13),0,'Parámetros Proyección'!$G$13)+IF((Z400/AI400&gt;'Parámetros Proyección'!$G$14),0,'Parámetros Proyección'!$G$14)+IF((AF400/AI400&gt;'Parámetros Proyección'!$G$15),0,'Parámetros Proyección'!$G$15)))</f>
        <v/>
      </c>
      <c r="J400" s="35">
        <f>H400+I400</f>
        <v/>
      </c>
      <c r="K400" s="35">
        <f>P399</f>
        <v/>
      </c>
      <c r="L400" s="35">
        <f>K400*(1+'Parámetros Proyección'!$E$12)</f>
        <v/>
      </c>
      <c r="M400" s="35">
        <f>L400*'Parámetros Proyección'!$F$12</f>
        <v/>
      </c>
      <c r="N400" s="35">
        <f>L400+M400</f>
        <v/>
      </c>
      <c r="O400" s="35">
        <f>IF((N400/AI400&gt;'Parámetros Proyección'!$G$12),0,D400*'Parámetros Proyección'!$G$12/(IF((H400/AI400&gt;'Parámetros Proyección'!$G$11),0,'Parámetros Proyección'!$G$11)+IF((N400/AI400&gt;'Parámetros Proyección'!$G$12),0,'Parámetros Proyección'!$G$12)+IF((T400/AI400&gt;'Parámetros Proyección'!$G$13),0,'Parámetros Proyección'!$G$13)+IF((Z400/AI400&gt;'Parámetros Proyección'!$G$14),0,'Parámetros Proyección'!$G$14)+IF((AF400/AI400&gt;'Parámetros Proyección'!$G$15),0,'Parámetros Proyección'!$G$15)))</f>
        <v/>
      </c>
      <c r="P400" s="35">
        <f>N400+O400</f>
        <v/>
      </c>
      <c r="Q400" s="35">
        <f>V399</f>
        <v/>
      </c>
      <c r="R400" s="35">
        <f>Q400*(1+'Parámetros Proyección'!$E$13)</f>
        <v/>
      </c>
      <c r="S400" s="35">
        <f>R400*'Parámetros Proyección'!$F$13</f>
        <v/>
      </c>
      <c r="T400" s="35">
        <f>R400+S400</f>
        <v/>
      </c>
      <c r="U400" s="35">
        <f>IF((T400/AI400&gt;'Parámetros Proyección'!$G$13),0,D400*'Parámetros Proyección'!$G$13/(IF((H400/AI400&gt;'Parámetros Proyección'!$G$11),0,'Parámetros Proyección'!$G$11)+IF((N400/AI400&gt;'Parámetros Proyección'!$G$12),0,'Parámetros Proyección'!$G$12)+IF((T400/AI400&gt;'Parámetros Proyección'!$G$13),0,'Parámetros Proyección'!$G$13)+IF((Z400/AI400&gt;'Parámetros Proyección'!$G$14),0,'Parámetros Proyección'!$G$14)+IF((AF400/AI400&gt;'Parámetros Proyección'!$G$15),0,'Parámetros Proyección'!$G$15)))</f>
        <v/>
      </c>
      <c r="V400" s="35">
        <f>T400+U400</f>
        <v/>
      </c>
      <c r="W400" s="35">
        <f>AB399</f>
        <v/>
      </c>
      <c r="X400" s="35">
        <f>W400*(1+'Parámetros Proyección'!$E$14)</f>
        <v/>
      </c>
      <c r="Y400" s="35">
        <f>X400*'Parámetros Proyección'!$F$14</f>
        <v/>
      </c>
      <c r="Z400" s="35">
        <f>X400+Y400</f>
        <v/>
      </c>
      <c r="AA400" s="35">
        <f>IF((Z400/AI400&gt;'Parámetros Proyección'!$G$14),0,D400*'Parámetros Proyección'!$G$14/(IF((H400/AI400&gt;'Parámetros Proyección'!$G$11),0,'Parámetros Proyección'!$G$11)+IF((N400/AI400&gt;'Parámetros Proyección'!$G$12),0,'Parámetros Proyección'!$G$12)+IF((T400/AI400&gt;'Parámetros Proyección'!$G$13),0,'Parámetros Proyección'!$G$13)+IF((Z400/AI400&gt;'Parámetros Proyección'!$G$14),0,'Parámetros Proyección'!$G$14)+IF((AF400/AI400&gt;'Parámetros Proyección'!$G$15),0,'Parámetros Proyección'!$G$15)))</f>
        <v/>
      </c>
      <c r="AB400" s="35">
        <f>Z400+AA400</f>
        <v/>
      </c>
      <c r="AC400" s="35">
        <f>AH399</f>
        <v/>
      </c>
      <c r="AD400" s="35">
        <f>AC400*(1+'Parámetros Proyección'!$E$15)</f>
        <v/>
      </c>
      <c r="AE400" s="35">
        <f>AD400*'Parámetros Proyección'!$F$15</f>
        <v/>
      </c>
      <c r="AF400" s="35">
        <f>AD400+AE400</f>
        <v/>
      </c>
      <c r="AG400" s="35">
        <f>IF((AF400/AI400&gt;'Parámetros Proyección'!$G$15),0,D400*'Parámetros Proyección'!$G$15/(IF((H400/AI400&gt;'Parámetros Proyección'!$G$11),0,'Parámetros Proyección'!$G$11)+IF((N400/AI400&gt;'Parámetros Proyección'!$G$12),0,'Parámetros Proyección'!$G$12)+IF((T400/AI400&gt;'Parámetros Proyección'!$G$13),0,'Parámetros Proyección'!$G$13)+IF((Z400/AI400&gt;'Parámetros Proyección'!$G$14),0,'Parámetros Proyección'!$G$14)+IF((AF400/AI400&gt;'Parámetros Proyección'!$G$15),0,'Parámetros Proyección'!$G$15)))</f>
        <v/>
      </c>
      <c r="AH400" s="35">
        <f>AF400+AG400</f>
        <v/>
      </c>
      <c r="AI400" s="35">
        <f>H400+N400+T400+Z400+AF400</f>
        <v/>
      </c>
      <c r="AJ400" s="33">
        <f>AF400/AI400</f>
        <v/>
      </c>
      <c r="AK400">
        <f>IF(AJ400&gt;'Parámetros Proyección'!$B$5,1,0)</f>
        <v/>
      </c>
      <c r="AL400" s="35">
        <f>G400+M400+S400+Y400+AE400</f>
        <v/>
      </c>
      <c r="AM400" s="35">
        <f>AM399+D400</f>
        <v/>
      </c>
      <c r="AN400" s="35">
        <f>AN399+AL400</f>
        <v/>
      </c>
      <c r="AO400" s="35">
        <f>J400+P400+V400+AB400+AH400</f>
        <v/>
      </c>
    </row>
    <row r="401">
      <c r="A401" t="n">
        <v>398</v>
      </c>
      <c r="B401" s="34">
        <f>EDATE(B400,1)</f>
        <v/>
      </c>
      <c r="C401">
        <f>YEAR(B401)</f>
        <v/>
      </c>
      <c r="D401" s="35">
        <f>'Parámetros Proyección'!$B$3*(1+'Parámetros Proyección'!$B$4)^(C401-YEAR('Parámetros Proyección'!$B$6))</f>
        <v/>
      </c>
      <c r="E401" s="35">
        <f>J400</f>
        <v/>
      </c>
      <c r="F401" s="35">
        <f>E401*(1+'Parámetros Proyección'!$E$11)</f>
        <v/>
      </c>
      <c r="G401" s="35">
        <f>F401*'Parámetros Proyección'!$F$11</f>
        <v/>
      </c>
      <c r="H401" s="35">
        <f>F401+G401</f>
        <v/>
      </c>
      <c r="I401" s="35">
        <f>IF((H401/AI401&gt;'Parámetros Proyección'!$G$11),0,D401*'Parámetros Proyección'!$G$11/(IF((H401/AI401&gt;'Parámetros Proyección'!$G$11),0,'Parámetros Proyección'!$G$11)+IF((N401/AI401&gt;'Parámetros Proyección'!$G$12),0,'Parámetros Proyección'!$G$12)+IF((T401/AI401&gt;'Parámetros Proyección'!$G$13),0,'Parámetros Proyección'!$G$13)+IF((Z401/AI401&gt;'Parámetros Proyección'!$G$14),0,'Parámetros Proyección'!$G$14)+IF((AF401/AI401&gt;'Parámetros Proyección'!$G$15),0,'Parámetros Proyección'!$G$15)))</f>
        <v/>
      </c>
      <c r="J401" s="35">
        <f>H401+I401</f>
        <v/>
      </c>
      <c r="K401" s="35">
        <f>P400</f>
        <v/>
      </c>
      <c r="L401" s="35">
        <f>K401*(1+'Parámetros Proyección'!$E$12)</f>
        <v/>
      </c>
      <c r="M401" s="35">
        <f>L401*'Parámetros Proyección'!$F$12</f>
        <v/>
      </c>
      <c r="N401" s="35">
        <f>L401+M401</f>
        <v/>
      </c>
      <c r="O401" s="35">
        <f>IF((N401/AI401&gt;'Parámetros Proyección'!$G$12),0,D401*'Parámetros Proyección'!$G$12/(IF((H401/AI401&gt;'Parámetros Proyección'!$G$11),0,'Parámetros Proyección'!$G$11)+IF((N401/AI401&gt;'Parámetros Proyección'!$G$12),0,'Parámetros Proyección'!$G$12)+IF((T401/AI401&gt;'Parámetros Proyección'!$G$13),0,'Parámetros Proyección'!$G$13)+IF((Z401/AI401&gt;'Parámetros Proyección'!$G$14),0,'Parámetros Proyección'!$G$14)+IF((AF401/AI401&gt;'Parámetros Proyección'!$G$15),0,'Parámetros Proyección'!$G$15)))</f>
        <v/>
      </c>
      <c r="P401" s="35">
        <f>N401+O401</f>
        <v/>
      </c>
      <c r="Q401" s="35">
        <f>V400</f>
        <v/>
      </c>
      <c r="R401" s="35">
        <f>Q401*(1+'Parámetros Proyección'!$E$13)</f>
        <v/>
      </c>
      <c r="S401" s="35">
        <f>R401*'Parámetros Proyección'!$F$13</f>
        <v/>
      </c>
      <c r="T401" s="35">
        <f>R401+S401</f>
        <v/>
      </c>
      <c r="U401" s="35">
        <f>IF((T401/AI401&gt;'Parámetros Proyección'!$G$13),0,D401*'Parámetros Proyección'!$G$13/(IF((H401/AI401&gt;'Parámetros Proyección'!$G$11),0,'Parámetros Proyección'!$G$11)+IF((N401/AI401&gt;'Parámetros Proyección'!$G$12),0,'Parámetros Proyección'!$G$12)+IF((T401/AI401&gt;'Parámetros Proyección'!$G$13),0,'Parámetros Proyección'!$G$13)+IF((Z401/AI401&gt;'Parámetros Proyección'!$G$14),0,'Parámetros Proyección'!$G$14)+IF((AF401/AI401&gt;'Parámetros Proyección'!$G$15),0,'Parámetros Proyección'!$G$15)))</f>
        <v/>
      </c>
      <c r="V401" s="35">
        <f>T401+U401</f>
        <v/>
      </c>
      <c r="W401" s="35">
        <f>AB400</f>
        <v/>
      </c>
      <c r="X401" s="35">
        <f>W401*(1+'Parámetros Proyección'!$E$14)</f>
        <v/>
      </c>
      <c r="Y401" s="35">
        <f>X401*'Parámetros Proyección'!$F$14</f>
        <v/>
      </c>
      <c r="Z401" s="35">
        <f>X401+Y401</f>
        <v/>
      </c>
      <c r="AA401" s="35">
        <f>IF((Z401/AI401&gt;'Parámetros Proyección'!$G$14),0,D401*'Parámetros Proyección'!$G$14/(IF((H401/AI401&gt;'Parámetros Proyección'!$G$11),0,'Parámetros Proyección'!$G$11)+IF((N401/AI401&gt;'Parámetros Proyección'!$G$12),0,'Parámetros Proyección'!$G$12)+IF((T401/AI401&gt;'Parámetros Proyección'!$G$13),0,'Parámetros Proyección'!$G$13)+IF((Z401/AI401&gt;'Parámetros Proyección'!$G$14),0,'Parámetros Proyección'!$G$14)+IF((AF401/AI401&gt;'Parámetros Proyección'!$G$15),0,'Parámetros Proyección'!$G$15)))</f>
        <v/>
      </c>
      <c r="AB401" s="35">
        <f>Z401+AA401</f>
        <v/>
      </c>
      <c r="AC401" s="35">
        <f>AH400</f>
        <v/>
      </c>
      <c r="AD401" s="35">
        <f>AC401*(1+'Parámetros Proyección'!$E$15)</f>
        <v/>
      </c>
      <c r="AE401" s="35">
        <f>AD401*'Parámetros Proyección'!$F$15</f>
        <v/>
      </c>
      <c r="AF401" s="35">
        <f>AD401+AE401</f>
        <v/>
      </c>
      <c r="AG401" s="35">
        <f>IF((AF401/AI401&gt;'Parámetros Proyección'!$G$15),0,D401*'Parámetros Proyección'!$G$15/(IF((H401/AI401&gt;'Parámetros Proyección'!$G$11),0,'Parámetros Proyección'!$G$11)+IF((N401/AI401&gt;'Parámetros Proyección'!$G$12),0,'Parámetros Proyección'!$G$12)+IF((T401/AI401&gt;'Parámetros Proyección'!$G$13),0,'Parámetros Proyección'!$G$13)+IF((Z401/AI401&gt;'Parámetros Proyección'!$G$14),0,'Parámetros Proyección'!$G$14)+IF((AF401/AI401&gt;'Parámetros Proyección'!$G$15),0,'Parámetros Proyección'!$G$15)))</f>
        <v/>
      </c>
      <c r="AH401" s="35">
        <f>AF401+AG401</f>
        <v/>
      </c>
      <c r="AI401" s="35">
        <f>H401+N401+T401+Z401+AF401</f>
        <v/>
      </c>
      <c r="AJ401" s="33">
        <f>AF401/AI401</f>
        <v/>
      </c>
      <c r="AK401">
        <f>IF(AJ401&gt;'Parámetros Proyección'!$B$5,1,0)</f>
        <v/>
      </c>
      <c r="AL401" s="35">
        <f>G401+M401+S401+Y401+AE401</f>
        <v/>
      </c>
      <c r="AM401" s="35">
        <f>AM400+D401</f>
        <v/>
      </c>
      <c r="AN401" s="35">
        <f>AN400+AL401</f>
        <v/>
      </c>
      <c r="AO401" s="35">
        <f>J401+P401+V401+AB401+AH401</f>
        <v/>
      </c>
    </row>
    <row r="402">
      <c r="A402" t="n">
        <v>399</v>
      </c>
      <c r="B402" s="34">
        <f>EDATE(B401,1)</f>
        <v/>
      </c>
      <c r="C402">
        <f>YEAR(B402)</f>
        <v/>
      </c>
      <c r="D402" s="35">
        <f>'Parámetros Proyección'!$B$3*(1+'Parámetros Proyección'!$B$4)^(C402-YEAR('Parámetros Proyección'!$B$6))</f>
        <v/>
      </c>
      <c r="E402" s="35">
        <f>J401</f>
        <v/>
      </c>
      <c r="F402" s="35">
        <f>E402*(1+'Parámetros Proyección'!$E$11)</f>
        <v/>
      </c>
      <c r="G402" s="35">
        <f>F402*'Parámetros Proyección'!$F$11</f>
        <v/>
      </c>
      <c r="H402" s="35">
        <f>F402+G402</f>
        <v/>
      </c>
      <c r="I402" s="35">
        <f>IF((H402/AI402&gt;'Parámetros Proyección'!$G$11),0,D402*'Parámetros Proyección'!$G$11/(IF((H402/AI402&gt;'Parámetros Proyección'!$G$11),0,'Parámetros Proyección'!$G$11)+IF((N402/AI402&gt;'Parámetros Proyección'!$G$12),0,'Parámetros Proyección'!$G$12)+IF((T402/AI402&gt;'Parámetros Proyección'!$G$13),0,'Parámetros Proyección'!$G$13)+IF((Z402/AI402&gt;'Parámetros Proyección'!$G$14),0,'Parámetros Proyección'!$G$14)+IF((AF402/AI402&gt;'Parámetros Proyección'!$G$15),0,'Parámetros Proyección'!$G$15)))</f>
        <v/>
      </c>
      <c r="J402" s="35">
        <f>H402+I402</f>
        <v/>
      </c>
      <c r="K402" s="35">
        <f>P401</f>
        <v/>
      </c>
      <c r="L402" s="35">
        <f>K402*(1+'Parámetros Proyección'!$E$12)</f>
        <v/>
      </c>
      <c r="M402" s="35">
        <f>L402*'Parámetros Proyección'!$F$12</f>
        <v/>
      </c>
      <c r="N402" s="35">
        <f>L402+M402</f>
        <v/>
      </c>
      <c r="O402" s="35">
        <f>IF((N402/AI402&gt;'Parámetros Proyección'!$G$12),0,D402*'Parámetros Proyección'!$G$12/(IF((H402/AI402&gt;'Parámetros Proyección'!$G$11),0,'Parámetros Proyección'!$G$11)+IF((N402/AI402&gt;'Parámetros Proyección'!$G$12),0,'Parámetros Proyección'!$G$12)+IF((T402/AI402&gt;'Parámetros Proyección'!$G$13),0,'Parámetros Proyección'!$G$13)+IF((Z402/AI402&gt;'Parámetros Proyección'!$G$14),0,'Parámetros Proyección'!$G$14)+IF((AF402/AI402&gt;'Parámetros Proyección'!$G$15),0,'Parámetros Proyección'!$G$15)))</f>
        <v/>
      </c>
      <c r="P402" s="35">
        <f>N402+O402</f>
        <v/>
      </c>
      <c r="Q402" s="35">
        <f>V401</f>
        <v/>
      </c>
      <c r="R402" s="35">
        <f>Q402*(1+'Parámetros Proyección'!$E$13)</f>
        <v/>
      </c>
      <c r="S402" s="35">
        <f>R402*'Parámetros Proyección'!$F$13</f>
        <v/>
      </c>
      <c r="T402" s="35">
        <f>R402+S402</f>
        <v/>
      </c>
      <c r="U402" s="35">
        <f>IF((T402/AI402&gt;'Parámetros Proyección'!$G$13),0,D402*'Parámetros Proyección'!$G$13/(IF((H402/AI402&gt;'Parámetros Proyección'!$G$11),0,'Parámetros Proyección'!$G$11)+IF((N402/AI402&gt;'Parámetros Proyección'!$G$12),0,'Parámetros Proyección'!$G$12)+IF((T402/AI402&gt;'Parámetros Proyección'!$G$13),0,'Parámetros Proyección'!$G$13)+IF((Z402/AI402&gt;'Parámetros Proyección'!$G$14),0,'Parámetros Proyección'!$G$14)+IF((AF402/AI402&gt;'Parámetros Proyección'!$G$15),0,'Parámetros Proyección'!$G$15)))</f>
        <v/>
      </c>
      <c r="V402" s="35">
        <f>T402+U402</f>
        <v/>
      </c>
      <c r="W402" s="35">
        <f>AB401</f>
        <v/>
      </c>
      <c r="X402" s="35">
        <f>W402*(1+'Parámetros Proyección'!$E$14)</f>
        <v/>
      </c>
      <c r="Y402" s="35">
        <f>X402*'Parámetros Proyección'!$F$14</f>
        <v/>
      </c>
      <c r="Z402" s="35">
        <f>X402+Y402</f>
        <v/>
      </c>
      <c r="AA402" s="35">
        <f>IF((Z402/AI402&gt;'Parámetros Proyección'!$G$14),0,D402*'Parámetros Proyección'!$G$14/(IF((H402/AI402&gt;'Parámetros Proyección'!$G$11),0,'Parámetros Proyección'!$G$11)+IF((N402/AI402&gt;'Parámetros Proyección'!$G$12),0,'Parámetros Proyección'!$G$12)+IF((T402/AI402&gt;'Parámetros Proyección'!$G$13),0,'Parámetros Proyección'!$G$13)+IF((Z402/AI402&gt;'Parámetros Proyección'!$G$14),0,'Parámetros Proyección'!$G$14)+IF((AF402/AI402&gt;'Parámetros Proyección'!$G$15),0,'Parámetros Proyección'!$G$15)))</f>
        <v/>
      </c>
      <c r="AB402" s="35">
        <f>Z402+AA402</f>
        <v/>
      </c>
      <c r="AC402" s="35">
        <f>AH401</f>
        <v/>
      </c>
      <c r="AD402" s="35">
        <f>AC402*(1+'Parámetros Proyección'!$E$15)</f>
        <v/>
      </c>
      <c r="AE402" s="35">
        <f>AD402*'Parámetros Proyección'!$F$15</f>
        <v/>
      </c>
      <c r="AF402" s="35">
        <f>AD402+AE402</f>
        <v/>
      </c>
      <c r="AG402" s="35">
        <f>IF((AF402/AI402&gt;'Parámetros Proyección'!$G$15),0,D402*'Parámetros Proyección'!$G$15/(IF((H402/AI402&gt;'Parámetros Proyección'!$G$11),0,'Parámetros Proyección'!$G$11)+IF((N402/AI402&gt;'Parámetros Proyección'!$G$12),0,'Parámetros Proyección'!$G$12)+IF((T402/AI402&gt;'Parámetros Proyección'!$G$13),0,'Parámetros Proyección'!$G$13)+IF((Z402/AI402&gt;'Parámetros Proyección'!$G$14),0,'Parámetros Proyección'!$G$14)+IF((AF402/AI402&gt;'Parámetros Proyección'!$G$15),0,'Parámetros Proyección'!$G$15)))</f>
        <v/>
      </c>
      <c r="AH402" s="35">
        <f>AF402+AG402</f>
        <v/>
      </c>
      <c r="AI402" s="35">
        <f>H402+N402+T402+Z402+AF402</f>
        <v/>
      </c>
      <c r="AJ402" s="33">
        <f>AF402/AI402</f>
        <v/>
      </c>
      <c r="AK402">
        <f>IF(AJ402&gt;'Parámetros Proyección'!$B$5,1,0)</f>
        <v/>
      </c>
      <c r="AL402" s="35">
        <f>G402+M402+S402+Y402+AE402</f>
        <v/>
      </c>
      <c r="AM402" s="35">
        <f>AM401+D402</f>
        <v/>
      </c>
      <c r="AN402" s="35">
        <f>AN401+AL402</f>
        <v/>
      </c>
      <c r="AO402" s="35">
        <f>J402+P402+V402+AB402+AH402</f>
        <v/>
      </c>
    </row>
    <row r="403">
      <c r="A403" t="n">
        <v>400</v>
      </c>
      <c r="B403" s="34">
        <f>EDATE(B402,1)</f>
        <v/>
      </c>
      <c r="C403">
        <f>YEAR(B403)</f>
        <v/>
      </c>
      <c r="D403" s="35">
        <f>'Parámetros Proyección'!$B$3*(1+'Parámetros Proyección'!$B$4)^(C403-YEAR('Parámetros Proyección'!$B$6))</f>
        <v/>
      </c>
      <c r="E403" s="35">
        <f>J402</f>
        <v/>
      </c>
      <c r="F403" s="35">
        <f>E403*(1+'Parámetros Proyección'!$E$11)</f>
        <v/>
      </c>
      <c r="G403" s="35">
        <f>F403*'Parámetros Proyección'!$F$11</f>
        <v/>
      </c>
      <c r="H403" s="35">
        <f>F403+G403</f>
        <v/>
      </c>
      <c r="I403" s="35">
        <f>IF((H403/AI403&gt;'Parámetros Proyección'!$G$11),0,D403*'Parámetros Proyección'!$G$11/(IF((H403/AI403&gt;'Parámetros Proyección'!$G$11),0,'Parámetros Proyección'!$G$11)+IF((N403/AI403&gt;'Parámetros Proyección'!$G$12),0,'Parámetros Proyección'!$G$12)+IF((T403/AI403&gt;'Parámetros Proyección'!$G$13),0,'Parámetros Proyección'!$G$13)+IF((Z403/AI403&gt;'Parámetros Proyección'!$G$14),0,'Parámetros Proyección'!$G$14)+IF((AF403/AI403&gt;'Parámetros Proyección'!$G$15),0,'Parámetros Proyección'!$G$15)))</f>
        <v/>
      </c>
      <c r="J403" s="35">
        <f>H403+I403</f>
        <v/>
      </c>
      <c r="K403" s="35">
        <f>P402</f>
        <v/>
      </c>
      <c r="L403" s="35">
        <f>K403*(1+'Parámetros Proyección'!$E$12)</f>
        <v/>
      </c>
      <c r="M403" s="35">
        <f>L403*'Parámetros Proyección'!$F$12</f>
        <v/>
      </c>
      <c r="N403" s="35">
        <f>L403+M403</f>
        <v/>
      </c>
      <c r="O403" s="35">
        <f>IF((N403/AI403&gt;'Parámetros Proyección'!$G$12),0,D403*'Parámetros Proyección'!$G$12/(IF((H403/AI403&gt;'Parámetros Proyección'!$G$11),0,'Parámetros Proyección'!$G$11)+IF((N403/AI403&gt;'Parámetros Proyección'!$G$12),0,'Parámetros Proyección'!$G$12)+IF((T403/AI403&gt;'Parámetros Proyección'!$G$13),0,'Parámetros Proyección'!$G$13)+IF((Z403/AI403&gt;'Parámetros Proyección'!$G$14),0,'Parámetros Proyección'!$G$14)+IF((AF403/AI403&gt;'Parámetros Proyección'!$G$15),0,'Parámetros Proyección'!$G$15)))</f>
        <v/>
      </c>
      <c r="P403" s="35">
        <f>N403+O403</f>
        <v/>
      </c>
      <c r="Q403" s="35">
        <f>V402</f>
        <v/>
      </c>
      <c r="R403" s="35">
        <f>Q403*(1+'Parámetros Proyección'!$E$13)</f>
        <v/>
      </c>
      <c r="S403" s="35">
        <f>R403*'Parámetros Proyección'!$F$13</f>
        <v/>
      </c>
      <c r="T403" s="35">
        <f>R403+S403</f>
        <v/>
      </c>
      <c r="U403" s="35">
        <f>IF((T403/AI403&gt;'Parámetros Proyección'!$G$13),0,D403*'Parámetros Proyección'!$G$13/(IF((H403/AI403&gt;'Parámetros Proyección'!$G$11),0,'Parámetros Proyección'!$G$11)+IF((N403/AI403&gt;'Parámetros Proyección'!$G$12),0,'Parámetros Proyección'!$G$12)+IF((T403/AI403&gt;'Parámetros Proyección'!$G$13),0,'Parámetros Proyección'!$G$13)+IF((Z403/AI403&gt;'Parámetros Proyección'!$G$14),0,'Parámetros Proyección'!$G$14)+IF((AF403/AI403&gt;'Parámetros Proyección'!$G$15),0,'Parámetros Proyección'!$G$15)))</f>
        <v/>
      </c>
      <c r="V403" s="35">
        <f>T403+U403</f>
        <v/>
      </c>
      <c r="W403" s="35">
        <f>AB402</f>
        <v/>
      </c>
      <c r="X403" s="35">
        <f>W403*(1+'Parámetros Proyección'!$E$14)</f>
        <v/>
      </c>
      <c r="Y403" s="35">
        <f>X403*'Parámetros Proyección'!$F$14</f>
        <v/>
      </c>
      <c r="Z403" s="35">
        <f>X403+Y403</f>
        <v/>
      </c>
      <c r="AA403" s="35">
        <f>IF((Z403/AI403&gt;'Parámetros Proyección'!$G$14),0,D403*'Parámetros Proyección'!$G$14/(IF((H403/AI403&gt;'Parámetros Proyección'!$G$11),0,'Parámetros Proyección'!$G$11)+IF((N403/AI403&gt;'Parámetros Proyección'!$G$12),0,'Parámetros Proyección'!$G$12)+IF((T403/AI403&gt;'Parámetros Proyección'!$G$13),0,'Parámetros Proyección'!$G$13)+IF((Z403/AI403&gt;'Parámetros Proyección'!$G$14),0,'Parámetros Proyección'!$G$14)+IF((AF403/AI403&gt;'Parámetros Proyección'!$G$15),0,'Parámetros Proyección'!$G$15)))</f>
        <v/>
      </c>
      <c r="AB403" s="35">
        <f>Z403+AA403</f>
        <v/>
      </c>
      <c r="AC403" s="35">
        <f>AH402</f>
        <v/>
      </c>
      <c r="AD403" s="35">
        <f>AC403*(1+'Parámetros Proyección'!$E$15)</f>
        <v/>
      </c>
      <c r="AE403" s="35">
        <f>AD403*'Parámetros Proyección'!$F$15</f>
        <v/>
      </c>
      <c r="AF403" s="35">
        <f>AD403+AE403</f>
        <v/>
      </c>
      <c r="AG403" s="35">
        <f>IF((AF403/AI403&gt;'Parámetros Proyección'!$G$15),0,D403*'Parámetros Proyección'!$G$15/(IF((H403/AI403&gt;'Parámetros Proyección'!$G$11),0,'Parámetros Proyección'!$G$11)+IF((N403/AI403&gt;'Parámetros Proyección'!$G$12),0,'Parámetros Proyección'!$G$12)+IF((T403/AI403&gt;'Parámetros Proyección'!$G$13),0,'Parámetros Proyección'!$G$13)+IF((Z403/AI403&gt;'Parámetros Proyección'!$G$14),0,'Parámetros Proyección'!$G$14)+IF((AF403/AI403&gt;'Parámetros Proyección'!$G$15),0,'Parámetros Proyección'!$G$15)))</f>
        <v/>
      </c>
      <c r="AH403" s="35">
        <f>AF403+AG403</f>
        <v/>
      </c>
      <c r="AI403" s="35">
        <f>H403+N403+T403+Z403+AF403</f>
        <v/>
      </c>
      <c r="AJ403" s="33">
        <f>AF403/AI403</f>
        <v/>
      </c>
      <c r="AK403">
        <f>IF(AJ403&gt;'Parámetros Proyección'!$B$5,1,0)</f>
        <v/>
      </c>
      <c r="AL403" s="35">
        <f>G403+M403+S403+Y403+AE403</f>
        <v/>
      </c>
      <c r="AM403" s="35">
        <f>AM402+D403</f>
        <v/>
      </c>
      <c r="AN403" s="35">
        <f>AN402+AL403</f>
        <v/>
      </c>
      <c r="AO403" s="35">
        <f>J403+P403+V403+AB403+AH403</f>
        <v/>
      </c>
    </row>
    <row r="404">
      <c r="A404" t="n">
        <v>401</v>
      </c>
      <c r="B404" s="34">
        <f>EDATE(B403,1)</f>
        <v/>
      </c>
      <c r="C404">
        <f>YEAR(B404)</f>
        <v/>
      </c>
      <c r="D404" s="35">
        <f>'Parámetros Proyección'!$B$3*(1+'Parámetros Proyección'!$B$4)^(C404-YEAR('Parámetros Proyección'!$B$6))</f>
        <v/>
      </c>
      <c r="E404" s="35">
        <f>J403</f>
        <v/>
      </c>
      <c r="F404" s="35">
        <f>E404*(1+'Parámetros Proyección'!$E$11)</f>
        <v/>
      </c>
      <c r="G404" s="35">
        <f>F404*'Parámetros Proyección'!$F$11</f>
        <v/>
      </c>
      <c r="H404" s="35">
        <f>F404+G404</f>
        <v/>
      </c>
      <c r="I404" s="35">
        <f>IF((H404/AI404&gt;'Parámetros Proyección'!$G$11),0,D404*'Parámetros Proyección'!$G$11/(IF((H404/AI404&gt;'Parámetros Proyección'!$G$11),0,'Parámetros Proyección'!$G$11)+IF((N404/AI404&gt;'Parámetros Proyección'!$G$12),0,'Parámetros Proyección'!$G$12)+IF((T404/AI404&gt;'Parámetros Proyección'!$G$13),0,'Parámetros Proyección'!$G$13)+IF((Z404/AI404&gt;'Parámetros Proyección'!$G$14),0,'Parámetros Proyección'!$G$14)+IF((AF404/AI404&gt;'Parámetros Proyección'!$G$15),0,'Parámetros Proyección'!$G$15)))</f>
        <v/>
      </c>
      <c r="J404" s="35">
        <f>H404+I404</f>
        <v/>
      </c>
      <c r="K404" s="35">
        <f>P403</f>
        <v/>
      </c>
      <c r="L404" s="35">
        <f>K404*(1+'Parámetros Proyección'!$E$12)</f>
        <v/>
      </c>
      <c r="M404" s="35">
        <f>L404*'Parámetros Proyección'!$F$12</f>
        <v/>
      </c>
      <c r="N404" s="35">
        <f>L404+M404</f>
        <v/>
      </c>
      <c r="O404" s="35">
        <f>IF((N404/AI404&gt;'Parámetros Proyección'!$G$12),0,D404*'Parámetros Proyección'!$G$12/(IF((H404/AI404&gt;'Parámetros Proyección'!$G$11),0,'Parámetros Proyección'!$G$11)+IF((N404/AI404&gt;'Parámetros Proyección'!$G$12),0,'Parámetros Proyección'!$G$12)+IF((T404/AI404&gt;'Parámetros Proyección'!$G$13),0,'Parámetros Proyección'!$G$13)+IF((Z404/AI404&gt;'Parámetros Proyección'!$G$14),0,'Parámetros Proyección'!$G$14)+IF((AF404/AI404&gt;'Parámetros Proyección'!$G$15),0,'Parámetros Proyección'!$G$15)))</f>
        <v/>
      </c>
      <c r="P404" s="35">
        <f>N404+O404</f>
        <v/>
      </c>
      <c r="Q404" s="35">
        <f>V403</f>
        <v/>
      </c>
      <c r="R404" s="35">
        <f>Q404*(1+'Parámetros Proyección'!$E$13)</f>
        <v/>
      </c>
      <c r="S404" s="35">
        <f>R404*'Parámetros Proyección'!$F$13</f>
        <v/>
      </c>
      <c r="T404" s="35">
        <f>R404+S404</f>
        <v/>
      </c>
      <c r="U404" s="35">
        <f>IF((T404/AI404&gt;'Parámetros Proyección'!$G$13),0,D404*'Parámetros Proyección'!$G$13/(IF((H404/AI404&gt;'Parámetros Proyección'!$G$11),0,'Parámetros Proyección'!$G$11)+IF((N404/AI404&gt;'Parámetros Proyección'!$G$12),0,'Parámetros Proyección'!$G$12)+IF((T404/AI404&gt;'Parámetros Proyección'!$G$13),0,'Parámetros Proyección'!$G$13)+IF((Z404/AI404&gt;'Parámetros Proyección'!$G$14),0,'Parámetros Proyección'!$G$14)+IF((AF404/AI404&gt;'Parámetros Proyección'!$G$15),0,'Parámetros Proyección'!$G$15)))</f>
        <v/>
      </c>
      <c r="V404" s="35">
        <f>T404+U404</f>
        <v/>
      </c>
      <c r="W404" s="35">
        <f>AB403</f>
        <v/>
      </c>
      <c r="X404" s="35">
        <f>W404*(1+'Parámetros Proyección'!$E$14)</f>
        <v/>
      </c>
      <c r="Y404" s="35">
        <f>X404*'Parámetros Proyección'!$F$14</f>
        <v/>
      </c>
      <c r="Z404" s="35">
        <f>X404+Y404</f>
        <v/>
      </c>
      <c r="AA404" s="35">
        <f>IF((Z404/AI404&gt;'Parámetros Proyección'!$G$14),0,D404*'Parámetros Proyección'!$G$14/(IF((H404/AI404&gt;'Parámetros Proyección'!$G$11),0,'Parámetros Proyección'!$G$11)+IF((N404/AI404&gt;'Parámetros Proyección'!$G$12),0,'Parámetros Proyección'!$G$12)+IF((T404/AI404&gt;'Parámetros Proyección'!$G$13),0,'Parámetros Proyección'!$G$13)+IF((Z404/AI404&gt;'Parámetros Proyección'!$G$14),0,'Parámetros Proyección'!$G$14)+IF((AF404/AI404&gt;'Parámetros Proyección'!$G$15),0,'Parámetros Proyección'!$G$15)))</f>
        <v/>
      </c>
      <c r="AB404" s="35">
        <f>Z404+AA404</f>
        <v/>
      </c>
      <c r="AC404" s="35">
        <f>AH403</f>
        <v/>
      </c>
      <c r="AD404" s="35">
        <f>AC404*(1+'Parámetros Proyección'!$E$15)</f>
        <v/>
      </c>
      <c r="AE404" s="35">
        <f>AD404*'Parámetros Proyección'!$F$15</f>
        <v/>
      </c>
      <c r="AF404" s="35">
        <f>AD404+AE404</f>
        <v/>
      </c>
      <c r="AG404" s="35">
        <f>IF((AF404/AI404&gt;'Parámetros Proyección'!$G$15),0,D404*'Parámetros Proyección'!$G$15/(IF((H404/AI404&gt;'Parámetros Proyección'!$G$11),0,'Parámetros Proyección'!$G$11)+IF((N404/AI404&gt;'Parámetros Proyección'!$G$12),0,'Parámetros Proyección'!$G$12)+IF((T404/AI404&gt;'Parámetros Proyección'!$G$13),0,'Parámetros Proyección'!$G$13)+IF((Z404/AI404&gt;'Parámetros Proyección'!$G$14),0,'Parámetros Proyección'!$G$14)+IF((AF404/AI404&gt;'Parámetros Proyección'!$G$15),0,'Parámetros Proyección'!$G$15)))</f>
        <v/>
      </c>
      <c r="AH404" s="35">
        <f>AF404+AG404</f>
        <v/>
      </c>
      <c r="AI404" s="35">
        <f>H404+N404+T404+Z404+AF404</f>
        <v/>
      </c>
      <c r="AJ404" s="33">
        <f>AF404/AI404</f>
        <v/>
      </c>
      <c r="AK404">
        <f>IF(AJ404&gt;'Parámetros Proyección'!$B$5,1,0)</f>
        <v/>
      </c>
      <c r="AL404" s="35">
        <f>G404+M404+S404+Y404+AE404</f>
        <v/>
      </c>
      <c r="AM404" s="35">
        <f>AM403+D404</f>
        <v/>
      </c>
      <c r="AN404" s="35">
        <f>AN403+AL404</f>
        <v/>
      </c>
      <c r="AO404" s="35">
        <f>J404+P404+V404+AB404+AH404</f>
        <v/>
      </c>
    </row>
    <row r="405">
      <c r="A405" t="n">
        <v>402</v>
      </c>
      <c r="B405" s="34">
        <f>EDATE(B404,1)</f>
        <v/>
      </c>
      <c r="C405">
        <f>YEAR(B405)</f>
        <v/>
      </c>
      <c r="D405" s="35">
        <f>'Parámetros Proyección'!$B$3*(1+'Parámetros Proyección'!$B$4)^(C405-YEAR('Parámetros Proyección'!$B$6))</f>
        <v/>
      </c>
      <c r="E405" s="35">
        <f>J404</f>
        <v/>
      </c>
      <c r="F405" s="35">
        <f>E405*(1+'Parámetros Proyección'!$E$11)</f>
        <v/>
      </c>
      <c r="G405" s="35">
        <f>F405*'Parámetros Proyección'!$F$11</f>
        <v/>
      </c>
      <c r="H405" s="35">
        <f>F405+G405</f>
        <v/>
      </c>
      <c r="I405" s="35">
        <f>IF((H405/AI405&gt;'Parámetros Proyección'!$G$11),0,D405*'Parámetros Proyección'!$G$11/(IF((H405/AI405&gt;'Parámetros Proyección'!$G$11),0,'Parámetros Proyección'!$G$11)+IF((N405/AI405&gt;'Parámetros Proyección'!$G$12),0,'Parámetros Proyección'!$G$12)+IF((T405/AI405&gt;'Parámetros Proyección'!$G$13),0,'Parámetros Proyección'!$G$13)+IF((Z405/AI405&gt;'Parámetros Proyección'!$G$14),0,'Parámetros Proyección'!$G$14)+IF((AF405/AI405&gt;'Parámetros Proyección'!$G$15),0,'Parámetros Proyección'!$G$15)))</f>
        <v/>
      </c>
      <c r="J405" s="35">
        <f>H405+I405</f>
        <v/>
      </c>
      <c r="K405" s="35">
        <f>P404</f>
        <v/>
      </c>
      <c r="L405" s="35">
        <f>K405*(1+'Parámetros Proyección'!$E$12)</f>
        <v/>
      </c>
      <c r="M405" s="35">
        <f>L405*'Parámetros Proyección'!$F$12</f>
        <v/>
      </c>
      <c r="N405" s="35">
        <f>L405+M405</f>
        <v/>
      </c>
      <c r="O405" s="35">
        <f>IF((N405/AI405&gt;'Parámetros Proyección'!$G$12),0,D405*'Parámetros Proyección'!$G$12/(IF((H405/AI405&gt;'Parámetros Proyección'!$G$11),0,'Parámetros Proyección'!$G$11)+IF((N405/AI405&gt;'Parámetros Proyección'!$G$12),0,'Parámetros Proyección'!$G$12)+IF((T405/AI405&gt;'Parámetros Proyección'!$G$13),0,'Parámetros Proyección'!$G$13)+IF((Z405/AI405&gt;'Parámetros Proyección'!$G$14),0,'Parámetros Proyección'!$G$14)+IF((AF405/AI405&gt;'Parámetros Proyección'!$G$15),0,'Parámetros Proyección'!$G$15)))</f>
        <v/>
      </c>
      <c r="P405" s="35">
        <f>N405+O405</f>
        <v/>
      </c>
      <c r="Q405" s="35">
        <f>V404</f>
        <v/>
      </c>
      <c r="R405" s="35">
        <f>Q405*(1+'Parámetros Proyección'!$E$13)</f>
        <v/>
      </c>
      <c r="S405" s="35">
        <f>R405*'Parámetros Proyección'!$F$13</f>
        <v/>
      </c>
      <c r="T405" s="35">
        <f>R405+S405</f>
        <v/>
      </c>
      <c r="U405" s="35">
        <f>IF((T405/AI405&gt;'Parámetros Proyección'!$G$13),0,D405*'Parámetros Proyección'!$G$13/(IF((H405/AI405&gt;'Parámetros Proyección'!$G$11),0,'Parámetros Proyección'!$G$11)+IF((N405/AI405&gt;'Parámetros Proyección'!$G$12),0,'Parámetros Proyección'!$G$12)+IF((T405/AI405&gt;'Parámetros Proyección'!$G$13),0,'Parámetros Proyección'!$G$13)+IF((Z405/AI405&gt;'Parámetros Proyección'!$G$14),0,'Parámetros Proyección'!$G$14)+IF((AF405/AI405&gt;'Parámetros Proyección'!$G$15),0,'Parámetros Proyección'!$G$15)))</f>
        <v/>
      </c>
      <c r="V405" s="35">
        <f>T405+U405</f>
        <v/>
      </c>
      <c r="W405" s="35">
        <f>AB404</f>
        <v/>
      </c>
      <c r="X405" s="35">
        <f>W405*(1+'Parámetros Proyección'!$E$14)</f>
        <v/>
      </c>
      <c r="Y405" s="35">
        <f>X405*'Parámetros Proyección'!$F$14</f>
        <v/>
      </c>
      <c r="Z405" s="35">
        <f>X405+Y405</f>
        <v/>
      </c>
      <c r="AA405" s="35">
        <f>IF((Z405/AI405&gt;'Parámetros Proyección'!$G$14),0,D405*'Parámetros Proyección'!$G$14/(IF((H405/AI405&gt;'Parámetros Proyección'!$G$11),0,'Parámetros Proyección'!$G$11)+IF((N405/AI405&gt;'Parámetros Proyección'!$G$12),0,'Parámetros Proyección'!$G$12)+IF((T405/AI405&gt;'Parámetros Proyección'!$G$13),0,'Parámetros Proyección'!$G$13)+IF((Z405/AI405&gt;'Parámetros Proyección'!$G$14),0,'Parámetros Proyección'!$G$14)+IF((AF405/AI405&gt;'Parámetros Proyección'!$G$15),0,'Parámetros Proyección'!$G$15)))</f>
        <v/>
      </c>
      <c r="AB405" s="35">
        <f>Z405+AA405</f>
        <v/>
      </c>
      <c r="AC405" s="35">
        <f>AH404</f>
        <v/>
      </c>
      <c r="AD405" s="35">
        <f>AC405*(1+'Parámetros Proyección'!$E$15)</f>
        <v/>
      </c>
      <c r="AE405" s="35">
        <f>AD405*'Parámetros Proyección'!$F$15</f>
        <v/>
      </c>
      <c r="AF405" s="35">
        <f>AD405+AE405</f>
        <v/>
      </c>
      <c r="AG405" s="35">
        <f>IF((AF405/AI405&gt;'Parámetros Proyección'!$G$15),0,D405*'Parámetros Proyección'!$G$15/(IF((H405/AI405&gt;'Parámetros Proyección'!$G$11),0,'Parámetros Proyección'!$G$11)+IF((N405/AI405&gt;'Parámetros Proyección'!$G$12),0,'Parámetros Proyección'!$G$12)+IF((T405/AI405&gt;'Parámetros Proyección'!$G$13),0,'Parámetros Proyección'!$G$13)+IF((Z405/AI405&gt;'Parámetros Proyección'!$G$14),0,'Parámetros Proyección'!$G$14)+IF((AF405/AI405&gt;'Parámetros Proyección'!$G$15),0,'Parámetros Proyección'!$G$15)))</f>
        <v/>
      </c>
      <c r="AH405" s="35">
        <f>AF405+AG405</f>
        <v/>
      </c>
      <c r="AI405" s="35">
        <f>H405+N405+T405+Z405+AF405</f>
        <v/>
      </c>
      <c r="AJ405" s="33">
        <f>AF405/AI405</f>
        <v/>
      </c>
      <c r="AK405">
        <f>IF(AJ405&gt;'Parámetros Proyección'!$B$5,1,0)</f>
        <v/>
      </c>
      <c r="AL405" s="35">
        <f>G405+M405+S405+Y405+AE405</f>
        <v/>
      </c>
      <c r="AM405" s="35">
        <f>AM404+D405</f>
        <v/>
      </c>
      <c r="AN405" s="35">
        <f>AN404+AL405</f>
        <v/>
      </c>
      <c r="AO405" s="35">
        <f>J405+P405+V405+AB405+AH405</f>
        <v/>
      </c>
    </row>
    <row r="406">
      <c r="A406" t="n">
        <v>403</v>
      </c>
      <c r="B406" s="34">
        <f>EDATE(B405,1)</f>
        <v/>
      </c>
      <c r="C406">
        <f>YEAR(B406)</f>
        <v/>
      </c>
      <c r="D406" s="35">
        <f>'Parámetros Proyección'!$B$3*(1+'Parámetros Proyección'!$B$4)^(C406-YEAR('Parámetros Proyección'!$B$6))</f>
        <v/>
      </c>
      <c r="E406" s="35">
        <f>J405</f>
        <v/>
      </c>
      <c r="F406" s="35">
        <f>E406*(1+'Parámetros Proyección'!$E$11)</f>
        <v/>
      </c>
      <c r="G406" s="35">
        <f>F406*'Parámetros Proyección'!$F$11</f>
        <v/>
      </c>
      <c r="H406" s="35">
        <f>F406+G406</f>
        <v/>
      </c>
      <c r="I406" s="35">
        <f>IF((H406/AI406&gt;'Parámetros Proyección'!$G$11),0,D406*'Parámetros Proyección'!$G$11/(IF((H406/AI406&gt;'Parámetros Proyección'!$G$11),0,'Parámetros Proyección'!$G$11)+IF((N406/AI406&gt;'Parámetros Proyección'!$G$12),0,'Parámetros Proyección'!$G$12)+IF((T406/AI406&gt;'Parámetros Proyección'!$G$13),0,'Parámetros Proyección'!$G$13)+IF((Z406/AI406&gt;'Parámetros Proyección'!$G$14),0,'Parámetros Proyección'!$G$14)+IF((AF406/AI406&gt;'Parámetros Proyección'!$G$15),0,'Parámetros Proyección'!$G$15)))</f>
        <v/>
      </c>
      <c r="J406" s="35">
        <f>H406+I406</f>
        <v/>
      </c>
      <c r="K406" s="35">
        <f>P405</f>
        <v/>
      </c>
      <c r="L406" s="35">
        <f>K406*(1+'Parámetros Proyección'!$E$12)</f>
        <v/>
      </c>
      <c r="M406" s="35">
        <f>L406*'Parámetros Proyección'!$F$12</f>
        <v/>
      </c>
      <c r="N406" s="35">
        <f>L406+M406</f>
        <v/>
      </c>
      <c r="O406" s="35">
        <f>IF((N406/AI406&gt;'Parámetros Proyección'!$G$12),0,D406*'Parámetros Proyección'!$G$12/(IF((H406/AI406&gt;'Parámetros Proyección'!$G$11),0,'Parámetros Proyección'!$G$11)+IF((N406/AI406&gt;'Parámetros Proyección'!$G$12),0,'Parámetros Proyección'!$G$12)+IF((T406/AI406&gt;'Parámetros Proyección'!$G$13),0,'Parámetros Proyección'!$G$13)+IF((Z406/AI406&gt;'Parámetros Proyección'!$G$14),0,'Parámetros Proyección'!$G$14)+IF((AF406/AI406&gt;'Parámetros Proyección'!$G$15),0,'Parámetros Proyección'!$G$15)))</f>
        <v/>
      </c>
      <c r="P406" s="35">
        <f>N406+O406</f>
        <v/>
      </c>
      <c r="Q406" s="35">
        <f>V405</f>
        <v/>
      </c>
      <c r="R406" s="35">
        <f>Q406*(1+'Parámetros Proyección'!$E$13)</f>
        <v/>
      </c>
      <c r="S406" s="35">
        <f>R406*'Parámetros Proyección'!$F$13</f>
        <v/>
      </c>
      <c r="T406" s="35">
        <f>R406+S406</f>
        <v/>
      </c>
      <c r="U406" s="35">
        <f>IF((T406/AI406&gt;'Parámetros Proyección'!$G$13),0,D406*'Parámetros Proyección'!$G$13/(IF((H406/AI406&gt;'Parámetros Proyección'!$G$11),0,'Parámetros Proyección'!$G$11)+IF((N406/AI406&gt;'Parámetros Proyección'!$G$12),0,'Parámetros Proyección'!$G$12)+IF((T406/AI406&gt;'Parámetros Proyección'!$G$13),0,'Parámetros Proyección'!$G$13)+IF((Z406/AI406&gt;'Parámetros Proyección'!$G$14),0,'Parámetros Proyección'!$G$14)+IF((AF406/AI406&gt;'Parámetros Proyección'!$G$15),0,'Parámetros Proyección'!$G$15)))</f>
        <v/>
      </c>
      <c r="V406" s="35">
        <f>T406+U406</f>
        <v/>
      </c>
      <c r="W406" s="35">
        <f>AB405</f>
        <v/>
      </c>
      <c r="X406" s="35">
        <f>W406*(1+'Parámetros Proyección'!$E$14)</f>
        <v/>
      </c>
      <c r="Y406" s="35">
        <f>X406*'Parámetros Proyección'!$F$14</f>
        <v/>
      </c>
      <c r="Z406" s="35">
        <f>X406+Y406</f>
        <v/>
      </c>
      <c r="AA406" s="35">
        <f>IF((Z406/AI406&gt;'Parámetros Proyección'!$G$14),0,D406*'Parámetros Proyección'!$G$14/(IF((H406/AI406&gt;'Parámetros Proyección'!$G$11),0,'Parámetros Proyección'!$G$11)+IF((N406/AI406&gt;'Parámetros Proyección'!$G$12),0,'Parámetros Proyección'!$G$12)+IF((T406/AI406&gt;'Parámetros Proyección'!$G$13),0,'Parámetros Proyección'!$G$13)+IF((Z406/AI406&gt;'Parámetros Proyección'!$G$14),0,'Parámetros Proyección'!$G$14)+IF((AF406/AI406&gt;'Parámetros Proyección'!$G$15),0,'Parámetros Proyección'!$G$15)))</f>
        <v/>
      </c>
      <c r="AB406" s="35">
        <f>Z406+AA406</f>
        <v/>
      </c>
      <c r="AC406" s="35">
        <f>AH405</f>
        <v/>
      </c>
      <c r="AD406" s="35">
        <f>AC406*(1+'Parámetros Proyección'!$E$15)</f>
        <v/>
      </c>
      <c r="AE406" s="35">
        <f>AD406*'Parámetros Proyección'!$F$15</f>
        <v/>
      </c>
      <c r="AF406" s="35">
        <f>AD406+AE406</f>
        <v/>
      </c>
      <c r="AG406" s="35">
        <f>IF((AF406/AI406&gt;'Parámetros Proyección'!$G$15),0,D406*'Parámetros Proyección'!$G$15/(IF((H406/AI406&gt;'Parámetros Proyección'!$G$11),0,'Parámetros Proyección'!$G$11)+IF((N406/AI406&gt;'Parámetros Proyección'!$G$12),0,'Parámetros Proyección'!$G$12)+IF((T406/AI406&gt;'Parámetros Proyección'!$G$13),0,'Parámetros Proyección'!$G$13)+IF((Z406/AI406&gt;'Parámetros Proyección'!$G$14),0,'Parámetros Proyección'!$G$14)+IF((AF406/AI406&gt;'Parámetros Proyección'!$G$15),0,'Parámetros Proyección'!$G$15)))</f>
        <v/>
      </c>
      <c r="AH406" s="35">
        <f>AF406+AG406</f>
        <v/>
      </c>
      <c r="AI406" s="35">
        <f>H406+N406+T406+Z406+AF406</f>
        <v/>
      </c>
      <c r="AJ406" s="33">
        <f>AF406/AI406</f>
        <v/>
      </c>
      <c r="AK406">
        <f>IF(AJ406&gt;'Parámetros Proyección'!$B$5,1,0)</f>
        <v/>
      </c>
      <c r="AL406" s="35">
        <f>G406+M406+S406+Y406+AE406</f>
        <v/>
      </c>
      <c r="AM406" s="35">
        <f>AM405+D406</f>
        <v/>
      </c>
      <c r="AN406" s="35">
        <f>AN405+AL406</f>
        <v/>
      </c>
      <c r="AO406" s="35">
        <f>J406+P406+V406+AB406+AH406</f>
        <v/>
      </c>
    </row>
    <row r="407">
      <c r="A407" t="n">
        <v>404</v>
      </c>
      <c r="B407" s="34">
        <f>EDATE(B406,1)</f>
        <v/>
      </c>
      <c r="C407">
        <f>YEAR(B407)</f>
        <v/>
      </c>
      <c r="D407" s="35">
        <f>'Parámetros Proyección'!$B$3*(1+'Parámetros Proyección'!$B$4)^(C407-YEAR('Parámetros Proyección'!$B$6))</f>
        <v/>
      </c>
      <c r="E407" s="35">
        <f>J406</f>
        <v/>
      </c>
      <c r="F407" s="35">
        <f>E407*(1+'Parámetros Proyección'!$E$11)</f>
        <v/>
      </c>
      <c r="G407" s="35">
        <f>F407*'Parámetros Proyección'!$F$11</f>
        <v/>
      </c>
      <c r="H407" s="35">
        <f>F407+G407</f>
        <v/>
      </c>
      <c r="I407" s="35">
        <f>IF((H407/AI407&gt;'Parámetros Proyección'!$G$11),0,D407*'Parámetros Proyección'!$G$11/(IF((H407/AI407&gt;'Parámetros Proyección'!$G$11),0,'Parámetros Proyección'!$G$11)+IF((N407/AI407&gt;'Parámetros Proyección'!$G$12),0,'Parámetros Proyección'!$G$12)+IF((T407/AI407&gt;'Parámetros Proyección'!$G$13),0,'Parámetros Proyección'!$G$13)+IF((Z407/AI407&gt;'Parámetros Proyección'!$G$14),0,'Parámetros Proyección'!$G$14)+IF((AF407/AI407&gt;'Parámetros Proyección'!$G$15),0,'Parámetros Proyección'!$G$15)))</f>
        <v/>
      </c>
      <c r="J407" s="35">
        <f>H407+I407</f>
        <v/>
      </c>
      <c r="K407" s="35">
        <f>P406</f>
        <v/>
      </c>
      <c r="L407" s="35">
        <f>K407*(1+'Parámetros Proyección'!$E$12)</f>
        <v/>
      </c>
      <c r="M407" s="35">
        <f>L407*'Parámetros Proyección'!$F$12</f>
        <v/>
      </c>
      <c r="N407" s="35">
        <f>L407+M407</f>
        <v/>
      </c>
      <c r="O407" s="35">
        <f>IF((N407/AI407&gt;'Parámetros Proyección'!$G$12),0,D407*'Parámetros Proyección'!$G$12/(IF((H407/AI407&gt;'Parámetros Proyección'!$G$11),0,'Parámetros Proyección'!$G$11)+IF((N407/AI407&gt;'Parámetros Proyección'!$G$12),0,'Parámetros Proyección'!$G$12)+IF((T407/AI407&gt;'Parámetros Proyección'!$G$13),0,'Parámetros Proyección'!$G$13)+IF((Z407/AI407&gt;'Parámetros Proyección'!$G$14),0,'Parámetros Proyección'!$G$14)+IF((AF407/AI407&gt;'Parámetros Proyección'!$G$15),0,'Parámetros Proyección'!$G$15)))</f>
        <v/>
      </c>
      <c r="P407" s="35">
        <f>N407+O407</f>
        <v/>
      </c>
      <c r="Q407" s="35">
        <f>V406</f>
        <v/>
      </c>
      <c r="R407" s="35">
        <f>Q407*(1+'Parámetros Proyección'!$E$13)</f>
        <v/>
      </c>
      <c r="S407" s="35">
        <f>R407*'Parámetros Proyección'!$F$13</f>
        <v/>
      </c>
      <c r="T407" s="35">
        <f>R407+S407</f>
        <v/>
      </c>
      <c r="U407" s="35">
        <f>IF((T407/AI407&gt;'Parámetros Proyección'!$G$13),0,D407*'Parámetros Proyección'!$G$13/(IF((H407/AI407&gt;'Parámetros Proyección'!$G$11),0,'Parámetros Proyección'!$G$11)+IF((N407/AI407&gt;'Parámetros Proyección'!$G$12),0,'Parámetros Proyección'!$G$12)+IF((T407/AI407&gt;'Parámetros Proyección'!$G$13),0,'Parámetros Proyección'!$G$13)+IF((Z407/AI407&gt;'Parámetros Proyección'!$G$14),0,'Parámetros Proyección'!$G$14)+IF((AF407/AI407&gt;'Parámetros Proyección'!$G$15),0,'Parámetros Proyección'!$G$15)))</f>
        <v/>
      </c>
      <c r="V407" s="35">
        <f>T407+U407</f>
        <v/>
      </c>
      <c r="W407" s="35">
        <f>AB406</f>
        <v/>
      </c>
      <c r="X407" s="35">
        <f>W407*(1+'Parámetros Proyección'!$E$14)</f>
        <v/>
      </c>
      <c r="Y407" s="35">
        <f>X407*'Parámetros Proyección'!$F$14</f>
        <v/>
      </c>
      <c r="Z407" s="35">
        <f>X407+Y407</f>
        <v/>
      </c>
      <c r="AA407" s="35">
        <f>IF((Z407/AI407&gt;'Parámetros Proyección'!$G$14),0,D407*'Parámetros Proyección'!$G$14/(IF((H407/AI407&gt;'Parámetros Proyección'!$G$11),0,'Parámetros Proyección'!$G$11)+IF((N407/AI407&gt;'Parámetros Proyección'!$G$12),0,'Parámetros Proyección'!$G$12)+IF((T407/AI407&gt;'Parámetros Proyección'!$G$13),0,'Parámetros Proyección'!$G$13)+IF((Z407/AI407&gt;'Parámetros Proyección'!$G$14),0,'Parámetros Proyección'!$G$14)+IF((AF407/AI407&gt;'Parámetros Proyección'!$G$15),0,'Parámetros Proyección'!$G$15)))</f>
        <v/>
      </c>
      <c r="AB407" s="35">
        <f>Z407+AA407</f>
        <v/>
      </c>
      <c r="AC407" s="35">
        <f>AH406</f>
        <v/>
      </c>
      <c r="AD407" s="35">
        <f>AC407*(1+'Parámetros Proyección'!$E$15)</f>
        <v/>
      </c>
      <c r="AE407" s="35">
        <f>AD407*'Parámetros Proyección'!$F$15</f>
        <v/>
      </c>
      <c r="AF407" s="35">
        <f>AD407+AE407</f>
        <v/>
      </c>
      <c r="AG407" s="35">
        <f>IF((AF407/AI407&gt;'Parámetros Proyección'!$G$15),0,D407*'Parámetros Proyección'!$G$15/(IF((H407/AI407&gt;'Parámetros Proyección'!$G$11),0,'Parámetros Proyección'!$G$11)+IF((N407/AI407&gt;'Parámetros Proyección'!$G$12),0,'Parámetros Proyección'!$G$12)+IF((T407/AI407&gt;'Parámetros Proyección'!$G$13),0,'Parámetros Proyección'!$G$13)+IF((Z407/AI407&gt;'Parámetros Proyección'!$G$14),0,'Parámetros Proyección'!$G$14)+IF((AF407/AI407&gt;'Parámetros Proyección'!$G$15),0,'Parámetros Proyección'!$G$15)))</f>
        <v/>
      </c>
      <c r="AH407" s="35">
        <f>AF407+AG407</f>
        <v/>
      </c>
      <c r="AI407" s="35">
        <f>H407+N407+T407+Z407+AF407</f>
        <v/>
      </c>
      <c r="AJ407" s="33">
        <f>AF407/AI407</f>
        <v/>
      </c>
      <c r="AK407">
        <f>IF(AJ407&gt;'Parámetros Proyección'!$B$5,1,0)</f>
        <v/>
      </c>
      <c r="AL407" s="35">
        <f>G407+M407+S407+Y407+AE407</f>
        <v/>
      </c>
      <c r="AM407" s="35">
        <f>AM406+D407</f>
        <v/>
      </c>
      <c r="AN407" s="35">
        <f>AN406+AL407</f>
        <v/>
      </c>
      <c r="AO407" s="35">
        <f>J407+P407+V407+AB407+AH407</f>
        <v/>
      </c>
    </row>
    <row r="408">
      <c r="A408" t="n">
        <v>405</v>
      </c>
      <c r="B408" s="34">
        <f>EDATE(B407,1)</f>
        <v/>
      </c>
      <c r="C408">
        <f>YEAR(B408)</f>
        <v/>
      </c>
      <c r="D408" s="35">
        <f>'Parámetros Proyección'!$B$3*(1+'Parámetros Proyección'!$B$4)^(C408-YEAR('Parámetros Proyección'!$B$6))</f>
        <v/>
      </c>
      <c r="E408" s="35">
        <f>J407</f>
        <v/>
      </c>
      <c r="F408" s="35">
        <f>E408*(1+'Parámetros Proyección'!$E$11)</f>
        <v/>
      </c>
      <c r="G408" s="35">
        <f>F408*'Parámetros Proyección'!$F$11</f>
        <v/>
      </c>
      <c r="H408" s="35">
        <f>F408+G408</f>
        <v/>
      </c>
      <c r="I408" s="35">
        <f>IF((H408/AI408&gt;'Parámetros Proyección'!$G$11),0,D408*'Parámetros Proyección'!$G$11/(IF((H408/AI408&gt;'Parámetros Proyección'!$G$11),0,'Parámetros Proyección'!$G$11)+IF((N408/AI408&gt;'Parámetros Proyección'!$G$12),0,'Parámetros Proyección'!$G$12)+IF((T408/AI408&gt;'Parámetros Proyección'!$G$13),0,'Parámetros Proyección'!$G$13)+IF((Z408/AI408&gt;'Parámetros Proyección'!$G$14),0,'Parámetros Proyección'!$G$14)+IF((AF408/AI408&gt;'Parámetros Proyección'!$G$15),0,'Parámetros Proyección'!$G$15)))</f>
        <v/>
      </c>
      <c r="J408" s="35">
        <f>H408+I408</f>
        <v/>
      </c>
      <c r="K408" s="35">
        <f>P407</f>
        <v/>
      </c>
      <c r="L408" s="35">
        <f>K408*(1+'Parámetros Proyección'!$E$12)</f>
        <v/>
      </c>
      <c r="M408" s="35">
        <f>L408*'Parámetros Proyección'!$F$12</f>
        <v/>
      </c>
      <c r="N408" s="35">
        <f>L408+M408</f>
        <v/>
      </c>
      <c r="O408" s="35">
        <f>IF((N408/AI408&gt;'Parámetros Proyección'!$G$12),0,D408*'Parámetros Proyección'!$G$12/(IF((H408/AI408&gt;'Parámetros Proyección'!$G$11),0,'Parámetros Proyección'!$G$11)+IF((N408/AI408&gt;'Parámetros Proyección'!$G$12),0,'Parámetros Proyección'!$G$12)+IF((T408/AI408&gt;'Parámetros Proyección'!$G$13),0,'Parámetros Proyección'!$G$13)+IF((Z408/AI408&gt;'Parámetros Proyección'!$G$14),0,'Parámetros Proyección'!$G$14)+IF((AF408/AI408&gt;'Parámetros Proyección'!$G$15),0,'Parámetros Proyección'!$G$15)))</f>
        <v/>
      </c>
      <c r="P408" s="35">
        <f>N408+O408</f>
        <v/>
      </c>
      <c r="Q408" s="35">
        <f>V407</f>
        <v/>
      </c>
      <c r="R408" s="35">
        <f>Q408*(1+'Parámetros Proyección'!$E$13)</f>
        <v/>
      </c>
      <c r="S408" s="35">
        <f>R408*'Parámetros Proyección'!$F$13</f>
        <v/>
      </c>
      <c r="T408" s="35">
        <f>R408+S408</f>
        <v/>
      </c>
      <c r="U408" s="35">
        <f>IF((T408/AI408&gt;'Parámetros Proyección'!$G$13),0,D408*'Parámetros Proyección'!$G$13/(IF((H408/AI408&gt;'Parámetros Proyección'!$G$11),0,'Parámetros Proyección'!$G$11)+IF((N408/AI408&gt;'Parámetros Proyección'!$G$12),0,'Parámetros Proyección'!$G$12)+IF((T408/AI408&gt;'Parámetros Proyección'!$G$13),0,'Parámetros Proyección'!$G$13)+IF((Z408/AI408&gt;'Parámetros Proyección'!$G$14),0,'Parámetros Proyección'!$G$14)+IF((AF408/AI408&gt;'Parámetros Proyección'!$G$15),0,'Parámetros Proyección'!$G$15)))</f>
        <v/>
      </c>
      <c r="V408" s="35">
        <f>T408+U408</f>
        <v/>
      </c>
      <c r="W408" s="35">
        <f>AB407</f>
        <v/>
      </c>
      <c r="X408" s="35">
        <f>W408*(1+'Parámetros Proyección'!$E$14)</f>
        <v/>
      </c>
      <c r="Y408" s="35">
        <f>X408*'Parámetros Proyección'!$F$14</f>
        <v/>
      </c>
      <c r="Z408" s="35">
        <f>X408+Y408</f>
        <v/>
      </c>
      <c r="AA408" s="35">
        <f>IF((Z408/AI408&gt;'Parámetros Proyección'!$G$14),0,D408*'Parámetros Proyección'!$G$14/(IF((H408/AI408&gt;'Parámetros Proyección'!$G$11),0,'Parámetros Proyección'!$G$11)+IF((N408/AI408&gt;'Parámetros Proyección'!$G$12),0,'Parámetros Proyección'!$G$12)+IF((T408/AI408&gt;'Parámetros Proyección'!$G$13),0,'Parámetros Proyección'!$G$13)+IF((Z408/AI408&gt;'Parámetros Proyección'!$G$14),0,'Parámetros Proyección'!$G$14)+IF((AF408/AI408&gt;'Parámetros Proyección'!$G$15),0,'Parámetros Proyección'!$G$15)))</f>
        <v/>
      </c>
      <c r="AB408" s="35">
        <f>Z408+AA408</f>
        <v/>
      </c>
      <c r="AC408" s="35">
        <f>AH407</f>
        <v/>
      </c>
      <c r="AD408" s="35">
        <f>AC408*(1+'Parámetros Proyección'!$E$15)</f>
        <v/>
      </c>
      <c r="AE408" s="35">
        <f>AD408*'Parámetros Proyección'!$F$15</f>
        <v/>
      </c>
      <c r="AF408" s="35">
        <f>AD408+AE408</f>
        <v/>
      </c>
      <c r="AG408" s="35">
        <f>IF((AF408/AI408&gt;'Parámetros Proyección'!$G$15),0,D408*'Parámetros Proyección'!$G$15/(IF((H408/AI408&gt;'Parámetros Proyección'!$G$11),0,'Parámetros Proyección'!$G$11)+IF((N408/AI408&gt;'Parámetros Proyección'!$G$12),0,'Parámetros Proyección'!$G$12)+IF((T408/AI408&gt;'Parámetros Proyección'!$G$13),0,'Parámetros Proyección'!$G$13)+IF((Z408/AI408&gt;'Parámetros Proyección'!$G$14),0,'Parámetros Proyección'!$G$14)+IF((AF408/AI408&gt;'Parámetros Proyección'!$G$15),0,'Parámetros Proyección'!$G$15)))</f>
        <v/>
      </c>
      <c r="AH408" s="35">
        <f>AF408+AG408</f>
        <v/>
      </c>
      <c r="AI408" s="35">
        <f>H408+N408+T408+Z408+AF408</f>
        <v/>
      </c>
      <c r="AJ408" s="33">
        <f>AF408/AI408</f>
        <v/>
      </c>
      <c r="AK408">
        <f>IF(AJ408&gt;'Parámetros Proyección'!$B$5,1,0)</f>
        <v/>
      </c>
      <c r="AL408" s="35">
        <f>G408+M408+S408+Y408+AE408</f>
        <v/>
      </c>
      <c r="AM408" s="35">
        <f>AM407+D408</f>
        <v/>
      </c>
      <c r="AN408" s="35">
        <f>AN407+AL408</f>
        <v/>
      </c>
      <c r="AO408" s="35">
        <f>J408+P408+V408+AB408+AH408</f>
        <v/>
      </c>
    </row>
    <row r="409">
      <c r="A409" t="n">
        <v>406</v>
      </c>
      <c r="B409" s="34">
        <f>EDATE(B408,1)</f>
        <v/>
      </c>
      <c r="C409">
        <f>YEAR(B409)</f>
        <v/>
      </c>
      <c r="D409" s="35">
        <f>'Parámetros Proyección'!$B$3*(1+'Parámetros Proyección'!$B$4)^(C409-YEAR('Parámetros Proyección'!$B$6))</f>
        <v/>
      </c>
      <c r="E409" s="35">
        <f>J408</f>
        <v/>
      </c>
      <c r="F409" s="35">
        <f>E409*(1+'Parámetros Proyección'!$E$11)</f>
        <v/>
      </c>
      <c r="G409" s="35">
        <f>F409*'Parámetros Proyección'!$F$11</f>
        <v/>
      </c>
      <c r="H409" s="35">
        <f>F409+G409</f>
        <v/>
      </c>
      <c r="I409" s="35">
        <f>IF((H409/AI409&gt;'Parámetros Proyección'!$G$11),0,D409*'Parámetros Proyección'!$G$11/(IF((H409/AI409&gt;'Parámetros Proyección'!$G$11),0,'Parámetros Proyección'!$G$11)+IF((N409/AI409&gt;'Parámetros Proyección'!$G$12),0,'Parámetros Proyección'!$G$12)+IF((T409/AI409&gt;'Parámetros Proyección'!$G$13),0,'Parámetros Proyección'!$G$13)+IF((Z409/AI409&gt;'Parámetros Proyección'!$G$14),0,'Parámetros Proyección'!$G$14)+IF((AF409/AI409&gt;'Parámetros Proyección'!$G$15),0,'Parámetros Proyección'!$G$15)))</f>
        <v/>
      </c>
      <c r="J409" s="35">
        <f>H409+I409</f>
        <v/>
      </c>
      <c r="K409" s="35">
        <f>P408</f>
        <v/>
      </c>
      <c r="L409" s="35">
        <f>K409*(1+'Parámetros Proyección'!$E$12)</f>
        <v/>
      </c>
      <c r="M409" s="35">
        <f>L409*'Parámetros Proyección'!$F$12</f>
        <v/>
      </c>
      <c r="N409" s="35">
        <f>L409+M409</f>
        <v/>
      </c>
      <c r="O409" s="35">
        <f>IF((N409/AI409&gt;'Parámetros Proyección'!$G$12),0,D409*'Parámetros Proyección'!$G$12/(IF((H409/AI409&gt;'Parámetros Proyección'!$G$11),0,'Parámetros Proyección'!$G$11)+IF((N409/AI409&gt;'Parámetros Proyección'!$G$12),0,'Parámetros Proyección'!$G$12)+IF((T409/AI409&gt;'Parámetros Proyección'!$G$13),0,'Parámetros Proyección'!$G$13)+IF((Z409/AI409&gt;'Parámetros Proyección'!$G$14),0,'Parámetros Proyección'!$G$14)+IF((AF409/AI409&gt;'Parámetros Proyección'!$G$15),0,'Parámetros Proyección'!$G$15)))</f>
        <v/>
      </c>
      <c r="P409" s="35">
        <f>N409+O409</f>
        <v/>
      </c>
      <c r="Q409" s="35">
        <f>V408</f>
        <v/>
      </c>
      <c r="R409" s="35">
        <f>Q409*(1+'Parámetros Proyección'!$E$13)</f>
        <v/>
      </c>
      <c r="S409" s="35">
        <f>R409*'Parámetros Proyección'!$F$13</f>
        <v/>
      </c>
      <c r="T409" s="35">
        <f>R409+S409</f>
        <v/>
      </c>
      <c r="U409" s="35">
        <f>IF((T409/AI409&gt;'Parámetros Proyección'!$G$13),0,D409*'Parámetros Proyección'!$G$13/(IF((H409/AI409&gt;'Parámetros Proyección'!$G$11),0,'Parámetros Proyección'!$G$11)+IF((N409/AI409&gt;'Parámetros Proyección'!$G$12),0,'Parámetros Proyección'!$G$12)+IF((T409/AI409&gt;'Parámetros Proyección'!$G$13),0,'Parámetros Proyección'!$G$13)+IF((Z409/AI409&gt;'Parámetros Proyección'!$G$14),0,'Parámetros Proyección'!$G$14)+IF((AF409/AI409&gt;'Parámetros Proyección'!$G$15),0,'Parámetros Proyección'!$G$15)))</f>
        <v/>
      </c>
      <c r="V409" s="35">
        <f>T409+U409</f>
        <v/>
      </c>
      <c r="W409" s="35">
        <f>AB408</f>
        <v/>
      </c>
      <c r="X409" s="35">
        <f>W409*(1+'Parámetros Proyección'!$E$14)</f>
        <v/>
      </c>
      <c r="Y409" s="35">
        <f>X409*'Parámetros Proyección'!$F$14</f>
        <v/>
      </c>
      <c r="Z409" s="35">
        <f>X409+Y409</f>
        <v/>
      </c>
      <c r="AA409" s="35">
        <f>IF((Z409/AI409&gt;'Parámetros Proyección'!$G$14),0,D409*'Parámetros Proyección'!$G$14/(IF((H409/AI409&gt;'Parámetros Proyección'!$G$11),0,'Parámetros Proyección'!$G$11)+IF((N409/AI409&gt;'Parámetros Proyección'!$G$12),0,'Parámetros Proyección'!$G$12)+IF((T409/AI409&gt;'Parámetros Proyección'!$G$13),0,'Parámetros Proyección'!$G$13)+IF((Z409/AI409&gt;'Parámetros Proyección'!$G$14),0,'Parámetros Proyección'!$G$14)+IF((AF409/AI409&gt;'Parámetros Proyección'!$G$15),0,'Parámetros Proyección'!$G$15)))</f>
        <v/>
      </c>
      <c r="AB409" s="35">
        <f>Z409+AA409</f>
        <v/>
      </c>
      <c r="AC409" s="35">
        <f>AH408</f>
        <v/>
      </c>
      <c r="AD409" s="35">
        <f>AC409*(1+'Parámetros Proyección'!$E$15)</f>
        <v/>
      </c>
      <c r="AE409" s="35">
        <f>AD409*'Parámetros Proyección'!$F$15</f>
        <v/>
      </c>
      <c r="AF409" s="35">
        <f>AD409+AE409</f>
        <v/>
      </c>
      <c r="AG409" s="35">
        <f>IF((AF409/AI409&gt;'Parámetros Proyección'!$G$15),0,D409*'Parámetros Proyección'!$G$15/(IF((H409/AI409&gt;'Parámetros Proyección'!$G$11),0,'Parámetros Proyección'!$G$11)+IF((N409/AI409&gt;'Parámetros Proyección'!$G$12),0,'Parámetros Proyección'!$G$12)+IF((T409/AI409&gt;'Parámetros Proyección'!$G$13),0,'Parámetros Proyección'!$G$13)+IF((Z409/AI409&gt;'Parámetros Proyección'!$G$14),0,'Parámetros Proyección'!$G$14)+IF((AF409/AI409&gt;'Parámetros Proyección'!$G$15),0,'Parámetros Proyección'!$G$15)))</f>
        <v/>
      </c>
      <c r="AH409" s="35">
        <f>AF409+AG409</f>
        <v/>
      </c>
      <c r="AI409" s="35">
        <f>H409+N409+T409+Z409+AF409</f>
        <v/>
      </c>
      <c r="AJ409" s="33">
        <f>AF409/AI409</f>
        <v/>
      </c>
      <c r="AK409">
        <f>IF(AJ409&gt;'Parámetros Proyección'!$B$5,1,0)</f>
        <v/>
      </c>
      <c r="AL409" s="35">
        <f>G409+M409+S409+Y409+AE409</f>
        <v/>
      </c>
      <c r="AM409" s="35">
        <f>AM408+D409</f>
        <v/>
      </c>
      <c r="AN409" s="35">
        <f>AN408+AL409</f>
        <v/>
      </c>
      <c r="AO409" s="35">
        <f>J409+P409+V409+AB409+AH409</f>
        <v/>
      </c>
    </row>
    <row r="410">
      <c r="A410" t="n">
        <v>407</v>
      </c>
      <c r="B410" s="34">
        <f>EDATE(B409,1)</f>
        <v/>
      </c>
      <c r="C410">
        <f>YEAR(B410)</f>
        <v/>
      </c>
      <c r="D410" s="35">
        <f>'Parámetros Proyección'!$B$3*(1+'Parámetros Proyección'!$B$4)^(C410-YEAR('Parámetros Proyección'!$B$6))</f>
        <v/>
      </c>
      <c r="E410" s="35">
        <f>J409</f>
        <v/>
      </c>
      <c r="F410" s="35">
        <f>E410*(1+'Parámetros Proyección'!$E$11)</f>
        <v/>
      </c>
      <c r="G410" s="35">
        <f>F410*'Parámetros Proyección'!$F$11</f>
        <v/>
      </c>
      <c r="H410" s="35">
        <f>F410+G410</f>
        <v/>
      </c>
      <c r="I410" s="35">
        <f>IF((H410/AI410&gt;'Parámetros Proyección'!$G$11),0,D410*'Parámetros Proyección'!$G$11/(IF((H410/AI410&gt;'Parámetros Proyección'!$G$11),0,'Parámetros Proyección'!$G$11)+IF((N410/AI410&gt;'Parámetros Proyección'!$G$12),0,'Parámetros Proyección'!$G$12)+IF((T410/AI410&gt;'Parámetros Proyección'!$G$13),0,'Parámetros Proyección'!$G$13)+IF((Z410/AI410&gt;'Parámetros Proyección'!$G$14),0,'Parámetros Proyección'!$G$14)+IF((AF410/AI410&gt;'Parámetros Proyección'!$G$15),0,'Parámetros Proyección'!$G$15)))</f>
        <v/>
      </c>
      <c r="J410" s="35">
        <f>H410+I410</f>
        <v/>
      </c>
      <c r="K410" s="35">
        <f>P409</f>
        <v/>
      </c>
      <c r="L410" s="35">
        <f>K410*(1+'Parámetros Proyección'!$E$12)</f>
        <v/>
      </c>
      <c r="M410" s="35">
        <f>L410*'Parámetros Proyección'!$F$12</f>
        <v/>
      </c>
      <c r="N410" s="35">
        <f>L410+M410</f>
        <v/>
      </c>
      <c r="O410" s="35">
        <f>IF((N410/AI410&gt;'Parámetros Proyección'!$G$12),0,D410*'Parámetros Proyección'!$G$12/(IF((H410/AI410&gt;'Parámetros Proyección'!$G$11),0,'Parámetros Proyección'!$G$11)+IF((N410/AI410&gt;'Parámetros Proyección'!$G$12),0,'Parámetros Proyección'!$G$12)+IF((T410/AI410&gt;'Parámetros Proyección'!$G$13),0,'Parámetros Proyección'!$G$13)+IF((Z410/AI410&gt;'Parámetros Proyección'!$G$14),0,'Parámetros Proyección'!$G$14)+IF((AF410/AI410&gt;'Parámetros Proyección'!$G$15),0,'Parámetros Proyección'!$G$15)))</f>
        <v/>
      </c>
      <c r="P410" s="35">
        <f>N410+O410</f>
        <v/>
      </c>
      <c r="Q410" s="35">
        <f>V409</f>
        <v/>
      </c>
      <c r="R410" s="35">
        <f>Q410*(1+'Parámetros Proyección'!$E$13)</f>
        <v/>
      </c>
      <c r="S410" s="35">
        <f>R410*'Parámetros Proyección'!$F$13</f>
        <v/>
      </c>
      <c r="T410" s="35">
        <f>R410+S410</f>
        <v/>
      </c>
      <c r="U410" s="35">
        <f>IF((T410/AI410&gt;'Parámetros Proyección'!$G$13),0,D410*'Parámetros Proyección'!$G$13/(IF((H410/AI410&gt;'Parámetros Proyección'!$G$11),0,'Parámetros Proyección'!$G$11)+IF((N410/AI410&gt;'Parámetros Proyección'!$G$12),0,'Parámetros Proyección'!$G$12)+IF((T410/AI410&gt;'Parámetros Proyección'!$G$13),0,'Parámetros Proyección'!$G$13)+IF((Z410/AI410&gt;'Parámetros Proyección'!$G$14),0,'Parámetros Proyección'!$G$14)+IF((AF410/AI410&gt;'Parámetros Proyección'!$G$15),0,'Parámetros Proyección'!$G$15)))</f>
        <v/>
      </c>
      <c r="V410" s="35">
        <f>T410+U410</f>
        <v/>
      </c>
      <c r="W410" s="35">
        <f>AB409</f>
        <v/>
      </c>
      <c r="X410" s="35">
        <f>W410*(1+'Parámetros Proyección'!$E$14)</f>
        <v/>
      </c>
      <c r="Y410" s="35">
        <f>X410*'Parámetros Proyección'!$F$14</f>
        <v/>
      </c>
      <c r="Z410" s="35">
        <f>X410+Y410</f>
        <v/>
      </c>
      <c r="AA410" s="35">
        <f>IF((Z410/AI410&gt;'Parámetros Proyección'!$G$14),0,D410*'Parámetros Proyección'!$G$14/(IF((H410/AI410&gt;'Parámetros Proyección'!$G$11),0,'Parámetros Proyección'!$G$11)+IF((N410/AI410&gt;'Parámetros Proyección'!$G$12),0,'Parámetros Proyección'!$G$12)+IF((T410/AI410&gt;'Parámetros Proyección'!$G$13),0,'Parámetros Proyección'!$G$13)+IF((Z410/AI410&gt;'Parámetros Proyección'!$G$14),0,'Parámetros Proyección'!$G$14)+IF((AF410/AI410&gt;'Parámetros Proyección'!$G$15),0,'Parámetros Proyección'!$G$15)))</f>
        <v/>
      </c>
      <c r="AB410" s="35">
        <f>Z410+AA410</f>
        <v/>
      </c>
      <c r="AC410" s="35">
        <f>AH409</f>
        <v/>
      </c>
      <c r="AD410" s="35">
        <f>AC410*(1+'Parámetros Proyección'!$E$15)</f>
        <v/>
      </c>
      <c r="AE410" s="35">
        <f>AD410*'Parámetros Proyección'!$F$15</f>
        <v/>
      </c>
      <c r="AF410" s="35">
        <f>AD410+AE410</f>
        <v/>
      </c>
      <c r="AG410" s="35">
        <f>IF((AF410/AI410&gt;'Parámetros Proyección'!$G$15),0,D410*'Parámetros Proyección'!$G$15/(IF((H410/AI410&gt;'Parámetros Proyección'!$G$11),0,'Parámetros Proyección'!$G$11)+IF((N410/AI410&gt;'Parámetros Proyección'!$G$12),0,'Parámetros Proyección'!$G$12)+IF((T410/AI410&gt;'Parámetros Proyección'!$G$13),0,'Parámetros Proyección'!$G$13)+IF((Z410/AI410&gt;'Parámetros Proyección'!$G$14),0,'Parámetros Proyección'!$G$14)+IF((AF410/AI410&gt;'Parámetros Proyección'!$G$15),0,'Parámetros Proyección'!$G$15)))</f>
        <v/>
      </c>
      <c r="AH410" s="35">
        <f>AF410+AG410</f>
        <v/>
      </c>
      <c r="AI410" s="35">
        <f>H410+N410+T410+Z410+AF410</f>
        <v/>
      </c>
      <c r="AJ410" s="33">
        <f>AF410/AI410</f>
        <v/>
      </c>
      <c r="AK410">
        <f>IF(AJ410&gt;'Parámetros Proyección'!$B$5,1,0)</f>
        <v/>
      </c>
      <c r="AL410" s="35">
        <f>G410+M410+S410+Y410+AE410</f>
        <v/>
      </c>
      <c r="AM410" s="35">
        <f>AM409+D410</f>
        <v/>
      </c>
      <c r="AN410" s="35">
        <f>AN409+AL410</f>
        <v/>
      </c>
      <c r="AO410" s="35">
        <f>J410+P410+V410+AB410+AH410</f>
        <v/>
      </c>
    </row>
    <row r="411">
      <c r="A411" t="n">
        <v>408</v>
      </c>
      <c r="B411" s="34">
        <f>EDATE(B410,1)</f>
        <v/>
      </c>
      <c r="C411">
        <f>YEAR(B411)</f>
        <v/>
      </c>
      <c r="D411" s="35">
        <f>'Parámetros Proyección'!$B$3*(1+'Parámetros Proyección'!$B$4)^(C411-YEAR('Parámetros Proyección'!$B$6))</f>
        <v/>
      </c>
      <c r="E411" s="35">
        <f>J410</f>
        <v/>
      </c>
      <c r="F411" s="35">
        <f>E411*(1+'Parámetros Proyección'!$E$11)</f>
        <v/>
      </c>
      <c r="G411" s="35">
        <f>F411*'Parámetros Proyección'!$F$11</f>
        <v/>
      </c>
      <c r="H411" s="35">
        <f>F411+G411</f>
        <v/>
      </c>
      <c r="I411" s="35">
        <f>IF((H411/AI411&gt;'Parámetros Proyección'!$G$11),0,D411*'Parámetros Proyección'!$G$11/(IF((H411/AI411&gt;'Parámetros Proyección'!$G$11),0,'Parámetros Proyección'!$G$11)+IF((N411/AI411&gt;'Parámetros Proyección'!$G$12),0,'Parámetros Proyección'!$G$12)+IF((T411/AI411&gt;'Parámetros Proyección'!$G$13),0,'Parámetros Proyección'!$G$13)+IF((Z411/AI411&gt;'Parámetros Proyección'!$G$14),0,'Parámetros Proyección'!$G$14)+IF((AF411/AI411&gt;'Parámetros Proyección'!$G$15),0,'Parámetros Proyección'!$G$15)))</f>
        <v/>
      </c>
      <c r="J411" s="35">
        <f>H411+I411</f>
        <v/>
      </c>
      <c r="K411" s="35">
        <f>P410</f>
        <v/>
      </c>
      <c r="L411" s="35">
        <f>K411*(1+'Parámetros Proyección'!$E$12)</f>
        <v/>
      </c>
      <c r="M411" s="35">
        <f>L411*'Parámetros Proyección'!$F$12</f>
        <v/>
      </c>
      <c r="N411" s="35">
        <f>L411+M411</f>
        <v/>
      </c>
      <c r="O411" s="35">
        <f>IF((N411/AI411&gt;'Parámetros Proyección'!$G$12),0,D411*'Parámetros Proyección'!$G$12/(IF((H411/AI411&gt;'Parámetros Proyección'!$G$11),0,'Parámetros Proyección'!$G$11)+IF((N411/AI411&gt;'Parámetros Proyección'!$G$12),0,'Parámetros Proyección'!$G$12)+IF((T411/AI411&gt;'Parámetros Proyección'!$G$13),0,'Parámetros Proyección'!$G$13)+IF((Z411/AI411&gt;'Parámetros Proyección'!$G$14),0,'Parámetros Proyección'!$G$14)+IF((AF411/AI411&gt;'Parámetros Proyección'!$G$15),0,'Parámetros Proyección'!$G$15)))</f>
        <v/>
      </c>
      <c r="P411" s="35">
        <f>N411+O411</f>
        <v/>
      </c>
      <c r="Q411" s="35">
        <f>V410</f>
        <v/>
      </c>
      <c r="R411" s="35">
        <f>Q411*(1+'Parámetros Proyección'!$E$13)</f>
        <v/>
      </c>
      <c r="S411" s="35">
        <f>R411*'Parámetros Proyección'!$F$13</f>
        <v/>
      </c>
      <c r="T411" s="35">
        <f>R411+S411</f>
        <v/>
      </c>
      <c r="U411" s="35">
        <f>IF((T411/AI411&gt;'Parámetros Proyección'!$G$13),0,D411*'Parámetros Proyección'!$G$13/(IF((H411/AI411&gt;'Parámetros Proyección'!$G$11),0,'Parámetros Proyección'!$G$11)+IF((N411/AI411&gt;'Parámetros Proyección'!$G$12),0,'Parámetros Proyección'!$G$12)+IF((T411/AI411&gt;'Parámetros Proyección'!$G$13),0,'Parámetros Proyección'!$G$13)+IF((Z411/AI411&gt;'Parámetros Proyección'!$G$14),0,'Parámetros Proyección'!$G$14)+IF((AF411/AI411&gt;'Parámetros Proyección'!$G$15),0,'Parámetros Proyección'!$G$15)))</f>
        <v/>
      </c>
      <c r="V411" s="35">
        <f>T411+U411</f>
        <v/>
      </c>
      <c r="W411" s="35">
        <f>AB410</f>
        <v/>
      </c>
      <c r="X411" s="35">
        <f>W411*(1+'Parámetros Proyección'!$E$14)</f>
        <v/>
      </c>
      <c r="Y411" s="35">
        <f>X411*'Parámetros Proyección'!$F$14</f>
        <v/>
      </c>
      <c r="Z411" s="35">
        <f>X411+Y411</f>
        <v/>
      </c>
      <c r="AA411" s="35">
        <f>IF((Z411/AI411&gt;'Parámetros Proyección'!$G$14),0,D411*'Parámetros Proyección'!$G$14/(IF((H411/AI411&gt;'Parámetros Proyección'!$G$11),0,'Parámetros Proyección'!$G$11)+IF((N411/AI411&gt;'Parámetros Proyección'!$G$12),0,'Parámetros Proyección'!$G$12)+IF((T411/AI411&gt;'Parámetros Proyección'!$G$13),0,'Parámetros Proyección'!$G$13)+IF((Z411/AI411&gt;'Parámetros Proyección'!$G$14),0,'Parámetros Proyección'!$G$14)+IF((AF411/AI411&gt;'Parámetros Proyección'!$G$15),0,'Parámetros Proyección'!$G$15)))</f>
        <v/>
      </c>
      <c r="AB411" s="35">
        <f>Z411+AA411</f>
        <v/>
      </c>
      <c r="AC411" s="35">
        <f>AH410</f>
        <v/>
      </c>
      <c r="AD411" s="35">
        <f>AC411*(1+'Parámetros Proyección'!$E$15)</f>
        <v/>
      </c>
      <c r="AE411" s="35">
        <f>AD411*'Parámetros Proyección'!$F$15</f>
        <v/>
      </c>
      <c r="AF411" s="35">
        <f>AD411+AE411</f>
        <v/>
      </c>
      <c r="AG411" s="35">
        <f>IF((AF411/AI411&gt;'Parámetros Proyección'!$G$15),0,D411*'Parámetros Proyección'!$G$15/(IF((H411/AI411&gt;'Parámetros Proyección'!$G$11),0,'Parámetros Proyección'!$G$11)+IF((N411/AI411&gt;'Parámetros Proyección'!$G$12),0,'Parámetros Proyección'!$G$12)+IF((T411/AI411&gt;'Parámetros Proyección'!$G$13),0,'Parámetros Proyección'!$G$13)+IF((Z411/AI411&gt;'Parámetros Proyección'!$G$14),0,'Parámetros Proyección'!$G$14)+IF((AF411/AI411&gt;'Parámetros Proyección'!$G$15),0,'Parámetros Proyección'!$G$15)))</f>
        <v/>
      </c>
      <c r="AH411" s="35">
        <f>AF411+AG411</f>
        <v/>
      </c>
      <c r="AI411" s="35">
        <f>H411+N411+T411+Z411+AF411</f>
        <v/>
      </c>
      <c r="AJ411" s="33">
        <f>AF411/AI411</f>
        <v/>
      </c>
      <c r="AK411">
        <f>IF(AJ411&gt;'Parámetros Proyección'!$B$5,1,0)</f>
        <v/>
      </c>
      <c r="AL411" s="35">
        <f>G411+M411+S411+Y411+AE411</f>
        <v/>
      </c>
      <c r="AM411" s="35">
        <f>AM410+D411</f>
        <v/>
      </c>
      <c r="AN411" s="35">
        <f>AN410+AL411</f>
        <v/>
      </c>
      <c r="AO411" s="35">
        <f>J411+P411+V411+AB411+AH411</f>
        <v/>
      </c>
    </row>
    <row r="412">
      <c r="A412" t="n">
        <v>409</v>
      </c>
      <c r="B412" s="34">
        <f>EDATE(B411,1)</f>
        <v/>
      </c>
      <c r="C412">
        <f>YEAR(B412)</f>
        <v/>
      </c>
      <c r="D412" s="35">
        <f>'Parámetros Proyección'!$B$3*(1+'Parámetros Proyección'!$B$4)^(C412-YEAR('Parámetros Proyección'!$B$6))</f>
        <v/>
      </c>
      <c r="E412" s="35">
        <f>J411</f>
        <v/>
      </c>
      <c r="F412" s="35">
        <f>E412*(1+'Parámetros Proyección'!$E$11)</f>
        <v/>
      </c>
      <c r="G412" s="35">
        <f>F412*'Parámetros Proyección'!$F$11</f>
        <v/>
      </c>
      <c r="H412" s="35">
        <f>F412+G412</f>
        <v/>
      </c>
      <c r="I412" s="35">
        <f>IF((H412/AI412&gt;'Parámetros Proyección'!$G$11),0,D412*'Parámetros Proyección'!$G$11/(IF((H412/AI412&gt;'Parámetros Proyección'!$G$11),0,'Parámetros Proyección'!$G$11)+IF((N412/AI412&gt;'Parámetros Proyección'!$G$12),0,'Parámetros Proyección'!$G$12)+IF((T412/AI412&gt;'Parámetros Proyección'!$G$13),0,'Parámetros Proyección'!$G$13)+IF((Z412/AI412&gt;'Parámetros Proyección'!$G$14),0,'Parámetros Proyección'!$G$14)+IF((AF412/AI412&gt;'Parámetros Proyección'!$G$15),0,'Parámetros Proyección'!$G$15)))</f>
        <v/>
      </c>
      <c r="J412" s="35">
        <f>H412+I412</f>
        <v/>
      </c>
      <c r="K412" s="35">
        <f>P411</f>
        <v/>
      </c>
      <c r="L412" s="35">
        <f>K412*(1+'Parámetros Proyección'!$E$12)</f>
        <v/>
      </c>
      <c r="M412" s="35">
        <f>L412*'Parámetros Proyección'!$F$12</f>
        <v/>
      </c>
      <c r="N412" s="35">
        <f>L412+M412</f>
        <v/>
      </c>
      <c r="O412" s="35">
        <f>IF((N412/AI412&gt;'Parámetros Proyección'!$G$12),0,D412*'Parámetros Proyección'!$G$12/(IF((H412/AI412&gt;'Parámetros Proyección'!$G$11),0,'Parámetros Proyección'!$G$11)+IF((N412/AI412&gt;'Parámetros Proyección'!$G$12),0,'Parámetros Proyección'!$G$12)+IF((T412/AI412&gt;'Parámetros Proyección'!$G$13),0,'Parámetros Proyección'!$G$13)+IF((Z412/AI412&gt;'Parámetros Proyección'!$G$14),0,'Parámetros Proyección'!$G$14)+IF((AF412/AI412&gt;'Parámetros Proyección'!$G$15),0,'Parámetros Proyección'!$G$15)))</f>
        <v/>
      </c>
      <c r="P412" s="35">
        <f>N412+O412</f>
        <v/>
      </c>
      <c r="Q412" s="35">
        <f>V411</f>
        <v/>
      </c>
      <c r="R412" s="35">
        <f>Q412*(1+'Parámetros Proyección'!$E$13)</f>
        <v/>
      </c>
      <c r="S412" s="35">
        <f>R412*'Parámetros Proyección'!$F$13</f>
        <v/>
      </c>
      <c r="T412" s="35">
        <f>R412+S412</f>
        <v/>
      </c>
      <c r="U412" s="35">
        <f>IF((T412/AI412&gt;'Parámetros Proyección'!$G$13),0,D412*'Parámetros Proyección'!$G$13/(IF((H412/AI412&gt;'Parámetros Proyección'!$G$11),0,'Parámetros Proyección'!$G$11)+IF((N412/AI412&gt;'Parámetros Proyección'!$G$12),0,'Parámetros Proyección'!$G$12)+IF((T412/AI412&gt;'Parámetros Proyección'!$G$13),0,'Parámetros Proyección'!$G$13)+IF((Z412/AI412&gt;'Parámetros Proyección'!$G$14),0,'Parámetros Proyección'!$G$14)+IF((AF412/AI412&gt;'Parámetros Proyección'!$G$15),0,'Parámetros Proyección'!$G$15)))</f>
        <v/>
      </c>
      <c r="V412" s="35">
        <f>T412+U412</f>
        <v/>
      </c>
      <c r="W412" s="35">
        <f>AB411</f>
        <v/>
      </c>
      <c r="X412" s="35">
        <f>W412*(1+'Parámetros Proyección'!$E$14)</f>
        <v/>
      </c>
      <c r="Y412" s="35">
        <f>X412*'Parámetros Proyección'!$F$14</f>
        <v/>
      </c>
      <c r="Z412" s="35">
        <f>X412+Y412</f>
        <v/>
      </c>
      <c r="AA412" s="35">
        <f>IF((Z412/AI412&gt;'Parámetros Proyección'!$G$14),0,D412*'Parámetros Proyección'!$G$14/(IF((H412/AI412&gt;'Parámetros Proyección'!$G$11),0,'Parámetros Proyección'!$G$11)+IF((N412/AI412&gt;'Parámetros Proyección'!$G$12),0,'Parámetros Proyección'!$G$12)+IF((T412/AI412&gt;'Parámetros Proyección'!$G$13),0,'Parámetros Proyección'!$G$13)+IF((Z412/AI412&gt;'Parámetros Proyección'!$G$14),0,'Parámetros Proyección'!$G$14)+IF((AF412/AI412&gt;'Parámetros Proyección'!$G$15),0,'Parámetros Proyección'!$G$15)))</f>
        <v/>
      </c>
      <c r="AB412" s="35">
        <f>Z412+AA412</f>
        <v/>
      </c>
      <c r="AC412" s="35">
        <f>AH411</f>
        <v/>
      </c>
      <c r="AD412" s="35">
        <f>AC412*(1+'Parámetros Proyección'!$E$15)</f>
        <v/>
      </c>
      <c r="AE412" s="35">
        <f>AD412*'Parámetros Proyección'!$F$15</f>
        <v/>
      </c>
      <c r="AF412" s="35">
        <f>AD412+AE412</f>
        <v/>
      </c>
      <c r="AG412" s="35">
        <f>IF((AF412/AI412&gt;'Parámetros Proyección'!$G$15),0,D412*'Parámetros Proyección'!$G$15/(IF((H412/AI412&gt;'Parámetros Proyección'!$G$11),0,'Parámetros Proyección'!$G$11)+IF((N412/AI412&gt;'Parámetros Proyección'!$G$12),0,'Parámetros Proyección'!$G$12)+IF((T412/AI412&gt;'Parámetros Proyección'!$G$13),0,'Parámetros Proyección'!$G$13)+IF((Z412/AI412&gt;'Parámetros Proyección'!$G$14),0,'Parámetros Proyección'!$G$14)+IF((AF412/AI412&gt;'Parámetros Proyección'!$G$15),0,'Parámetros Proyección'!$G$15)))</f>
        <v/>
      </c>
      <c r="AH412" s="35">
        <f>AF412+AG412</f>
        <v/>
      </c>
      <c r="AI412" s="35">
        <f>H412+N412+T412+Z412+AF412</f>
        <v/>
      </c>
      <c r="AJ412" s="33">
        <f>AF412/AI412</f>
        <v/>
      </c>
      <c r="AK412">
        <f>IF(AJ412&gt;'Parámetros Proyección'!$B$5,1,0)</f>
        <v/>
      </c>
      <c r="AL412" s="35">
        <f>G412+M412+S412+Y412+AE412</f>
        <v/>
      </c>
      <c r="AM412" s="35">
        <f>AM411+D412</f>
        <v/>
      </c>
      <c r="AN412" s="35">
        <f>AN411+AL412</f>
        <v/>
      </c>
      <c r="AO412" s="35">
        <f>J412+P412+V412+AB412+AH412</f>
        <v/>
      </c>
    </row>
    <row r="413">
      <c r="A413" t="n">
        <v>410</v>
      </c>
      <c r="B413" s="34">
        <f>EDATE(B412,1)</f>
        <v/>
      </c>
      <c r="C413">
        <f>YEAR(B413)</f>
        <v/>
      </c>
      <c r="D413" s="35">
        <f>'Parámetros Proyección'!$B$3*(1+'Parámetros Proyección'!$B$4)^(C413-YEAR('Parámetros Proyección'!$B$6))</f>
        <v/>
      </c>
      <c r="E413" s="35">
        <f>J412</f>
        <v/>
      </c>
      <c r="F413" s="35">
        <f>E413*(1+'Parámetros Proyección'!$E$11)</f>
        <v/>
      </c>
      <c r="G413" s="35">
        <f>F413*'Parámetros Proyección'!$F$11</f>
        <v/>
      </c>
      <c r="H413" s="35">
        <f>F413+G413</f>
        <v/>
      </c>
      <c r="I413" s="35">
        <f>IF((H413/AI413&gt;'Parámetros Proyección'!$G$11),0,D413*'Parámetros Proyección'!$G$11/(IF((H413/AI413&gt;'Parámetros Proyección'!$G$11),0,'Parámetros Proyección'!$G$11)+IF((N413/AI413&gt;'Parámetros Proyección'!$G$12),0,'Parámetros Proyección'!$G$12)+IF((T413/AI413&gt;'Parámetros Proyección'!$G$13),0,'Parámetros Proyección'!$G$13)+IF((Z413/AI413&gt;'Parámetros Proyección'!$G$14),0,'Parámetros Proyección'!$G$14)+IF((AF413/AI413&gt;'Parámetros Proyección'!$G$15),0,'Parámetros Proyección'!$G$15)))</f>
        <v/>
      </c>
      <c r="J413" s="35">
        <f>H413+I413</f>
        <v/>
      </c>
      <c r="K413" s="35">
        <f>P412</f>
        <v/>
      </c>
      <c r="L413" s="35">
        <f>K413*(1+'Parámetros Proyección'!$E$12)</f>
        <v/>
      </c>
      <c r="M413" s="35">
        <f>L413*'Parámetros Proyección'!$F$12</f>
        <v/>
      </c>
      <c r="N413" s="35">
        <f>L413+M413</f>
        <v/>
      </c>
      <c r="O413" s="35">
        <f>IF((N413/AI413&gt;'Parámetros Proyección'!$G$12),0,D413*'Parámetros Proyección'!$G$12/(IF((H413/AI413&gt;'Parámetros Proyección'!$G$11),0,'Parámetros Proyección'!$G$11)+IF((N413/AI413&gt;'Parámetros Proyección'!$G$12),0,'Parámetros Proyección'!$G$12)+IF((T413/AI413&gt;'Parámetros Proyección'!$G$13),0,'Parámetros Proyección'!$G$13)+IF((Z413/AI413&gt;'Parámetros Proyección'!$G$14),0,'Parámetros Proyección'!$G$14)+IF((AF413/AI413&gt;'Parámetros Proyección'!$G$15),0,'Parámetros Proyección'!$G$15)))</f>
        <v/>
      </c>
      <c r="P413" s="35">
        <f>N413+O413</f>
        <v/>
      </c>
      <c r="Q413" s="35">
        <f>V412</f>
        <v/>
      </c>
      <c r="R413" s="35">
        <f>Q413*(1+'Parámetros Proyección'!$E$13)</f>
        <v/>
      </c>
      <c r="S413" s="35">
        <f>R413*'Parámetros Proyección'!$F$13</f>
        <v/>
      </c>
      <c r="T413" s="35">
        <f>R413+S413</f>
        <v/>
      </c>
      <c r="U413" s="35">
        <f>IF((T413/AI413&gt;'Parámetros Proyección'!$G$13),0,D413*'Parámetros Proyección'!$G$13/(IF((H413/AI413&gt;'Parámetros Proyección'!$G$11),0,'Parámetros Proyección'!$G$11)+IF((N413/AI413&gt;'Parámetros Proyección'!$G$12),0,'Parámetros Proyección'!$G$12)+IF((T413/AI413&gt;'Parámetros Proyección'!$G$13),0,'Parámetros Proyección'!$G$13)+IF((Z413/AI413&gt;'Parámetros Proyección'!$G$14),0,'Parámetros Proyección'!$G$14)+IF((AF413/AI413&gt;'Parámetros Proyección'!$G$15),0,'Parámetros Proyección'!$G$15)))</f>
        <v/>
      </c>
      <c r="V413" s="35">
        <f>T413+U413</f>
        <v/>
      </c>
      <c r="W413" s="35">
        <f>AB412</f>
        <v/>
      </c>
      <c r="X413" s="35">
        <f>W413*(1+'Parámetros Proyección'!$E$14)</f>
        <v/>
      </c>
      <c r="Y413" s="35">
        <f>X413*'Parámetros Proyección'!$F$14</f>
        <v/>
      </c>
      <c r="Z413" s="35">
        <f>X413+Y413</f>
        <v/>
      </c>
      <c r="AA413" s="35">
        <f>IF((Z413/AI413&gt;'Parámetros Proyección'!$G$14),0,D413*'Parámetros Proyección'!$G$14/(IF((H413/AI413&gt;'Parámetros Proyección'!$G$11),0,'Parámetros Proyección'!$G$11)+IF((N413/AI413&gt;'Parámetros Proyección'!$G$12),0,'Parámetros Proyección'!$G$12)+IF((T413/AI413&gt;'Parámetros Proyección'!$G$13),0,'Parámetros Proyección'!$G$13)+IF((Z413/AI413&gt;'Parámetros Proyección'!$G$14),0,'Parámetros Proyección'!$G$14)+IF((AF413/AI413&gt;'Parámetros Proyección'!$G$15),0,'Parámetros Proyección'!$G$15)))</f>
        <v/>
      </c>
      <c r="AB413" s="35">
        <f>Z413+AA413</f>
        <v/>
      </c>
      <c r="AC413" s="35">
        <f>AH412</f>
        <v/>
      </c>
      <c r="AD413" s="35">
        <f>AC413*(1+'Parámetros Proyección'!$E$15)</f>
        <v/>
      </c>
      <c r="AE413" s="35">
        <f>AD413*'Parámetros Proyección'!$F$15</f>
        <v/>
      </c>
      <c r="AF413" s="35">
        <f>AD413+AE413</f>
        <v/>
      </c>
      <c r="AG413" s="35">
        <f>IF((AF413/AI413&gt;'Parámetros Proyección'!$G$15),0,D413*'Parámetros Proyección'!$G$15/(IF((H413/AI413&gt;'Parámetros Proyección'!$G$11),0,'Parámetros Proyección'!$G$11)+IF((N413/AI413&gt;'Parámetros Proyección'!$G$12),0,'Parámetros Proyección'!$G$12)+IF((T413/AI413&gt;'Parámetros Proyección'!$G$13),0,'Parámetros Proyección'!$G$13)+IF((Z413/AI413&gt;'Parámetros Proyección'!$G$14),0,'Parámetros Proyección'!$G$14)+IF((AF413/AI413&gt;'Parámetros Proyección'!$G$15),0,'Parámetros Proyección'!$G$15)))</f>
        <v/>
      </c>
      <c r="AH413" s="35">
        <f>AF413+AG413</f>
        <v/>
      </c>
      <c r="AI413" s="35">
        <f>H413+N413+T413+Z413+AF413</f>
        <v/>
      </c>
      <c r="AJ413" s="33">
        <f>AF413/AI413</f>
        <v/>
      </c>
      <c r="AK413">
        <f>IF(AJ413&gt;'Parámetros Proyección'!$B$5,1,0)</f>
        <v/>
      </c>
      <c r="AL413" s="35">
        <f>G413+M413+S413+Y413+AE413</f>
        <v/>
      </c>
      <c r="AM413" s="35">
        <f>AM412+D413</f>
        <v/>
      </c>
      <c r="AN413" s="35">
        <f>AN412+AL413</f>
        <v/>
      </c>
      <c r="AO413" s="35">
        <f>J413+P413+V413+AB413+AH413</f>
        <v/>
      </c>
    </row>
    <row r="414">
      <c r="A414" t="n">
        <v>411</v>
      </c>
      <c r="B414" s="34">
        <f>EDATE(B413,1)</f>
        <v/>
      </c>
      <c r="C414">
        <f>YEAR(B414)</f>
        <v/>
      </c>
      <c r="D414" s="35">
        <f>'Parámetros Proyección'!$B$3*(1+'Parámetros Proyección'!$B$4)^(C414-YEAR('Parámetros Proyección'!$B$6))</f>
        <v/>
      </c>
      <c r="E414" s="35">
        <f>J413</f>
        <v/>
      </c>
      <c r="F414" s="35">
        <f>E414*(1+'Parámetros Proyección'!$E$11)</f>
        <v/>
      </c>
      <c r="G414" s="35">
        <f>F414*'Parámetros Proyección'!$F$11</f>
        <v/>
      </c>
      <c r="H414" s="35">
        <f>F414+G414</f>
        <v/>
      </c>
      <c r="I414" s="35">
        <f>IF((H414/AI414&gt;'Parámetros Proyección'!$G$11),0,D414*'Parámetros Proyección'!$G$11/(IF((H414/AI414&gt;'Parámetros Proyección'!$G$11),0,'Parámetros Proyección'!$G$11)+IF((N414/AI414&gt;'Parámetros Proyección'!$G$12),0,'Parámetros Proyección'!$G$12)+IF((T414/AI414&gt;'Parámetros Proyección'!$G$13),0,'Parámetros Proyección'!$G$13)+IF((Z414/AI414&gt;'Parámetros Proyección'!$G$14),0,'Parámetros Proyección'!$G$14)+IF((AF414/AI414&gt;'Parámetros Proyección'!$G$15),0,'Parámetros Proyección'!$G$15)))</f>
        <v/>
      </c>
      <c r="J414" s="35">
        <f>H414+I414</f>
        <v/>
      </c>
      <c r="K414" s="35">
        <f>P413</f>
        <v/>
      </c>
      <c r="L414" s="35">
        <f>K414*(1+'Parámetros Proyección'!$E$12)</f>
        <v/>
      </c>
      <c r="M414" s="35">
        <f>L414*'Parámetros Proyección'!$F$12</f>
        <v/>
      </c>
      <c r="N414" s="35">
        <f>L414+M414</f>
        <v/>
      </c>
      <c r="O414" s="35">
        <f>IF((N414/AI414&gt;'Parámetros Proyección'!$G$12),0,D414*'Parámetros Proyección'!$G$12/(IF((H414/AI414&gt;'Parámetros Proyección'!$G$11),0,'Parámetros Proyección'!$G$11)+IF((N414/AI414&gt;'Parámetros Proyección'!$G$12),0,'Parámetros Proyección'!$G$12)+IF((T414/AI414&gt;'Parámetros Proyección'!$G$13),0,'Parámetros Proyección'!$G$13)+IF((Z414/AI414&gt;'Parámetros Proyección'!$G$14),0,'Parámetros Proyección'!$G$14)+IF((AF414/AI414&gt;'Parámetros Proyección'!$G$15),0,'Parámetros Proyección'!$G$15)))</f>
        <v/>
      </c>
      <c r="P414" s="35">
        <f>N414+O414</f>
        <v/>
      </c>
      <c r="Q414" s="35">
        <f>V413</f>
        <v/>
      </c>
      <c r="R414" s="35">
        <f>Q414*(1+'Parámetros Proyección'!$E$13)</f>
        <v/>
      </c>
      <c r="S414" s="35">
        <f>R414*'Parámetros Proyección'!$F$13</f>
        <v/>
      </c>
      <c r="T414" s="35">
        <f>R414+S414</f>
        <v/>
      </c>
      <c r="U414" s="35">
        <f>IF((T414/AI414&gt;'Parámetros Proyección'!$G$13),0,D414*'Parámetros Proyección'!$G$13/(IF((H414/AI414&gt;'Parámetros Proyección'!$G$11),0,'Parámetros Proyección'!$G$11)+IF((N414/AI414&gt;'Parámetros Proyección'!$G$12),0,'Parámetros Proyección'!$G$12)+IF((T414/AI414&gt;'Parámetros Proyección'!$G$13),0,'Parámetros Proyección'!$G$13)+IF((Z414/AI414&gt;'Parámetros Proyección'!$G$14),0,'Parámetros Proyección'!$G$14)+IF((AF414/AI414&gt;'Parámetros Proyección'!$G$15),0,'Parámetros Proyección'!$G$15)))</f>
        <v/>
      </c>
      <c r="V414" s="35">
        <f>T414+U414</f>
        <v/>
      </c>
      <c r="W414" s="35">
        <f>AB413</f>
        <v/>
      </c>
      <c r="X414" s="35">
        <f>W414*(1+'Parámetros Proyección'!$E$14)</f>
        <v/>
      </c>
      <c r="Y414" s="35">
        <f>X414*'Parámetros Proyección'!$F$14</f>
        <v/>
      </c>
      <c r="Z414" s="35">
        <f>X414+Y414</f>
        <v/>
      </c>
      <c r="AA414" s="35">
        <f>IF((Z414/AI414&gt;'Parámetros Proyección'!$G$14),0,D414*'Parámetros Proyección'!$G$14/(IF((H414/AI414&gt;'Parámetros Proyección'!$G$11),0,'Parámetros Proyección'!$G$11)+IF((N414/AI414&gt;'Parámetros Proyección'!$G$12),0,'Parámetros Proyección'!$G$12)+IF((T414/AI414&gt;'Parámetros Proyección'!$G$13),0,'Parámetros Proyección'!$G$13)+IF((Z414/AI414&gt;'Parámetros Proyección'!$G$14),0,'Parámetros Proyección'!$G$14)+IF((AF414/AI414&gt;'Parámetros Proyección'!$G$15),0,'Parámetros Proyección'!$G$15)))</f>
        <v/>
      </c>
      <c r="AB414" s="35">
        <f>Z414+AA414</f>
        <v/>
      </c>
      <c r="AC414" s="35">
        <f>AH413</f>
        <v/>
      </c>
      <c r="AD414" s="35">
        <f>AC414*(1+'Parámetros Proyección'!$E$15)</f>
        <v/>
      </c>
      <c r="AE414" s="35">
        <f>AD414*'Parámetros Proyección'!$F$15</f>
        <v/>
      </c>
      <c r="AF414" s="35">
        <f>AD414+AE414</f>
        <v/>
      </c>
      <c r="AG414" s="35">
        <f>IF((AF414/AI414&gt;'Parámetros Proyección'!$G$15),0,D414*'Parámetros Proyección'!$G$15/(IF((H414/AI414&gt;'Parámetros Proyección'!$G$11),0,'Parámetros Proyección'!$G$11)+IF((N414/AI414&gt;'Parámetros Proyección'!$G$12),0,'Parámetros Proyección'!$G$12)+IF((T414/AI414&gt;'Parámetros Proyección'!$G$13),0,'Parámetros Proyección'!$G$13)+IF((Z414/AI414&gt;'Parámetros Proyección'!$G$14),0,'Parámetros Proyección'!$G$14)+IF((AF414/AI414&gt;'Parámetros Proyección'!$G$15),0,'Parámetros Proyección'!$G$15)))</f>
        <v/>
      </c>
      <c r="AH414" s="35">
        <f>AF414+AG414</f>
        <v/>
      </c>
      <c r="AI414" s="35">
        <f>H414+N414+T414+Z414+AF414</f>
        <v/>
      </c>
      <c r="AJ414" s="33">
        <f>AF414/AI414</f>
        <v/>
      </c>
      <c r="AK414">
        <f>IF(AJ414&gt;'Parámetros Proyección'!$B$5,1,0)</f>
        <v/>
      </c>
      <c r="AL414" s="35">
        <f>G414+M414+S414+Y414+AE414</f>
        <v/>
      </c>
      <c r="AM414" s="35">
        <f>AM413+D414</f>
        <v/>
      </c>
      <c r="AN414" s="35">
        <f>AN413+AL414</f>
        <v/>
      </c>
      <c r="AO414" s="35">
        <f>J414+P414+V414+AB414+AH414</f>
        <v/>
      </c>
    </row>
    <row r="415">
      <c r="A415" t="n">
        <v>412</v>
      </c>
      <c r="B415" s="34">
        <f>EDATE(B414,1)</f>
        <v/>
      </c>
      <c r="C415">
        <f>YEAR(B415)</f>
        <v/>
      </c>
      <c r="D415" s="35">
        <f>'Parámetros Proyección'!$B$3*(1+'Parámetros Proyección'!$B$4)^(C415-YEAR('Parámetros Proyección'!$B$6))</f>
        <v/>
      </c>
      <c r="E415" s="35">
        <f>J414</f>
        <v/>
      </c>
      <c r="F415" s="35">
        <f>E415*(1+'Parámetros Proyección'!$E$11)</f>
        <v/>
      </c>
      <c r="G415" s="35">
        <f>F415*'Parámetros Proyección'!$F$11</f>
        <v/>
      </c>
      <c r="H415" s="35">
        <f>F415+G415</f>
        <v/>
      </c>
      <c r="I415" s="35">
        <f>IF((H415/AI415&gt;'Parámetros Proyección'!$G$11),0,D415*'Parámetros Proyección'!$G$11/(IF((H415/AI415&gt;'Parámetros Proyección'!$G$11),0,'Parámetros Proyección'!$G$11)+IF((N415/AI415&gt;'Parámetros Proyección'!$G$12),0,'Parámetros Proyección'!$G$12)+IF((T415/AI415&gt;'Parámetros Proyección'!$G$13),0,'Parámetros Proyección'!$G$13)+IF((Z415/AI415&gt;'Parámetros Proyección'!$G$14),0,'Parámetros Proyección'!$G$14)+IF((AF415/AI415&gt;'Parámetros Proyección'!$G$15),0,'Parámetros Proyección'!$G$15)))</f>
        <v/>
      </c>
      <c r="J415" s="35">
        <f>H415+I415</f>
        <v/>
      </c>
      <c r="K415" s="35">
        <f>P414</f>
        <v/>
      </c>
      <c r="L415" s="35">
        <f>K415*(1+'Parámetros Proyección'!$E$12)</f>
        <v/>
      </c>
      <c r="M415" s="35">
        <f>L415*'Parámetros Proyección'!$F$12</f>
        <v/>
      </c>
      <c r="N415" s="35">
        <f>L415+M415</f>
        <v/>
      </c>
      <c r="O415" s="35">
        <f>IF((N415/AI415&gt;'Parámetros Proyección'!$G$12),0,D415*'Parámetros Proyección'!$G$12/(IF((H415/AI415&gt;'Parámetros Proyección'!$G$11),0,'Parámetros Proyección'!$G$11)+IF((N415/AI415&gt;'Parámetros Proyección'!$G$12),0,'Parámetros Proyección'!$G$12)+IF((T415/AI415&gt;'Parámetros Proyección'!$G$13),0,'Parámetros Proyección'!$G$13)+IF((Z415/AI415&gt;'Parámetros Proyección'!$G$14),0,'Parámetros Proyección'!$G$14)+IF((AF415/AI415&gt;'Parámetros Proyección'!$G$15),0,'Parámetros Proyección'!$G$15)))</f>
        <v/>
      </c>
      <c r="P415" s="35">
        <f>N415+O415</f>
        <v/>
      </c>
      <c r="Q415" s="35">
        <f>V414</f>
        <v/>
      </c>
      <c r="R415" s="35">
        <f>Q415*(1+'Parámetros Proyección'!$E$13)</f>
        <v/>
      </c>
      <c r="S415" s="35">
        <f>R415*'Parámetros Proyección'!$F$13</f>
        <v/>
      </c>
      <c r="T415" s="35">
        <f>R415+S415</f>
        <v/>
      </c>
      <c r="U415" s="35">
        <f>IF((T415/AI415&gt;'Parámetros Proyección'!$G$13),0,D415*'Parámetros Proyección'!$G$13/(IF((H415/AI415&gt;'Parámetros Proyección'!$G$11),0,'Parámetros Proyección'!$G$11)+IF((N415/AI415&gt;'Parámetros Proyección'!$G$12),0,'Parámetros Proyección'!$G$12)+IF((T415/AI415&gt;'Parámetros Proyección'!$G$13),0,'Parámetros Proyección'!$G$13)+IF((Z415/AI415&gt;'Parámetros Proyección'!$G$14),0,'Parámetros Proyección'!$G$14)+IF((AF415/AI415&gt;'Parámetros Proyección'!$G$15),0,'Parámetros Proyección'!$G$15)))</f>
        <v/>
      </c>
      <c r="V415" s="35">
        <f>T415+U415</f>
        <v/>
      </c>
      <c r="W415" s="35">
        <f>AB414</f>
        <v/>
      </c>
      <c r="X415" s="35">
        <f>W415*(1+'Parámetros Proyección'!$E$14)</f>
        <v/>
      </c>
      <c r="Y415" s="35">
        <f>X415*'Parámetros Proyección'!$F$14</f>
        <v/>
      </c>
      <c r="Z415" s="35">
        <f>X415+Y415</f>
        <v/>
      </c>
      <c r="AA415" s="35">
        <f>IF((Z415/AI415&gt;'Parámetros Proyección'!$G$14),0,D415*'Parámetros Proyección'!$G$14/(IF((H415/AI415&gt;'Parámetros Proyección'!$G$11),0,'Parámetros Proyección'!$G$11)+IF((N415/AI415&gt;'Parámetros Proyección'!$G$12),0,'Parámetros Proyección'!$G$12)+IF((T415/AI415&gt;'Parámetros Proyección'!$G$13),0,'Parámetros Proyección'!$G$13)+IF((Z415/AI415&gt;'Parámetros Proyección'!$G$14),0,'Parámetros Proyección'!$G$14)+IF((AF415/AI415&gt;'Parámetros Proyección'!$G$15),0,'Parámetros Proyección'!$G$15)))</f>
        <v/>
      </c>
      <c r="AB415" s="35">
        <f>Z415+AA415</f>
        <v/>
      </c>
      <c r="AC415" s="35">
        <f>AH414</f>
        <v/>
      </c>
      <c r="AD415" s="35">
        <f>AC415*(1+'Parámetros Proyección'!$E$15)</f>
        <v/>
      </c>
      <c r="AE415" s="35">
        <f>AD415*'Parámetros Proyección'!$F$15</f>
        <v/>
      </c>
      <c r="AF415" s="35">
        <f>AD415+AE415</f>
        <v/>
      </c>
      <c r="AG415" s="35">
        <f>IF((AF415/AI415&gt;'Parámetros Proyección'!$G$15),0,D415*'Parámetros Proyección'!$G$15/(IF((H415/AI415&gt;'Parámetros Proyección'!$G$11),0,'Parámetros Proyección'!$G$11)+IF((N415/AI415&gt;'Parámetros Proyección'!$G$12),0,'Parámetros Proyección'!$G$12)+IF((T415/AI415&gt;'Parámetros Proyección'!$G$13),0,'Parámetros Proyección'!$G$13)+IF((Z415/AI415&gt;'Parámetros Proyección'!$G$14),0,'Parámetros Proyección'!$G$14)+IF((AF415/AI415&gt;'Parámetros Proyección'!$G$15),0,'Parámetros Proyección'!$G$15)))</f>
        <v/>
      </c>
      <c r="AH415" s="35">
        <f>AF415+AG415</f>
        <v/>
      </c>
      <c r="AI415" s="35">
        <f>H415+N415+T415+Z415+AF415</f>
        <v/>
      </c>
      <c r="AJ415" s="33">
        <f>AF415/AI415</f>
        <v/>
      </c>
      <c r="AK415">
        <f>IF(AJ415&gt;'Parámetros Proyección'!$B$5,1,0)</f>
        <v/>
      </c>
      <c r="AL415" s="35">
        <f>G415+M415+S415+Y415+AE415</f>
        <v/>
      </c>
      <c r="AM415" s="35">
        <f>AM414+D415</f>
        <v/>
      </c>
      <c r="AN415" s="35">
        <f>AN414+AL415</f>
        <v/>
      </c>
      <c r="AO415" s="35">
        <f>J415+P415+V415+AB415+AH415</f>
        <v/>
      </c>
    </row>
    <row r="416">
      <c r="A416" t="n">
        <v>413</v>
      </c>
      <c r="B416" s="34">
        <f>EDATE(B415,1)</f>
        <v/>
      </c>
      <c r="C416">
        <f>YEAR(B416)</f>
        <v/>
      </c>
      <c r="D416" s="35">
        <f>'Parámetros Proyección'!$B$3*(1+'Parámetros Proyección'!$B$4)^(C416-YEAR('Parámetros Proyección'!$B$6))</f>
        <v/>
      </c>
      <c r="E416" s="35">
        <f>J415</f>
        <v/>
      </c>
      <c r="F416" s="35">
        <f>E416*(1+'Parámetros Proyección'!$E$11)</f>
        <v/>
      </c>
      <c r="G416" s="35">
        <f>F416*'Parámetros Proyección'!$F$11</f>
        <v/>
      </c>
      <c r="H416" s="35">
        <f>F416+G416</f>
        <v/>
      </c>
      <c r="I416" s="35">
        <f>IF((H416/AI416&gt;'Parámetros Proyección'!$G$11),0,D416*'Parámetros Proyección'!$G$11/(IF((H416/AI416&gt;'Parámetros Proyección'!$G$11),0,'Parámetros Proyección'!$G$11)+IF((N416/AI416&gt;'Parámetros Proyección'!$G$12),0,'Parámetros Proyección'!$G$12)+IF((T416/AI416&gt;'Parámetros Proyección'!$G$13),0,'Parámetros Proyección'!$G$13)+IF((Z416/AI416&gt;'Parámetros Proyección'!$G$14),0,'Parámetros Proyección'!$G$14)+IF((AF416/AI416&gt;'Parámetros Proyección'!$G$15),0,'Parámetros Proyección'!$G$15)))</f>
        <v/>
      </c>
      <c r="J416" s="35">
        <f>H416+I416</f>
        <v/>
      </c>
      <c r="K416" s="35">
        <f>P415</f>
        <v/>
      </c>
      <c r="L416" s="35">
        <f>K416*(1+'Parámetros Proyección'!$E$12)</f>
        <v/>
      </c>
      <c r="M416" s="35">
        <f>L416*'Parámetros Proyección'!$F$12</f>
        <v/>
      </c>
      <c r="N416" s="35">
        <f>L416+M416</f>
        <v/>
      </c>
      <c r="O416" s="35">
        <f>IF((N416/AI416&gt;'Parámetros Proyección'!$G$12),0,D416*'Parámetros Proyección'!$G$12/(IF((H416/AI416&gt;'Parámetros Proyección'!$G$11),0,'Parámetros Proyección'!$G$11)+IF((N416/AI416&gt;'Parámetros Proyección'!$G$12),0,'Parámetros Proyección'!$G$12)+IF((T416/AI416&gt;'Parámetros Proyección'!$G$13),0,'Parámetros Proyección'!$G$13)+IF((Z416/AI416&gt;'Parámetros Proyección'!$G$14),0,'Parámetros Proyección'!$G$14)+IF((AF416/AI416&gt;'Parámetros Proyección'!$G$15),0,'Parámetros Proyección'!$G$15)))</f>
        <v/>
      </c>
      <c r="P416" s="35">
        <f>N416+O416</f>
        <v/>
      </c>
      <c r="Q416" s="35">
        <f>V415</f>
        <v/>
      </c>
      <c r="R416" s="35">
        <f>Q416*(1+'Parámetros Proyección'!$E$13)</f>
        <v/>
      </c>
      <c r="S416" s="35">
        <f>R416*'Parámetros Proyección'!$F$13</f>
        <v/>
      </c>
      <c r="T416" s="35">
        <f>R416+S416</f>
        <v/>
      </c>
      <c r="U416" s="35">
        <f>IF((T416/AI416&gt;'Parámetros Proyección'!$G$13),0,D416*'Parámetros Proyección'!$G$13/(IF((H416/AI416&gt;'Parámetros Proyección'!$G$11),0,'Parámetros Proyección'!$G$11)+IF((N416/AI416&gt;'Parámetros Proyección'!$G$12),0,'Parámetros Proyección'!$G$12)+IF((T416/AI416&gt;'Parámetros Proyección'!$G$13),0,'Parámetros Proyección'!$G$13)+IF((Z416/AI416&gt;'Parámetros Proyección'!$G$14),0,'Parámetros Proyección'!$G$14)+IF((AF416/AI416&gt;'Parámetros Proyección'!$G$15),0,'Parámetros Proyección'!$G$15)))</f>
        <v/>
      </c>
      <c r="V416" s="35">
        <f>T416+U416</f>
        <v/>
      </c>
      <c r="W416" s="35">
        <f>AB415</f>
        <v/>
      </c>
      <c r="X416" s="35">
        <f>W416*(1+'Parámetros Proyección'!$E$14)</f>
        <v/>
      </c>
      <c r="Y416" s="35">
        <f>X416*'Parámetros Proyección'!$F$14</f>
        <v/>
      </c>
      <c r="Z416" s="35">
        <f>X416+Y416</f>
        <v/>
      </c>
      <c r="AA416" s="35">
        <f>IF((Z416/AI416&gt;'Parámetros Proyección'!$G$14),0,D416*'Parámetros Proyección'!$G$14/(IF((H416/AI416&gt;'Parámetros Proyección'!$G$11),0,'Parámetros Proyección'!$G$11)+IF((N416/AI416&gt;'Parámetros Proyección'!$G$12),0,'Parámetros Proyección'!$G$12)+IF((T416/AI416&gt;'Parámetros Proyección'!$G$13),0,'Parámetros Proyección'!$G$13)+IF((Z416/AI416&gt;'Parámetros Proyección'!$G$14),0,'Parámetros Proyección'!$G$14)+IF((AF416/AI416&gt;'Parámetros Proyección'!$G$15),0,'Parámetros Proyección'!$G$15)))</f>
        <v/>
      </c>
      <c r="AB416" s="35">
        <f>Z416+AA416</f>
        <v/>
      </c>
      <c r="AC416" s="35">
        <f>AH415</f>
        <v/>
      </c>
      <c r="AD416" s="35">
        <f>AC416*(1+'Parámetros Proyección'!$E$15)</f>
        <v/>
      </c>
      <c r="AE416" s="35">
        <f>AD416*'Parámetros Proyección'!$F$15</f>
        <v/>
      </c>
      <c r="AF416" s="35">
        <f>AD416+AE416</f>
        <v/>
      </c>
      <c r="AG416" s="35">
        <f>IF((AF416/AI416&gt;'Parámetros Proyección'!$G$15),0,D416*'Parámetros Proyección'!$G$15/(IF((H416/AI416&gt;'Parámetros Proyección'!$G$11),0,'Parámetros Proyección'!$G$11)+IF((N416/AI416&gt;'Parámetros Proyección'!$G$12),0,'Parámetros Proyección'!$G$12)+IF((T416/AI416&gt;'Parámetros Proyección'!$G$13),0,'Parámetros Proyección'!$G$13)+IF((Z416/AI416&gt;'Parámetros Proyección'!$G$14),0,'Parámetros Proyección'!$G$14)+IF((AF416/AI416&gt;'Parámetros Proyección'!$G$15),0,'Parámetros Proyección'!$G$15)))</f>
        <v/>
      </c>
      <c r="AH416" s="35">
        <f>AF416+AG416</f>
        <v/>
      </c>
      <c r="AI416" s="35">
        <f>H416+N416+T416+Z416+AF416</f>
        <v/>
      </c>
      <c r="AJ416" s="33">
        <f>AF416/AI416</f>
        <v/>
      </c>
      <c r="AK416">
        <f>IF(AJ416&gt;'Parámetros Proyección'!$B$5,1,0)</f>
        <v/>
      </c>
      <c r="AL416" s="35">
        <f>G416+M416+S416+Y416+AE416</f>
        <v/>
      </c>
      <c r="AM416" s="35">
        <f>AM415+D416</f>
        <v/>
      </c>
      <c r="AN416" s="35">
        <f>AN415+AL416</f>
        <v/>
      </c>
      <c r="AO416" s="35">
        <f>J416+P416+V416+AB416+AH416</f>
        <v/>
      </c>
    </row>
    <row r="417">
      <c r="A417" t="n">
        <v>414</v>
      </c>
      <c r="B417" s="34">
        <f>EDATE(B416,1)</f>
        <v/>
      </c>
      <c r="C417">
        <f>YEAR(B417)</f>
        <v/>
      </c>
      <c r="D417" s="35">
        <f>'Parámetros Proyección'!$B$3*(1+'Parámetros Proyección'!$B$4)^(C417-YEAR('Parámetros Proyección'!$B$6))</f>
        <v/>
      </c>
      <c r="E417" s="35">
        <f>J416</f>
        <v/>
      </c>
      <c r="F417" s="35">
        <f>E417*(1+'Parámetros Proyección'!$E$11)</f>
        <v/>
      </c>
      <c r="G417" s="35">
        <f>F417*'Parámetros Proyección'!$F$11</f>
        <v/>
      </c>
      <c r="H417" s="35">
        <f>F417+G417</f>
        <v/>
      </c>
      <c r="I417" s="35">
        <f>IF((H417/AI417&gt;'Parámetros Proyección'!$G$11),0,D417*'Parámetros Proyección'!$G$11/(IF((H417/AI417&gt;'Parámetros Proyección'!$G$11),0,'Parámetros Proyección'!$G$11)+IF((N417/AI417&gt;'Parámetros Proyección'!$G$12),0,'Parámetros Proyección'!$G$12)+IF((T417/AI417&gt;'Parámetros Proyección'!$G$13),0,'Parámetros Proyección'!$G$13)+IF((Z417/AI417&gt;'Parámetros Proyección'!$G$14),0,'Parámetros Proyección'!$G$14)+IF((AF417/AI417&gt;'Parámetros Proyección'!$G$15),0,'Parámetros Proyección'!$G$15)))</f>
        <v/>
      </c>
      <c r="J417" s="35">
        <f>H417+I417</f>
        <v/>
      </c>
      <c r="K417" s="35">
        <f>P416</f>
        <v/>
      </c>
      <c r="L417" s="35">
        <f>K417*(1+'Parámetros Proyección'!$E$12)</f>
        <v/>
      </c>
      <c r="M417" s="35">
        <f>L417*'Parámetros Proyección'!$F$12</f>
        <v/>
      </c>
      <c r="N417" s="35">
        <f>L417+M417</f>
        <v/>
      </c>
      <c r="O417" s="35">
        <f>IF((N417/AI417&gt;'Parámetros Proyección'!$G$12),0,D417*'Parámetros Proyección'!$G$12/(IF((H417/AI417&gt;'Parámetros Proyección'!$G$11),0,'Parámetros Proyección'!$G$11)+IF((N417/AI417&gt;'Parámetros Proyección'!$G$12),0,'Parámetros Proyección'!$G$12)+IF((T417/AI417&gt;'Parámetros Proyección'!$G$13),0,'Parámetros Proyección'!$G$13)+IF((Z417/AI417&gt;'Parámetros Proyección'!$G$14),0,'Parámetros Proyección'!$G$14)+IF((AF417/AI417&gt;'Parámetros Proyección'!$G$15),0,'Parámetros Proyección'!$G$15)))</f>
        <v/>
      </c>
      <c r="P417" s="35">
        <f>N417+O417</f>
        <v/>
      </c>
      <c r="Q417" s="35">
        <f>V416</f>
        <v/>
      </c>
      <c r="R417" s="35">
        <f>Q417*(1+'Parámetros Proyección'!$E$13)</f>
        <v/>
      </c>
      <c r="S417" s="35">
        <f>R417*'Parámetros Proyección'!$F$13</f>
        <v/>
      </c>
      <c r="T417" s="35">
        <f>R417+S417</f>
        <v/>
      </c>
      <c r="U417" s="35">
        <f>IF((T417/AI417&gt;'Parámetros Proyección'!$G$13),0,D417*'Parámetros Proyección'!$G$13/(IF((H417/AI417&gt;'Parámetros Proyección'!$G$11),0,'Parámetros Proyección'!$G$11)+IF((N417/AI417&gt;'Parámetros Proyección'!$G$12),0,'Parámetros Proyección'!$G$12)+IF((T417/AI417&gt;'Parámetros Proyección'!$G$13),0,'Parámetros Proyección'!$G$13)+IF((Z417/AI417&gt;'Parámetros Proyección'!$G$14),0,'Parámetros Proyección'!$G$14)+IF((AF417/AI417&gt;'Parámetros Proyección'!$G$15),0,'Parámetros Proyección'!$G$15)))</f>
        <v/>
      </c>
      <c r="V417" s="35">
        <f>T417+U417</f>
        <v/>
      </c>
      <c r="W417" s="35">
        <f>AB416</f>
        <v/>
      </c>
      <c r="X417" s="35">
        <f>W417*(1+'Parámetros Proyección'!$E$14)</f>
        <v/>
      </c>
      <c r="Y417" s="35">
        <f>X417*'Parámetros Proyección'!$F$14</f>
        <v/>
      </c>
      <c r="Z417" s="35">
        <f>X417+Y417</f>
        <v/>
      </c>
      <c r="AA417" s="35">
        <f>IF((Z417/AI417&gt;'Parámetros Proyección'!$G$14),0,D417*'Parámetros Proyección'!$G$14/(IF((H417/AI417&gt;'Parámetros Proyección'!$G$11),0,'Parámetros Proyección'!$G$11)+IF((N417/AI417&gt;'Parámetros Proyección'!$G$12),0,'Parámetros Proyección'!$G$12)+IF((T417/AI417&gt;'Parámetros Proyección'!$G$13),0,'Parámetros Proyección'!$G$13)+IF((Z417/AI417&gt;'Parámetros Proyección'!$G$14),0,'Parámetros Proyección'!$G$14)+IF((AF417/AI417&gt;'Parámetros Proyección'!$G$15),0,'Parámetros Proyección'!$G$15)))</f>
        <v/>
      </c>
      <c r="AB417" s="35">
        <f>Z417+AA417</f>
        <v/>
      </c>
      <c r="AC417" s="35">
        <f>AH416</f>
        <v/>
      </c>
      <c r="AD417" s="35">
        <f>AC417*(1+'Parámetros Proyección'!$E$15)</f>
        <v/>
      </c>
      <c r="AE417" s="35">
        <f>AD417*'Parámetros Proyección'!$F$15</f>
        <v/>
      </c>
      <c r="AF417" s="35">
        <f>AD417+AE417</f>
        <v/>
      </c>
      <c r="AG417" s="35">
        <f>IF((AF417/AI417&gt;'Parámetros Proyección'!$G$15),0,D417*'Parámetros Proyección'!$G$15/(IF((H417/AI417&gt;'Parámetros Proyección'!$G$11),0,'Parámetros Proyección'!$G$11)+IF((N417/AI417&gt;'Parámetros Proyección'!$G$12),0,'Parámetros Proyección'!$G$12)+IF((T417/AI417&gt;'Parámetros Proyección'!$G$13),0,'Parámetros Proyección'!$G$13)+IF((Z417/AI417&gt;'Parámetros Proyección'!$G$14),0,'Parámetros Proyección'!$G$14)+IF((AF417/AI417&gt;'Parámetros Proyección'!$G$15),0,'Parámetros Proyección'!$G$15)))</f>
        <v/>
      </c>
      <c r="AH417" s="35">
        <f>AF417+AG417</f>
        <v/>
      </c>
      <c r="AI417" s="35">
        <f>H417+N417+T417+Z417+AF417</f>
        <v/>
      </c>
      <c r="AJ417" s="33">
        <f>AF417/AI417</f>
        <v/>
      </c>
      <c r="AK417">
        <f>IF(AJ417&gt;'Parámetros Proyección'!$B$5,1,0)</f>
        <v/>
      </c>
      <c r="AL417" s="35">
        <f>G417+M417+S417+Y417+AE417</f>
        <v/>
      </c>
      <c r="AM417" s="35">
        <f>AM416+D417</f>
        <v/>
      </c>
      <c r="AN417" s="35">
        <f>AN416+AL417</f>
        <v/>
      </c>
      <c r="AO417" s="35">
        <f>J417+P417+V417+AB417+AH417</f>
        <v/>
      </c>
    </row>
    <row r="418">
      <c r="A418" t="n">
        <v>415</v>
      </c>
      <c r="B418" s="34">
        <f>EDATE(B417,1)</f>
        <v/>
      </c>
      <c r="C418">
        <f>YEAR(B418)</f>
        <v/>
      </c>
      <c r="D418" s="35">
        <f>'Parámetros Proyección'!$B$3*(1+'Parámetros Proyección'!$B$4)^(C418-YEAR('Parámetros Proyección'!$B$6))</f>
        <v/>
      </c>
      <c r="E418" s="35">
        <f>J417</f>
        <v/>
      </c>
      <c r="F418" s="35">
        <f>E418*(1+'Parámetros Proyección'!$E$11)</f>
        <v/>
      </c>
      <c r="G418" s="35">
        <f>F418*'Parámetros Proyección'!$F$11</f>
        <v/>
      </c>
      <c r="H418" s="35">
        <f>F418+G418</f>
        <v/>
      </c>
      <c r="I418" s="35">
        <f>IF((H418/AI418&gt;'Parámetros Proyección'!$G$11),0,D418*'Parámetros Proyección'!$G$11/(IF((H418/AI418&gt;'Parámetros Proyección'!$G$11),0,'Parámetros Proyección'!$G$11)+IF((N418/AI418&gt;'Parámetros Proyección'!$G$12),0,'Parámetros Proyección'!$G$12)+IF((T418/AI418&gt;'Parámetros Proyección'!$G$13),0,'Parámetros Proyección'!$G$13)+IF((Z418/AI418&gt;'Parámetros Proyección'!$G$14),0,'Parámetros Proyección'!$G$14)+IF((AF418/AI418&gt;'Parámetros Proyección'!$G$15),0,'Parámetros Proyección'!$G$15)))</f>
        <v/>
      </c>
      <c r="J418" s="35">
        <f>H418+I418</f>
        <v/>
      </c>
      <c r="K418" s="35">
        <f>P417</f>
        <v/>
      </c>
      <c r="L418" s="35">
        <f>K418*(1+'Parámetros Proyección'!$E$12)</f>
        <v/>
      </c>
      <c r="M418" s="35">
        <f>L418*'Parámetros Proyección'!$F$12</f>
        <v/>
      </c>
      <c r="N418" s="35">
        <f>L418+M418</f>
        <v/>
      </c>
      <c r="O418" s="35">
        <f>IF((N418/AI418&gt;'Parámetros Proyección'!$G$12),0,D418*'Parámetros Proyección'!$G$12/(IF((H418/AI418&gt;'Parámetros Proyección'!$G$11),0,'Parámetros Proyección'!$G$11)+IF((N418/AI418&gt;'Parámetros Proyección'!$G$12),0,'Parámetros Proyección'!$G$12)+IF((T418/AI418&gt;'Parámetros Proyección'!$G$13),0,'Parámetros Proyección'!$G$13)+IF((Z418/AI418&gt;'Parámetros Proyección'!$G$14),0,'Parámetros Proyección'!$G$14)+IF((AF418/AI418&gt;'Parámetros Proyección'!$G$15),0,'Parámetros Proyección'!$G$15)))</f>
        <v/>
      </c>
      <c r="P418" s="35">
        <f>N418+O418</f>
        <v/>
      </c>
      <c r="Q418" s="35">
        <f>V417</f>
        <v/>
      </c>
      <c r="R418" s="35">
        <f>Q418*(1+'Parámetros Proyección'!$E$13)</f>
        <v/>
      </c>
      <c r="S418" s="35">
        <f>R418*'Parámetros Proyección'!$F$13</f>
        <v/>
      </c>
      <c r="T418" s="35">
        <f>R418+S418</f>
        <v/>
      </c>
      <c r="U418" s="35">
        <f>IF((T418/AI418&gt;'Parámetros Proyección'!$G$13),0,D418*'Parámetros Proyección'!$G$13/(IF((H418/AI418&gt;'Parámetros Proyección'!$G$11),0,'Parámetros Proyección'!$G$11)+IF((N418/AI418&gt;'Parámetros Proyección'!$G$12),0,'Parámetros Proyección'!$G$12)+IF((T418/AI418&gt;'Parámetros Proyección'!$G$13),0,'Parámetros Proyección'!$G$13)+IF((Z418/AI418&gt;'Parámetros Proyección'!$G$14),0,'Parámetros Proyección'!$G$14)+IF((AF418/AI418&gt;'Parámetros Proyección'!$G$15),0,'Parámetros Proyección'!$G$15)))</f>
        <v/>
      </c>
      <c r="V418" s="35">
        <f>T418+U418</f>
        <v/>
      </c>
      <c r="W418" s="35">
        <f>AB417</f>
        <v/>
      </c>
      <c r="X418" s="35">
        <f>W418*(1+'Parámetros Proyección'!$E$14)</f>
        <v/>
      </c>
      <c r="Y418" s="35">
        <f>X418*'Parámetros Proyección'!$F$14</f>
        <v/>
      </c>
      <c r="Z418" s="35">
        <f>X418+Y418</f>
        <v/>
      </c>
      <c r="AA418" s="35">
        <f>IF((Z418/AI418&gt;'Parámetros Proyección'!$G$14),0,D418*'Parámetros Proyección'!$G$14/(IF((H418/AI418&gt;'Parámetros Proyección'!$G$11),0,'Parámetros Proyección'!$G$11)+IF((N418/AI418&gt;'Parámetros Proyección'!$G$12),0,'Parámetros Proyección'!$G$12)+IF((T418/AI418&gt;'Parámetros Proyección'!$G$13),0,'Parámetros Proyección'!$G$13)+IF((Z418/AI418&gt;'Parámetros Proyección'!$G$14),0,'Parámetros Proyección'!$G$14)+IF((AF418/AI418&gt;'Parámetros Proyección'!$G$15),0,'Parámetros Proyección'!$G$15)))</f>
        <v/>
      </c>
      <c r="AB418" s="35">
        <f>Z418+AA418</f>
        <v/>
      </c>
      <c r="AC418" s="35">
        <f>AH417</f>
        <v/>
      </c>
      <c r="AD418" s="35">
        <f>AC418*(1+'Parámetros Proyección'!$E$15)</f>
        <v/>
      </c>
      <c r="AE418" s="35">
        <f>AD418*'Parámetros Proyección'!$F$15</f>
        <v/>
      </c>
      <c r="AF418" s="35">
        <f>AD418+AE418</f>
        <v/>
      </c>
      <c r="AG418" s="35">
        <f>IF((AF418/AI418&gt;'Parámetros Proyección'!$G$15),0,D418*'Parámetros Proyección'!$G$15/(IF((H418/AI418&gt;'Parámetros Proyección'!$G$11),0,'Parámetros Proyección'!$G$11)+IF((N418/AI418&gt;'Parámetros Proyección'!$G$12),0,'Parámetros Proyección'!$G$12)+IF((T418/AI418&gt;'Parámetros Proyección'!$G$13),0,'Parámetros Proyección'!$G$13)+IF((Z418/AI418&gt;'Parámetros Proyección'!$G$14),0,'Parámetros Proyección'!$G$14)+IF((AF418/AI418&gt;'Parámetros Proyección'!$G$15),0,'Parámetros Proyección'!$G$15)))</f>
        <v/>
      </c>
      <c r="AH418" s="35">
        <f>AF418+AG418</f>
        <v/>
      </c>
      <c r="AI418" s="35">
        <f>H418+N418+T418+Z418+AF418</f>
        <v/>
      </c>
      <c r="AJ418" s="33">
        <f>AF418/AI418</f>
        <v/>
      </c>
      <c r="AK418">
        <f>IF(AJ418&gt;'Parámetros Proyección'!$B$5,1,0)</f>
        <v/>
      </c>
      <c r="AL418" s="35">
        <f>G418+M418+S418+Y418+AE418</f>
        <v/>
      </c>
      <c r="AM418" s="35">
        <f>AM417+D418</f>
        <v/>
      </c>
      <c r="AN418" s="35">
        <f>AN417+AL418</f>
        <v/>
      </c>
      <c r="AO418" s="35">
        <f>J418+P418+V418+AB418+AH418</f>
        <v/>
      </c>
    </row>
    <row r="419">
      <c r="A419" t="n">
        <v>416</v>
      </c>
      <c r="B419" s="34">
        <f>EDATE(B418,1)</f>
        <v/>
      </c>
      <c r="C419">
        <f>YEAR(B419)</f>
        <v/>
      </c>
      <c r="D419" s="35">
        <f>'Parámetros Proyección'!$B$3*(1+'Parámetros Proyección'!$B$4)^(C419-YEAR('Parámetros Proyección'!$B$6))</f>
        <v/>
      </c>
      <c r="E419" s="35">
        <f>J418</f>
        <v/>
      </c>
      <c r="F419" s="35">
        <f>E419*(1+'Parámetros Proyección'!$E$11)</f>
        <v/>
      </c>
      <c r="G419" s="35">
        <f>F419*'Parámetros Proyección'!$F$11</f>
        <v/>
      </c>
      <c r="H419" s="35">
        <f>F419+G419</f>
        <v/>
      </c>
      <c r="I419" s="35">
        <f>IF((H419/AI419&gt;'Parámetros Proyección'!$G$11),0,D419*'Parámetros Proyección'!$G$11/(IF((H419/AI419&gt;'Parámetros Proyección'!$G$11),0,'Parámetros Proyección'!$G$11)+IF((N419/AI419&gt;'Parámetros Proyección'!$G$12),0,'Parámetros Proyección'!$G$12)+IF((T419/AI419&gt;'Parámetros Proyección'!$G$13),0,'Parámetros Proyección'!$G$13)+IF((Z419/AI419&gt;'Parámetros Proyección'!$G$14),0,'Parámetros Proyección'!$G$14)+IF((AF419/AI419&gt;'Parámetros Proyección'!$G$15),0,'Parámetros Proyección'!$G$15)))</f>
        <v/>
      </c>
      <c r="J419" s="35">
        <f>H419+I419</f>
        <v/>
      </c>
      <c r="K419" s="35">
        <f>P418</f>
        <v/>
      </c>
      <c r="L419" s="35">
        <f>K419*(1+'Parámetros Proyección'!$E$12)</f>
        <v/>
      </c>
      <c r="M419" s="35">
        <f>L419*'Parámetros Proyección'!$F$12</f>
        <v/>
      </c>
      <c r="N419" s="35">
        <f>L419+M419</f>
        <v/>
      </c>
      <c r="O419" s="35">
        <f>IF((N419/AI419&gt;'Parámetros Proyección'!$G$12),0,D419*'Parámetros Proyección'!$G$12/(IF((H419/AI419&gt;'Parámetros Proyección'!$G$11),0,'Parámetros Proyección'!$G$11)+IF((N419/AI419&gt;'Parámetros Proyección'!$G$12),0,'Parámetros Proyección'!$G$12)+IF((T419/AI419&gt;'Parámetros Proyección'!$G$13),0,'Parámetros Proyección'!$G$13)+IF((Z419/AI419&gt;'Parámetros Proyección'!$G$14),0,'Parámetros Proyección'!$G$14)+IF((AF419/AI419&gt;'Parámetros Proyección'!$G$15),0,'Parámetros Proyección'!$G$15)))</f>
        <v/>
      </c>
      <c r="P419" s="35">
        <f>N419+O419</f>
        <v/>
      </c>
      <c r="Q419" s="35">
        <f>V418</f>
        <v/>
      </c>
      <c r="R419" s="35">
        <f>Q419*(1+'Parámetros Proyección'!$E$13)</f>
        <v/>
      </c>
      <c r="S419" s="35">
        <f>R419*'Parámetros Proyección'!$F$13</f>
        <v/>
      </c>
      <c r="T419" s="35">
        <f>R419+S419</f>
        <v/>
      </c>
      <c r="U419" s="35">
        <f>IF((T419/AI419&gt;'Parámetros Proyección'!$G$13),0,D419*'Parámetros Proyección'!$G$13/(IF((H419/AI419&gt;'Parámetros Proyección'!$G$11),0,'Parámetros Proyección'!$G$11)+IF((N419/AI419&gt;'Parámetros Proyección'!$G$12),0,'Parámetros Proyección'!$G$12)+IF((T419/AI419&gt;'Parámetros Proyección'!$G$13),0,'Parámetros Proyección'!$G$13)+IF((Z419/AI419&gt;'Parámetros Proyección'!$G$14),0,'Parámetros Proyección'!$G$14)+IF((AF419/AI419&gt;'Parámetros Proyección'!$G$15),0,'Parámetros Proyección'!$G$15)))</f>
        <v/>
      </c>
      <c r="V419" s="35">
        <f>T419+U419</f>
        <v/>
      </c>
      <c r="W419" s="35">
        <f>AB418</f>
        <v/>
      </c>
      <c r="X419" s="35">
        <f>W419*(1+'Parámetros Proyección'!$E$14)</f>
        <v/>
      </c>
      <c r="Y419" s="35">
        <f>X419*'Parámetros Proyección'!$F$14</f>
        <v/>
      </c>
      <c r="Z419" s="35">
        <f>X419+Y419</f>
        <v/>
      </c>
      <c r="AA419" s="35">
        <f>IF((Z419/AI419&gt;'Parámetros Proyección'!$G$14),0,D419*'Parámetros Proyección'!$G$14/(IF((H419/AI419&gt;'Parámetros Proyección'!$G$11),0,'Parámetros Proyección'!$G$11)+IF((N419/AI419&gt;'Parámetros Proyección'!$G$12),0,'Parámetros Proyección'!$G$12)+IF((T419/AI419&gt;'Parámetros Proyección'!$G$13),0,'Parámetros Proyección'!$G$13)+IF((Z419/AI419&gt;'Parámetros Proyección'!$G$14),0,'Parámetros Proyección'!$G$14)+IF((AF419/AI419&gt;'Parámetros Proyección'!$G$15),0,'Parámetros Proyección'!$G$15)))</f>
        <v/>
      </c>
      <c r="AB419" s="35">
        <f>Z419+AA419</f>
        <v/>
      </c>
      <c r="AC419" s="35">
        <f>AH418</f>
        <v/>
      </c>
      <c r="AD419" s="35">
        <f>AC419*(1+'Parámetros Proyección'!$E$15)</f>
        <v/>
      </c>
      <c r="AE419" s="35">
        <f>AD419*'Parámetros Proyección'!$F$15</f>
        <v/>
      </c>
      <c r="AF419" s="35">
        <f>AD419+AE419</f>
        <v/>
      </c>
      <c r="AG419" s="35">
        <f>IF((AF419/AI419&gt;'Parámetros Proyección'!$G$15),0,D419*'Parámetros Proyección'!$G$15/(IF((H419/AI419&gt;'Parámetros Proyección'!$G$11),0,'Parámetros Proyección'!$G$11)+IF((N419/AI419&gt;'Parámetros Proyección'!$G$12),0,'Parámetros Proyección'!$G$12)+IF((T419/AI419&gt;'Parámetros Proyección'!$G$13),0,'Parámetros Proyección'!$G$13)+IF((Z419/AI419&gt;'Parámetros Proyección'!$G$14),0,'Parámetros Proyección'!$G$14)+IF((AF419/AI419&gt;'Parámetros Proyección'!$G$15),0,'Parámetros Proyección'!$G$15)))</f>
        <v/>
      </c>
      <c r="AH419" s="35">
        <f>AF419+AG419</f>
        <v/>
      </c>
      <c r="AI419" s="35">
        <f>H419+N419+T419+Z419+AF419</f>
        <v/>
      </c>
      <c r="AJ419" s="33">
        <f>AF419/AI419</f>
        <v/>
      </c>
      <c r="AK419">
        <f>IF(AJ419&gt;'Parámetros Proyección'!$B$5,1,0)</f>
        <v/>
      </c>
      <c r="AL419" s="35">
        <f>G419+M419+S419+Y419+AE419</f>
        <v/>
      </c>
      <c r="AM419" s="35">
        <f>AM418+D419</f>
        <v/>
      </c>
      <c r="AN419" s="35">
        <f>AN418+AL419</f>
        <v/>
      </c>
      <c r="AO419" s="35">
        <f>J419+P419+V419+AB419+AH419</f>
        <v/>
      </c>
    </row>
    <row r="420">
      <c r="A420" t="n">
        <v>417</v>
      </c>
      <c r="B420" s="34">
        <f>EDATE(B419,1)</f>
        <v/>
      </c>
      <c r="C420">
        <f>YEAR(B420)</f>
        <v/>
      </c>
      <c r="D420" s="35">
        <f>'Parámetros Proyección'!$B$3*(1+'Parámetros Proyección'!$B$4)^(C420-YEAR('Parámetros Proyección'!$B$6))</f>
        <v/>
      </c>
      <c r="E420" s="35">
        <f>J419</f>
        <v/>
      </c>
      <c r="F420" s="35">
        <f>E420*(1+'Parámetros Proyección'!$E$11)</f>
        <v/>
      </c>
      <c r="G420" s="35">
        <f>F420*'Parámetros Proyección'!$F$11</f>
        <v/>
      </c>
      <c r="H420" s="35">
        <f>F420+G420</f>
        <v/>
      </c>
      <c r="I420" s="35">
        <f>IF((H420/AI420&gt;'Parámetros Proyección'!$G$11),0,D420*'Parámetros Proyección'!$G$11/(IF((H420/AI420&gt;'Parámetros Proyección'!$G$11),0,'Parámetros Proyección'!$G$11)+IF((N420/AI420&gt;'Parámetros Proyección'!$G$12),0,'Parámetros Proyección'!$G$12)+IF((T420/AI420&gt;'Parámetros Proyección'!$G$13),0,'Parámetros Proyección'!$G$13)+IF((Z420/AI420&gt;'Parámetros Proyección'!$G$14),0,'Parámetros Proyección'!$G$14)+IF((AF420/AI420&gt;'Parámetros Proyección'!$G$15),0,'Parámetros Proyección'!$G$15)))</f>
        <v/>
      </c>
      <c r="J420" s="35">
        <f>H420+I420</f>
        <v/>
      </c>
      <c r="K420" s="35">
        <f>P419</f>
        <v/>
      </c>
      <c r="L420" s="35">
        <f>K420*(1+'Parámetros Proyección'!$E$12)</f>
        <v/>
      </c>
      <c r="M420" s="35">
        <f>L420*'Parámetros Proyección'!$F$12</f>
        <v/>
      </c>
      <c r="N420" s="35">
        <f>L420+M420</f>
        <v/>
      </c>
      <c r="O420" s="35">
        <f>IF((N420/AI420&gt;'Parámetros Proyección'!$G$12),0,D420*'Parámetros Proyección'!$G$12/(IF((H420/AI420&gt;'Parámetros Proyección'!$G$11),0,'Parámetros Proyección'!$G$11)+IF((N420/AI420&gt;'Parámetros Proyección'!$G$12),0,'Parámetros Proyección'!$G$12)+IF((T420/AI420&gt;'Parámetros Proyección'!$G$13),0,'Parámetros Proyección'!$G$13)+IF((Z420/AI420&gt;'Parámetros Proyección'!$G$14),0,'Parámetros Proyección'!$G$14)+IF((AF420/AI420&gt;'Parámetros Proyección'!$G$15),0,'Parámetros Proyección'!$G$15)))</f>
        <v/>
      </c>
      <c r="P420" s="35">
        <f>N420+O420</f>
        <v/>
      </c>
      <c r="Q420" s="35">
        <f>V419</f>
        <v/>
      </c>
      <c r="R420" s="35">
        <f>Q420*(1+'Parámetros Proyección'!$E$13)</f>
        <v/>
      </c>
      <c r="S420" s="35">
        <f>R420*'Parámetros Proyección'!$F$13</f>
        <v/>
      </c>
      <c r="T420" s="35">
        <f>R420+S420</f>
        <v/>
      </c>
      <c r="U420" s="35">
        <f>IF((T420/AI420&gt;'Parámetros Proyección'!$G$13),0,D420*'Parámetros Proyección'!$G$13/(IF((H420/AI420&gt;'Parámetros Proyección'!$G$11),0,'Parámetros Proyección'!$G$11)+IF((N420/AI420&gt;'Parámetros Proyección'!$G$12),0,'Parámetros Proyección'!$G$12)+IF((T420/AI420&gt;'Parámetros Proyección'!$G$13),0,'Parámetros Proyección'!$G$13)+IF((Z420/AI420&gt;'Parámetros Proyección'!$G$14),0,'Parámetros Proyección'!$G$14)+IF((AF420/AI420&gt;'Parámetros Proyección'!$G$15),0,'Parámetros Proyección'!$G$15)))</f>
        <v/>
      </c>
      <c r="V420" s="35">
        <f>T420+U420</f>
        <v/>
      </c>
      <c r="W420" s="35">
        <f>AB419</f>
        <v/>
      </c>
      <c r="X420" s="35">
        <f>W420*(1+'Parámetros Proyección'!$E$14)</f>
        <v/>
      </c>
      <c r="Y420" s="35">
        <f>X420*'Parámetros Proyección'!$F$14</f>
        <v/>
      </c>
      <c r="Z420" s="35">
        <f>X420+Y420</f>
        <v/>
      </c>
      <c r="AA420" s="35">
        <f>IF((Z420/AI420&gt;'Parámetros Proyección'!$G$14),0,D420*'Parámetros Proyección'!$G$14/(IF((H420/AI420&gt;'Parámetros Proyección'!$G$11),0,'Parámetros Proyección'!$G$11)+IF((N420/AI420&gt;'Parámetros Proyección'!$G$12),0,'Parámetros Proyección'!$G$12)+IF((T420/AI420&gt;'Parámetros Proyección'!$G$13),0,'Parámetros Proyección'!$G$13)+IF((Z420/AI420&gt;'Parámetros Proyección'!$G$14),0,'Parámetros Proyección'!$G$14)+IF((AF420/AI420&gt;'Parámetros Proyección'!$G$15),0,'Parámetros Proyección'!$G$15)))</f>
        <v/>
      </c>
      <c r="AB420" s="35">
        <f>Z420+AA420</f>
        <v/>
      </c>
      <c r="AC420" s="35">
        <f>AH419</f>
        <v/>
      </c>
      <c r="AD420" s="35">
        <f>AC420*(1+'Parámetros Proyección'!$E$15)</f>
        <v/>
      </c>
      <c r="AE420" s="35">
        <f>AD420*'Parámetros Proyección'!$F$15</f>
        <v/>
      </c>
      <c r="AF420" s="35">
        <f>AD420+AE420</f>
        <v/>
      </c>
      <c r="AG420" s="35">
        <f>IF((AF420/AI420&gt;'Parámetros Proyección'!$G$15),0,D420*'Parámetros Proyección'!$G$15/(IF((H420/AI420&gt;'Parámetros Proyección'!$G$11),0,'Parámetros Proyección'!$G$11)+IF((N420/AI420&gt;'Parámetros Proyección'!$G$12),0,'Parámetros Proyección'!$G$12)+IF((T420/AI420&gt;'Parámetros Proyección'!$G$13),0,'Parámetros Proyección'!$G$13)+IF((Z420/AI420&gt;'Parámetros Proyección'!$G$14),0,'Parámetros Proyección'!$G$14)+IF((AF420/AI420&gt;'Parámetros Proyección'!$G$15),0,'Parámetros Proyección'!$G$15)))</f>
        <v/>
      </c>
      <c r="AH420" s="35">
        <f>AF420+AG420</f>
        <v/>
      </c>
      <c r="AI420" s="35">
        <f>H420+N420+T420+Z420+AF420</f>
        <v/>
      </c>
      <c r="AJ420" s="33">
        <f>AF420/AI420</f>
        <v/>
      </c>
      <c r="AK420">
        <f>IF(AJ420&gt;'Parámetros Proyección'!$B$5,1,0)</f>
        <v/>
      </c>
      <c r="AL420" s="35">
        <f>G420+M420+S420+Y420+AE420</f>
        <v/>
      </c>
      <c r="AM420" s="35">
        <f>AM419+D420</f>
        <v/>
      </c>
      <c r="AN420" s="35">
        <f>AN419+AL420</f>
        <v/>
      </c>
      <c r="AO420" s="35">
        <f>J420+P420+V420+AB420+AH420</f>
        <v/>
      </c>
    </row>
    <row r="421">
      <c r="A421" t="n">
        <v>418</v>
      </c>
      <c r="B421" s="34">
        <f>EDATE(B420,1)</f>
        <v/>
      </c>
      <c r="C421">
        <f>YEAR(B421)</f>
        <v/>
      </c>
      <c r="D421" s="35">
        <f>'Parámetros Proyección'!$B$3*(1+'Parámetros Proyección'!$B$4)^(C421-YEAR('Parámetros Proyección'!$B$6))</f>
        <v/>
      </c>
      <c r="E421" s="35">
        <f>J420</f>
        <v/>
      </c>
      <c r="F421" s="35">
        <f>E421*(1+'Parámetros Proyección'!$E$11)</f>
        <v/>
      </c>
      <c r="G421" s="35">
        <f>F421*'Parámetros Proyección'!$F$11</f>
        <v/>
      </c>
      <c r="H421" s="35">
        <f>F421+G421</f>
        <v/>
      </c>
      <c r="I421" s="35">
        <f>IF((H421/AI421&gt;'Parámetros Proyección'!$G$11),0,D421*'Parámetros Proyección'!$G$11/(IF((H421/AI421&gt;'Parámetros Proyección'!$G$11),0,'Parámetros Proyección'!$G$11)+IF((N421/AI421&gt;'Parámetros Proyección'!$G$12),0,'Parámetros Proyección'!$G$12)+IF((T421/AI421&gt;'Parámetros Proyección'!$G$13),0,'Parámetros Proyección'!$G$13)+IF((Z421/AI421&gt;'Parámetros Proyección'!$G$14),0,'Parámetros Proyección'!$G$14)+IF((AF421/AI421&gt;'Parámetros Proyección'!$G$15),0,'Parámetros Proyección'!$G$15)))</f>
        <v/>
      </c>
      <c r="J421" s="35">
        <f>H421+I421</f>
        <v/>
      </c>
      <c r="K421" s="35">
        <f>P420</f>
        <v/>
      </c>
      <c r="L421" s="35">
        <f>K421*(1+'Parámetros Proyección'!$E$12)</f>
        <v/>
      </c>
      <c r="M421" s="35">
        <f>L421*'Parámetros Proyección'!$F$12</f>
        <v/>
      </c>
      <c r="N421" s="35">
        <f>L421+M421</f>
        <v/>
      </c>
      <c r="O421" s="35">
        <f>IF((N421/AI421&gt;'Parámetros Proyección'!$G$12),0,D421*'Parámetros Proyección'!$G$12/(IF((H421/AI421&gt;'Parámetros Proyección'!$G$11),0,'Parámetros Proyección'!$G$11)+IF((N421/AI421&gt;'Parámetros Proyección'!$G$12),0,'Parámetros Proyección'!$G$12)+IF((T421/AI421&gt;'Parámetros Proyección'!$G$13),0,'Parámetros Proyección'!$G$13)+IF((Z421/AI421&gt;'Parámetros Proyección'!$G$14),0,'Parámetros Proyección'!$G$14)+IF((AF421/AI421&gt;'Parámetros Proyección'!$G$15),0,'Parámetros Proyección'!$G$15)))</f>
        <v/>
      </c>
      <c r="P421" s="35">
        <f>N421+O421</f>
        <v/>
      </c>
      <c r="Q421" s="35">
        <f>V420</f>
        <v/>
      </c>
      <c r="R421" s="35">
        <f>Q421*(1+'Parámetros Proyección'!$E$13)</f>
        <v/>
      </c>
      <c r="S421" s="35">
        <f>R421*'Parámetros Proyección'!$F$13</f>
        <v/>
      </c>
      <c r="T421" s="35">
        <f>R421+S421</f>
        <v/>
      </c>
      <c r="U421" s="35">
        <f>IF((T421/AI421&gt;'Parámetros Proyección'!$G$13),0,D421*'Parámetros Proyección'!$G$13/(IF((H421/AI421&gt;'Parámetros Proyección'!$G$11),0,'Parámetros Proyección'!$G$11)+IF((N421/AI421&gt;'Parámetros Proyección'!$G$12),0,'Parámetros Proyección'!$G$12)+IF((T421/AI421&gt;'Parámetros Proyección'!$G$13),0,'Parámetros Proyección'!$G$13)+IF((Z421/AI421&gt;'Parámetros Proyección'!$G$14),0,'Parámetros Proyección'!$G$14)+IF((AF421/AI421&gt;'Parámetros Proyección'!$G$15),0,'Parámetros Proyección'!$G$15)))</f>
        <v/>
      </c>
      <c r="V421" s="35">
        <f>T421+U421</f>
        <v/>
      </c>
      <c r="W421" s="35">
        <f>AB420</f>
        <v/>
      </c>
      <c r="X421" s="35">
        <f>W421*(1+'Parámetros Proyección'!$E$14)</f>
        <v/>
      </c>
      <c r="Y421" s="35">
        <f>X421*'Parámetros Proyección'!$F$14</f>
        <v/>
      </c>
      <c r="Z421" s="35">
        <f>X421+Y421</f>
        <v/>
      </c>
      <c r="AA421" s="35">
        <f>IF((Z421/AI421&gt;'Parámetros Proyección'!$G$14),0,D421*'Parámetros Proyección'!$G$14/(IF((H421/AI421&gt;'Parámetros Proyección'!$G$11),0,'Parámetros Proyección'!$G$11)+IF((N421/AI421&gt;'Parámetros Proyección'!$G$12),0,'Parámetros Proyección'!$G$12)+IF((T421/AI421&gt;'Parámetros Proyección'!$G$13),0,'Parámetros Proyección'!$G$13)+IF((Z421/AI421&gt;'Parámetros Proyección'!$G$14),0,'Parámetros Proyección'!$G$14)+IF((AF421/AI421&gt;'Parámetros Proyección'!$G$15),0,'Parámetros Proyección'!$G$15)))</f>
        <v/>
      </c>
      <c r="AB421" s="35">
        <f>Z421+AA421</f>
        <v/>
      </c>
      <c r="AC421" s="35">
        <f>AH420</f>
        <v/>
      </c>
      <c r="AD421" s="35">
        <f>AC421*(1+'Parámetros Proyección'!$E$15)</f>
        <v/>
      </c>
      <c r="AE421" s="35">
        <f>AD421*'Parámetros Proyección'!$F$15</f>
        <v/>
      </c>
      <c r="AF421" s="35">
        <f>AD421+AE421</f>
        <v/>
      </c>
      <c r="AG421" s="35">
        <f>IF((AF421/AI421&gt;'Parámetros Proyección'!$G$15),0,D421*'Parámetros Proyección'!$G$15/(IF((H421/AI421&gt;'Parámetros Proyección'!$G$11),0,'Parámetros Proyección'!$G$11)+IF((N421/AI421&gt;'Parámetros Proyección'!$G$12),0,'Parámetros Proyección'!$G$12)+IF((T421/AI421&gt;'Parámetros Proyección'!$G$13),0,'Parámetros Proyección'!$G$13)+IF((Z421/AI421&gt;'Parámetros Proyección'!$G$14),0,'Parámetros Proyección'!$G$14)+IF((AF421/AI421&gt;'Parámetros Proyección'!$G$15),0,'Parámetros Proyección'!$G$15)))</f>
        <v/>
      </c>
      <c r="AH421" s="35">
        <f>AF421+AG421</f>
        <v/>
      </c>
      <c r="AI421" s="35">
        <f>H421+N421+T421+Z421+AF421</f>
        <v/>
      </c>
      <c r="AJ421" s="33">
        <f>AF421/AI421</f>
        <v/>
      </c>
      <c r="AK421">
        <f>IF(AJ421&gt;'Parámetros Proyección'!$B$5,1,0)</f>
        <v/>
      </c>
      <c r="AL421" s="35">
        <f>G421+M421+S421+Y421+AE421</f>
        <v/>
      </c>
      <c r="AM421" s="35">
        <f>AM420+D421</f>
        <v/>
      </c>
      <c r="AN421" s="35">
        <f>AN420+AL421</f>
        <v/>
      </c>
      <c r="AO421" s="35">
        <f>J421+P421+V421+AB421+AH421</f>
        <v/>
      </c>
    </row>
    <row r="422">
      <c r="A422" t="n">
        <v>419</v>
      </c>
      <c r="B422" s="34">
        <f>EDATE(B421,1)</f>
        <v/>
      </c>
      <c r="C422">
        <f>YEAR(B422)</f>
        <v/>
      </c>
      <c r="D422" s="35">
        <f>'Parámetros Proyección'!$B$3*(1+'Parámetros Proyección'!$B$4)^(C422-YEAR('Parámetros Proyección'!$B$6))</f>
        <v/>
      </c>
      <c r="E422" s="35">
        <f>J421</f>
        <v/>
      </c>
      <c r="F422" s="35">
        <f>E422*(1+'Parámetros Proyección'!$E$11)</f>
        <v/>
      </c>
      <c r="G422" s="35">
        <f>F422*'Parámetros Proyección'!$F$11</f>
        <v/>
      </c>
      <c r="H422" s="35">
        <f>F422+G422</f>
        <v/>
      </c>
      <c r="I422" s="35">
        <f>IF((H422/AI422&gt;'Parámetros Proyección'!$G$11),0,D422*'Parámetros Proyección'!$G$11/(IF((H422/AI422&gt;'Parámetros Proyección'!$G$11),0,'Parámetros Proyección'!$G$11)+IF((N422/AI422&gt;'Parámetros Proyección'!$G$12),0,'Parámetros Proyección'!$G$12)+IF((T422/AI422&gt;'Parámetros Proyección'!$G$13),0,'Parámetros Proyección'!$G$13)+IF((Z422/AI422&gt;'Parámetros Proyección'!$G$14),0,'Parámetros Proyección'!$G$14)+IF((AF422/AI422&gt;'Parámetros Proyección'!$G$15),0,'Parámetros Proyección'!$G$15)))</f>
        <v/>
      </c>
      <c r="J422" s="35">
        <f>H422+I422</f>
        <v/>
      </c>
      <c r="K422" s="35">
        <f>P421</f>
        <v/>
      </c>
      <c r="L422" s="35">
        <f>K422*(1+'Parámetros Proyección'!$E$12)</f>
        <v/>
      </c>
      <c r="M422" s="35">
        <f>L422*'Parámetros Proyección'!$F$12</f>
        <v/>
      </c>
      <c r="N422" s="35">
        <f>L422+M422</f>
        <v/>
      </c>
      <c r="O422" s="35">
        <f>IF((N422/AI422&gt;'Parámetros Proyección'!$G$12),0,D422*'Parámetros Proyección'!$G$12/(IF((H422/AI422&gt;'Parámetros Proyección'!$G$11),0,'Parámetros Proyección'!$G$11)+IF((N422/AI422&gt;'Parámetros Proyección'!$G$12),0,'Parámetros Proyección'!$G$12)+IF((T422/AI422&gt;'Parámetros Proyección'!$G$13),0,'Parámetros Proyección'!$G$13)+IF((Z422/AI422&gt;'Parámetros Proyección'!$G$14),0,'Parámetros Proyección'!$G$14)+IF((AF422/AI422&gt;'Parámetros Proyección'!$G$15),0,'Parámetros Proyección'!$G$15)))</f>
        <v/>
      </c>
      <c r="P422" s="35">
        <f>N422+O422</f>
        <v/>
      </c>
      <c r="Q422" s="35">
        <f>V421</f>
        <v/>
      </c>
      <c r="R422" s="35">
        <f>Q422*(1+'Parámetros Proyección'!$E$13)</f>
        <v/>
      </c>
      <c r="S422" s="35">
        <f>R422*'Parámetros Proyección'!$F$13</f>
        <v/>
      </c>
      <c r="T422" s="35">
        <f>R422+S422</f>
        <v/>
      </c>
      <c r="U422" s="35">
        <f>IF((T422/AI422&gt;'Parámetros Proyección'!$G$13),0,D422*'Parámetros Proyección'!$G$13/(IF((H422/AI422&gt;'Parámetros Proyección'!$G$11),0,'Parámetros Proyección'!$G$11)+IF((N422/AI422&gt;'Parámetros Proyección'!$G$12),0,'Parámetros Proyección'!$G$12)+IF((T422/AI422&gt;'Parámetros Proyección'!$G$13),0,'Parámetros Proyección'!$G$13)+IF((Z422/AI422&gt;'Parámetros Proyección'!$G$14),0,'Parámetros Proyección'!$G$14)+IF((AF422/AI422&gt;'Parámetros Proyección'!$G$15),0,'Parámetros Proyección'!$G$15)))</f>
        <v/>
      </c>
      <c r="V422" s="35">
        <f>T422+U422</f>
        <v/>
      </c>
      <c r="W422" s="35">
        <f>AB421</f>
        <v/>
      </c>
      <c r="X422" s="35">
        <f>W422*(1+'Parámetros Proyección'!$E$14)</f>
        <v/>
      </c>
      <c r="Y422" s="35">
        <f>X422*'Parámetros Proyección'!$F$14</f>
        <v/>
      </c>
      <c r="Z422" s="35">
        <f>X422+Y422</f>
        <v/>
      </c>
      <c r="AA422" s="35">
        <f>IF((Z422/AI422&gt;'Parámetros Proyección'!$G$14),0,D422*'Parámetros Proyección'!$G$14/(IF((H422/AI422&gt;'Parámetros Proyección'!$G$11),0,'Parámetros Proyección'!$G$11)+IF((N422/AI422&gt;'Parámetros Proyección'!$G$12),0,'Parámetros Proyección'!$G$12)+IF((T422/AI422&gt;'Parámetros Proyección'!$G$13),0,'Parámetros Proyección'!$G$13)+IF((Z422/AI422&gt;'Parámetros Proyección'!$G$14),0,'Parámetros Proyección'!$G$14)+IF((AF422/AI422&gt;'Parámetros Proyección'!$G$15),0,'Parámetros Proyección'!$G$15)))</f>
        <v/>
      </c>
      <c r="AB422" s="35">
        <f>Z422+AA422</f>
        <v/>
      </c>
      <c r="AC422" s="35">
        <f>AH421</f>
        <v/>
      </c>
      <c r="AD422" s="35">
        <f>AC422*(1+'Parámetros Proyección'!$E$15)</f>
        <v/>
      </c>
      <c r="AE422" s="35">
        <f>AD422*'Parámetros Proyección'!$F$15</f>
        <v/>
      </c>
      <c r="AF422" s="35">
        <f>AD422+AE422</f>
        <v/>
      </c>
      <c r="AG422" s="35">
        <f>IF((AF422/AI422&gt;'Parámetros Proyección'!$G$15),0,D422*'Parámetros Proyección'!$G$15/(IF((H422/AI422&gt;'Parámetros Proyección'!$G$11),0,'Parámetros Proyección'!$G$11)+IF((N422/AI422&gt;'Parámetros Proyección'!$G$12),0,'Parámetros Proyección'!$G$12)+IF((T422/AI422&gt;'Parámetros Proyección'!$G$13),0,'Parámetros Proyección'!$G$13)+IF((Z422/AI422&gt;'Parámetros Proyección'!$G$14),0,'Parámetros Proyección'!$G$14)+IF((AF422/AI422&gt;'Parámetros Proyección'!$G$15),0,'Parámetros Proyección'!$G$15)))</f>
        <v/>
      </c>
      <c r="AH422" s="35">
        <f>AF422+AG422</f>
        <v/>
      </c>
      <c r="AI422" s="35">
        <f>H422+N422+T422+Z422+AF422</f>
        <v/>
      </c>
      <c r="AJ422" s="33">
        <f>AF422/AI422</f>
        <v/>
      </c>
      <c r="AK422">
        <f>IF(AJ422&gt;'Parámetros Proyección'!$B$5,1,0)</f>
        <v/>
      </c>
      <c r="AL422" s="35">
        <f>G422+M422+S422+Y422+AE422</f>
        <v/>
      </c>
      <c r="AM422" s="35">
        <f>AM421+D422</f>
        <v/>
      </c>
      <c r="AN422" s="35">
        <f>AN421+AL422</f>
        <v/>
      </c>
      <c r="AO422" s="35">
        <f>J422+P422+V422+AB422+AH422</f>
        <v/>
      </c>
    </row>
    <row r="423">
      <c r="A423" t="n">
        <v>420</v>
      </c>
      <c r="B423" s="34">
        <f>EDATE(B422,1)</f>
        <v/>
      </c>
      <c r="C423">
        <f>YEAR(B423)</f>
        <v/>
      </c>
      <c r="D423" s="35">
        <f>'Parámetros Proyección'!$B$3*(1+'Parámetros Proyección'!$B$4)^(C423-YEAR('Parámetros Proyección'!$B$6))</f>
        <v/>
      </c>
      <c r="E423" s="35">
        <f>J422</f>
        <v/>
      </c>
      <c r="F423" s="35">
        <f>E423*(1+'Parámetros Proyección'!$E$11)</f>
        <v/>
      </c>
      <c r="G423" s="35">
        <f>F423*'Parámetros Proyección'!$F$11</f>
        <v/>
      </c>
      <c r="H423" s="35">
        <f>F423+G423</f>
        <v/>
      </c>
      <c r="I423" s="35">
        <f>IF((H423/AI423&gt;'Parámetros Proyección'!$G$11),0,D423*'Parámetros Proyección'!$G$11/(IF((H423/AI423&gt;'Parámetros Proyección'!$G$11),0,'Parámetros Proyección'!$G$11)+IF((N423/AI423&gt;'Parámetros Proyección'!$G$12),0,'Parámetros Proyección'!$G$12)+IF((T423/AI423&gt;'Parámetros Proyección'!$G$13),0,'Parámetros Proyección'!$G$13)+IF((Z423/AI423&gt;'Parámetros Proyección'!$G$14),0,'Parámetros Proyección'!$G$14)+IF((AF423/AI423&gt;'Parámetros Proyección'!$G$15),0,'Parámetros Proyección'!$G$15)))</f>
        <v/>
      </c>
      <c r="J423" s="35">
        <f>H423+I423</f>
        <v/>
      </c>
      <c r="K423" s="35">
        <f>P422</f>
        <v/>
      </c>
      <c r="L423" s="35">
        <f>K423*(1+'Parámetros Proyección'!$E$12)</f>
        <v/>
      </c>
      <c r="M423" s="35">
        <f>L423*'Parámetros Proyección'!$F$12</f>
        <v/>
      </c>
      <c r="N423" s="35">
        <f>L423+M423</f>
        <v/>
      </c>
      <c r="O423" s="35">
        <f>IF((N423/AI423&gt;'Parámetros Proyección'!$G$12),0,D423*'Parámetros Proyección'!$G$12/(IF((H423/AI423&gt;'Parámetros Proyección'!$G$11),0,'Parámetros Proyección'!$G$11)+IF((N423/AI423&gt;'Parámetros Proyección'!$G$12),0,'Parámetros Proyección'!$G$12)+IF((T423/AI423&gt;'Parámetros Proyección'!$G$13),0,'Parámetros Proyección'!$G$13)+IF((Z423/AI423&gt;'Parámetros Proyección'!$G$14),0,'Parámetros Proyección'!$G$14)+IF((AF423/AI423&gt;'Parámetros Proyección'!$G$15),0,'Parámetros Proyección'!$G$15)))</f>
        <v/>
      </c>
      <c r="P423" s="35">
        <f>N423+O423</f>
        <v/>
      </c>
      <c r="Q423" s="35">
        <f>V422</f>
        <v/>
      </c>
      <c r="R423" s="35">
        <f>Q423*(1+'Parámetros Proyección'!$E$13)</f>
        <v/>
      </c>
      <c r="S423" s="35">
        <f>R423*'Parámetros Proyección'!$F$13</f>
        <v/>
      </c>
      <c r="T423" s="35">
        <f>R423+S423</f>
        <v/>
      </c>
      <c r="U423" s="35">
        <f>IF((T423/AI423&gt;'Parámetros Proyección'!$G$13),0,D423*'Parámetros Proyección'!$G$13/(IF((H423/AI423&gt;'Parámetros Proyección'!$G$11),0,'Parámetros Proyección'!$G$11)+IF((N423/AI423&gt;'Parámetros Proyección'!$G$12),0,'Parámetros Proyección'!$G$12)+IF((T423/AI423&gt;'Parámetros Proyección'!$G$13),0,'Parámetros Proyección'!$G$13)+IF((Z423/AI423&gt;'Parámetros Proyección'!$G$14),0,'Parámetros Proyección'!$G$14)+IF((AF423/AI423&gt;'Parámetros Proyección'!$G$15),0,'Parámetros Proyección'!$G$15)))</f>
        <v/>
      </c>
      <c r="V423" s="35">
        <f>T423+U423</f>
        <v/>
      </c>
      <c r="W423" s="35">
        <f>AB422</f>
        <v/>
      </c>
      <c r="X423" s="35">
        <f>W423*(1+'Parámetros Proyección'!$E$14)</f>
        <v/>
      </c>
      <c r="Y423" s="35">
        <f>X423*'Parámetros Proyección'!$F$14</f>
        <v/>
      </c>
      <c r="Z423" s="35">
        <f>X423+Y423</f>
        <v/>
      </c>
      <c r="AA423" s="35">
        <f>IF((Z423/AI423&gt;'Parámetros Proyección'!$G$14),0,D423*'Parámetros Proyección'!$G$14/(IF((H423/AI423&gt;'Parámetros Proyección'!$G$11),0,'Parámetros Proyección'!$G$11)+IF((N423/AI423&gt;'Parámetros Proyección'!$G$12),0,'Parámetros Proyección'!$G$12)+IF((T423/AI423&gt;'Parámetros Proyección'!$G$13),0,'Parámetros Proyección'!$G$13)+IF((Z423/AI423&gt;'Parámetros Proyección'!$G$14),0,'Parámetros Proyección'!$G$14)+IF((AF423/AI423&gt;'Parámetros Proyección'!$G$15),0,'Parámetros Proyección'!$G$15)))</f>
        <v/>
      </c>
      <c r="AB423" s="35">
        <f>Z423+AA423</f>
        <v/>
      </c>
      <c r="AC423" s="35">
        <f>AH422</f>
        <v/>
      </c>
      <c r="AD423" s="35">
        <f>AC423*(1+'Parámetros Proyección'!$E$15)</f>
        <v/>
      </c>
      <c r="AE423" s="35">
        <f>AD423*'Parámetros Proyección'!$F$15</f>
        <v/>
      </c>
      <c r="AF423" s="35">
        <f>AD423+AE423</f>
        <v/>
      </c>
      <c r="AG423" s="35">
        <f>IF((AF423/AI423&gt;'Parámetros Proyección'!$G$15),0,D423*'Parámetros Proyección'!$G$15/(IF((H423/AI423&gt;'Parámetros Proyección'!$G$11),0,'Parámetros Proyección'!$G$11)+IF((N423/AI423&gt;'Parámetros Proyección'!$G$12),0,'Parámetros Proyección'!$G$12)+IF((T423/AI423&gt;'Parámetros Proyección'!$G$13),0,'Parámetros Proyección'!$G$13)+IF((Z423/AI423&gt;'Parámetros Proyección'!$G$14),0,'Parámetros Proyección'!$G$14)+IF((AF423/AI423&gt;'Parámetros Proyección'!$G$15),0,'Parámetros Proyección'!$G$15)))</f>
        <v/>
      </c>
      <c r="AH423" s="35">
        <f>AF423+AG423</f>
        <v/>
      </c>
      <c r="AI423" s="35">
        <f>H423+N423+T423+Z423+AF423</f>
        <v/>
      </c>
      <c r="AJ423" s="33">
        <f>AF423/AI423</f>
        <v/>
      </c>
      <c r="AK423">
        <f>IF(AJ423&gt;'Parámetros Proyección'!$B$5,1,0)</f>
        <v/>
      </c>
      <c r="AL423" s="35">
        <f>G423+M423+S423+Y423+AE423</f>
        <v/>
      </c>
      <c r="AM423" s="35">
        <f>AM422+D423</f>
        <v/>
      </c>
      <c r="AN423" s="35">
        <f>AN422+AL423</f>
        <v/>
      </c>
      <c r="AO423" s="35">
        <f>J423+P423+V423+AB423+AH423</f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6" customWidth="1" min="10" max="10"/>
    <col width="18" customWidth="1" min="11" max="11"/>
    <col width="16" customWidth="1" min="12" max="12"/>
  </cols>
  <sheetData>
    <row r="1">
      <c r="A1" s="1" t="inlineStr">
        <is>
          <t>PROYECCIÓN ANUAL (resumen de la hoja 'Proyección Mensual' a fin de cada año)</t>
        </is>
      </c>
    </row>
    <row r="2">
      <c r="A2" t="inlineStr">
        <is>
          <t>Inflación asumida (para valor real):</t>
        </is>
      </c>
      <c r="C2" s="6" t="n">
        <v>0.04</v>
      </c>
    </row>
    <row r="4">
      <c r="A4" s="7" t="inlineStr">
        <is>
          <t>Año</t>
        </is>
      </c>
      <c r="B4" s="7" t="inlineStr">
        <is>
          <t>Edad</t>
        </is>
      </c>
      <c r="C4" s="7" t="inlineStr">
        <is>
          <t>Total CLP</t>
        </is>
      </c>
      <c r="D4" s="7" t="inlineStr">
        <is>
          <t>%Div</t>
        </is>
      </c>
      <c r="E4" s="7" t="inlineStr">
        <is>
          <t>%USA</t>
        </is>
      </c>
      <c r="F4" s="7" t="inlineStr">
        <is>
          <t>%Emerg</t>
        </is>
      </c>
      <c r="G4" s="7" t="inlineStr">
        <is>
          <t>%Intl</t>
        </is>
      </c>
      <c r="H4" s="7" t="inlineStr">
        <is>
          <t>%Cripto</t>
        </is>
      </c>
      <c r="I4" s="7" t="inlineStr">
        <is>
          <t>Aportes
acumulados</t>
        </is>
      </c>
      <c r="J4" s="7" t="inlineStr">
        <is>
          <t>Dividendos
acum. reinv.</t>
        </is>
      </c>
      <c r="K4" s="7" t="inlineStr">
        <is>
          <t>Ingreso pasivo
anual estimado</t>
        </is>
      </c>
      <c r="L4" s="7" t="inlineStr">
        <is>
          <t>Valor real
(pesos de hoy)</t>
        </is>
      </c>
    </row>
    <row r="5">
      <c r="A5" s="11" t="n">
        <v>2026</v>
      </c>
      <c r="B5" s="11" t="n">
        <v>29</v>
      </c>
      <c r="C5" s="9">
        <f>'Proyección Mensual'!AO9</f>
        <v/>
      </c>
      <c r="D5" s="10">
        <f>'Proyección Mensual'!J9/'Proyección Mensual'!AO9</f>
        <v/>
      </c>
      <c r="E5" s="10">
        <f>'Proyección Mensual'!P9/'Proyección Mensual'!AO9</f>
        <v/>
      </c>
      <c r="F5" s="10">
        <f>'Proyección Mensual'!V9/'Proyección Mensual'!AO9</f>
        <v/>
      </c>
      <c r="G5" s="10">
        <f>'Proyección Mensual'!AB9/'Proyección Mensual'!AO9</f>
        <v/>
      </c>
      <c r="H5" s="10">
        <f>'Proyección Mensual'!AH9/'Proyección Mensual'!AO9</f>
        <v/>
      </c>
      <c r="I5" s="9">
        <f>'Proyección Mensual'!AM9</f>
        <v/>
      </c>
      <c r="J5" s="9">
        <f>'Proyección Mensual'!AN9</f>
        <v/>
      </c>
      <c r="K5" s="9">
        <f>'Proyección Mensual'!J9*'Parámetros Proyección'!$B$11+'Proyección Mensual'!P9*'Parámetros Proyección'!$B$12+'Proyección Mensual'!V9*'Parámetros Proyección'!$B$13+'Proyección Mensual'!AB9*'Parámetros Proyección'!$B$14+'Proyección Mensual'!AH9*'Parámetros Proyección'!$B$15</f>
        <v/>
      </c>
      <c r="L5" s="9">
        <f>C5/(1+$C$2)^(A5-2026)</f>
        <v/>
      </c>
    </row>
    <row r="6">
      <c r="A6" s="11" t="n">
        <v>2027</v>
      </c>
      <c r="B6" s="11" t="n">
        <v>30</v>
      </c>
      <c r="C6" s="9">
        <f>'Proyección Mensual'!AO21</f>
        <v/>
      </c>
      <c r="D6" s="10">
        <f>'Proyección Mensual'!J21/'Proyección Mensual'!AO21</f>
        <v/>
      </c>
      <c r="E6" s="10">
        <f>'Proyección Mensual'!P21/'Proyección Mensual'!AO21</f>
        <v/>
      </c>
      <c r="F6" s="10">
        <f>'Proyección Mensual'!V21/'Proyección Mensual'!AO21</f>
        <v/>
      </c>
      <c r="G6" s="10">
        <f>'Proyección Mensual'!AB21/'Proyección Mensual'!AO21</f>
        <v/>
      </c>
      <c r="H6" s="10">
        <f>'Proyección Mensual'!AH21/'Proyección Mensual'!AO21</f>
        <v/>
      </c>
      <c r="I6" s="9">
        <f>'Proyección Mensual'!AM21</f>
        <v/>
      </c>
      <c r="J6" s="9">
        <f>'Proyección Mensual'!AN21</f>
        <v/>
      </c>
      <c r="K6" s="9">
        <f>'Proyección Mensual'!J21*'Parámetros Proyección'!$B$11+'Proyección Mensual'!P21*'Parámetros Proyección'!$B$12+'Proyección Mensual'!V21*'Parámetros Proyección'!$B$13+'Proyección Mensual'!AB21*'Parámetros Proyección'!$B$14+'Proyección Mensual'!AH21*'Parámetros Proyección'!$B$15</f>
        <v/>
      </c>
      <c r="L6" s="9">
        <f>C6/(1+$C$2)^(A6-2026)</f>
        <v/>
      </c>
    </row>
    <row r="7">
      <c r="A7" s="11" t="n">
        <v>2028</v>
      </c>
      <c r="B7" s="11" t="n">
        <v>31</v>
      </c>
      <c r="C7" s="9">
        <f>'Proyección Mensual'!AO33</f>
        <v/>
      </c>
      <c r="D7" s="10">
        <f>'Proyección Mensual'!J33/'Proyección Mensual'!AO33</f>
        <v/>
      </c>
      <c r="E7" s="10">
        <f>'Proyección Mensual'!P33/'Proyección Mensual'!AO33</f>
        <v/>
      </c>
      <c r="F7" s="10">
        <f>'Proyección Mensual'!V33/'Proyección Mensual'!AO33</f>
        <v/>
      </c>
      <c r="G7" s="10">
        <f>'Proyección Mensual'!AB33/'Proyección Mensual'!AO33</f>
        <v/>
      </c>
      <c r="H7" s="10">
        <f>'Proyección Mensual'!AH33/'Proyección Mensual'!AO33</f>
        <v/>
      </c>
      <c r="I7" s="9">
        <f>'Proyección Mensual'!AM33</f>
        <v/>
      </c>
      <c r="J7" s="9">
        <f>'Proyección Mensual'!AN33</f>
        <v/>
      </c>
      <c r="K7" s="9">
        <f>'Proyección Mensual'!J33*'Parámetros Proyección'!$B$11+'Proyección Mensual'!P33*'Parámetros Proyección'!$B$12+'Proyección Mensual'!V33*'Parámetros Proyección'!$B$13+'Proyección Mensual'!AB33*'Parámetros Proyección'!$B$14+'Proyección Mensual'!AH33*'Parámetros Proyección'!$B$15</f>
        <v/>
      </c>
      <c r="L7" s="9">
        <f>C7/(1+$C$2)^(A7-2026)</f>
        <v/>
      </c>
    </row>
    <row r="8">
      <c r="A8" s="11" t="n">
        <v>2029</v>
      </c>
      <c r="B8" s="11" t="n">
        <v>32</v>
      </c>
      <c r="C8" s="9">
        <f>'Proyección Mensual'!AO45</f>
        <v/>
      </c>
      <c r="D8" s="10">
        <f>'Proyección Mensual'!J45/'Proyección Mensual'!AO45</f>
        <v/>
      </c>
      <c r="E8" s="10">
        <f>'Proyección Mensual'!P45/'Proyección Mensual'!AO45</f>
        <v/>
      </c>
      <c r="F8" s="10">
        <f>'Proyección Mensual'!V45/'Proyección Mensual'!AO45</f>
        <v/>
      </c>
      <c r="G8" s="10">
        <f>'Proyección Mensual'!AB45/'Proyección Mensual'!AO45</f>
        <v/>
      </c>
      <c r="H8" s="10">
        <f>'Proyección Mensual'!AH45/'Proyección Mensual'!AO45</f>
        <v/>
      </c>
      <c r="I8" s="9">
        <f>'Proyección Mensual'!AM45</f>
        <v/>
      </c>
      <c r="J8" s="9">
        <f>'Proyección Mensual'!AN45</f>
        <v/>
      </c>
      <c r="K8" s="9">
        <f>'Proyección Mensual'!J45*'Parámetros Proyección'!$B$11+'Proyección Mensual'!P45*'Parámetros Proyección'!$B$12+'Proyección Mensual'!V45*'Parámetros Proyección'!$B$13+'Proyección Mensual'!AB45*'Parámetros Proyección'!$B$14+'Proyección Mensual'!AH45*'Parámetros Proyección'!$B$15</f>
        <v/>
      </c>
      <c r="L8" s="9">
        <f>C8/(1+$C$2)^(A8-2026)</f>
        <v/>
      </c>
    </row>
    <row r="9">
      <c r="A9" s="11" t="n">
        <v>2030</v>
      </c>
      <c r="B9" s="11" t="n">
        <v>33</v>
      </c>
      <c r="C9" s="9">
        <f>'Proyección Mensual'!AO57</f>
        <v/>
      </c>
      <c r="D9" s="10">
        <f>'Proyección Mensual'!J57/'Proyección Mensual'!AO57</f>
        <v/>
      </c>
      <c r="E9" s="10">
        <f>'Proyección Mensual'!P57/'Proyección Mensual'!AO57</f>
        <v/>
      </c>
      <c r="F9" s="10">
        <f>'Proyección Mensual'!V57/'Proyección Mensual'!AO57</f>
        <v/>
      </c>
      <c r="G9" s="10">
        <f>'Proyección Mensual'!AB57/'Proyección Mensual'!AO57</f>
        <v/>
      </c>
      <c r="H9" s="10">
        <f>'Proyección Mensual'!AH57/'Proyección Mensual'!AO57</f>
        <v/>
      </c>
      <c r="I9" s="9">
        <f>'Proyección Mensual'!AM57</f>
        <v/>
      </c>
      <c r="J9" s="9">
        <f>'Proyección Mensual'!AN57</f>
        <v/>
      </c>
      <c r="K9" s="9">
        <f>'Proyección Mensual'!J57*'Parámetros Proyección'!$B$11+'Proyección Mensual'!P57*'Parámetros Proyección'!$B$12+'Proyección Mensual'!V57*'Parámetros Proyección'!$B$13+'Proyección Mensual'!AB57*'Parámetros Proyección'!$B$14+'Proyección Mensual'!AH57*'Parámetros Proyección'!$B$15</f>
        <v/>
      </c>
      <c r="L9" s="9">
        <f>C9/(1+$C$2)^(A9-2026)</f>
        <v/>
      </c>
    </row>
    <row r="10">
      <c r="A10" s="11" t="n">
        <v>2031</v>
      </c>
      <c r="B10" s="11" t="n">
        <v>34</v>
      </c>
      <c r="C10" s="9">
        <f>'Proyección Mensual'!AO69</f>
        <v/>
      </c>
      <c r="D10" s="10">
        <f>'Proyección Mensual'!J69/'Proyección Mensual'!AO69</f>
        <v/>
      </c>
      <c r="E10" s="10">
        <f>'Proyección Mensual'!P69/'Proyección Mensual'!AO69</f>
        <v/>
      </c>
      <c r="F10" s="10">
        <f>'Proyección Mensual'!V69/'Proyección Mensual'!AO69</f>
        <v/>
      </c>
      <c r="G10" s="10">
        <f>'Proyección Mensual'!AB69/'Proyección Mensual'!AO69</f>
        <v/>
      </c>
      <c r="H10" s="10">
        <f>'Proyección Mensual'!AH69/'Proyección Mensual'!AO69</f>
        <v/>
      </c>
      <c r="I10" s="9">
        <f>'Proyección Mensual'!AM69</f>
        <v/>
      </c>
      <c r="J10" s="9">
        <f>'Proyección Mensual'!AN69</f>
        <v/>
      </c>
      <c r="K10" s="9">
        <f>'Proyección Mensual'!J69*'Parámetros Proyección'!$B$11+'Proyección Mensual'!P69*'Parámetros Proyección'!$B$12+'Proyección Mensual'!V69*'Parámetros Proyección'!$B$13+'Proyección Mensual'!AB69*'Parámetros Proyección'!$B$14+'Proyección Mensual'!AH69*'Parámetros Proyección'!$B$15</f>
        <v/>
      </c>
      <c r="L10" s="9">
        <f>C10/(1+$C$2)^(A10-2026)</f>
        <v/>
      </c>
    </row>
    <row r="11">
      <c r="A11" s="11" t="n">
        <v>2032</v>
      </c>
      <c r="B11" s="11" t="n">
        <v>35</v>
      </c>
      <c r="C11" s="9">
        <f>'Proyección Mensual'!AO81</f>
        <v/>
      </c>
      <c r="D11" s="10">
        <f>'Proyección Mensual'!J81/'Proyección Mensual'!AO81</f>
        <v/>
      </c>
      <c r="E11" s="10">
        <f>'Proyección Mensual'!P81/'Proyección Mensual'!AO81</f>
        <v/>
      </c>
      <c r="F11" s="10">
        <f>'Proyección Mensual'!V81/'Proyección Mensual'!AO81</f>
        <v/>
      </c>
      <c r="G11" s="10">
        <f>'Proyección Mensual'!AB81/'Proyección Mensual'!AO81</f>
        <v/>
      </c>
      <c r="H11" s="10">
        <f>'Proyección Mensual'!AH81/'Proyección Mensual'!AO81</f>
        <v/>
      </c>
      <c r="I11" s="9">
        <f>'Proyección Mensual'!AM81</f>
        <v/>
      </c>
      <c r="J11" s="9">
        <f>'Proyección Mensual'!AN81</f>
        <v/>
      </c>
      <c r="K11" s="9">
        <f>'Proyección Mensual'!J81*'Parámetros Proyección'!$B$11+'Proyección Mensual'!P81*'Parámetros Proyección'!$B$12+'Proyección Mensual'!V81*'Parámetros Proyección'!$B$13+'Proyección Mensual'!AB81*'Parámetros Proyección'!$B$14+'Proyección Mensual'!AH81*'Parámetros Proyección'!$B$15</f>
        <v/>
      </c>
      <c r="L11" s="9">
        <f>C11/(1+$C$2)^(A11-2026)</f>
        <v/>
      </c>
    </row>
    <row r="12">
      <c r="A12" s="11" t="n">
        <v>2033</v>
      </c>
      <c r="B12" s="11" t="n">
        <v>36</v>
      </c>
      <c r="C12" s="9">
        <f>'Proyección Mensual'!AO93</f>
        <v/>
      </c>
      <c r="D12" s="10">
        <f>'Proyección Mensual'!J93/'Proyección Mensual'!AO93</f>
        <v/>
      </c>
      <c r="E12" s="10">
        <f>'Proyección Mensual'!P93/'Proyección Mensual'!AO93</f>
        <v/>
      </c>
      <c r="F12" s="10">
        <f>'Proyección Mensual'!V93/'Proyección Mensual'!AO93</f>
        <v/>
      </c>
      <c r="G12" s="10">
        <f>'Proyección Mensual'!AB93/'Proyección Mensual'!AO93</f>
        <v/>
      </c>
      <c r="H12" s="10">
        <f>'Proyección Mensual'!AH93/'Proyección Mensual'!AO93</f>
        <v/>
      </c>
      <c r="I12" s="9">
        <f>'Proyección Mensual'!AM93</f>
        <v/>
      </c>
      <c r="J12" s="9">
        <f>'Proyección Mensual'!AN93</f>
        <v/>
      </c>
      <c r="K12" s="9">
        <f>'Proyección Mensual'!J93*'Parámetros Proyección'!$B$11+'Proyección Mensual'!P93*'Parámetros Proyección'!$B$12+'Proyección Mensual'!V93*'Parámetros Proyección'!$B$13+'Proyección Mensual'!AB93*'Parámetros Proyección'!$B$14+'Proyección Mensual'!AH93*'Parámetros Proyección'!$B$15</f>
        <v/>
      </c>
      <c r="L12" s="9">
        <f>C12/(1+$C$2)^(A12-2026)</f>
        <v/>
      </c>
    </row>
    <row r="13">
      <c r="A13" s="11" t="n">
        <v>2034</v>
      </c>
      <c r="B13" s="11" t="n">
        <v>37</v>
      </c>
      <c r="C13" s="9">
        <f>'Proyección Mensual'!AO105</f>
        <v/>
      </c>
      <c r="D13" s="10">
        <f>'Proyección Mensual'!J105/'Proyección Mensual'!AO105</f>
        <v/>
      </c>
      <c r="E13" s="10">
        <f>'Proyección Mensual'!P105/'Proyección Mensual'!AO105</f>
        <v/>
      </c>
      <c r="F13" s="10">
        <f>'Proyección Mensual'!V105/'Proyección Mensual'!AO105</f>
        <v/>
      </c>
      <c r="G13" s="10">
        <f>'Proyección Mensual'!AB105/'Proyección Mensual'!AO105</f>
        <v/>
      </c>
      <c r="H13" s="10">
        <f>'Proyección Mensual'!AH105/'Proyección Mensual'!AO105</f>
        <v/>
      </c>
      <c r="I13" s="9">
        <f>'Proyección Mensual'!AM105</f>
        <v/>
      </c>
      <c r="J13" s="9">
        <f>'Proyección Mensual'!AN105</f>
        <v/>
      </c>
      <c r="K13" s="9">
        <f>'Proyección Mensual'!J105*'Parámetros Proyección'!$B$11+'Proyección Mensual'!P105*'Parámetros Proyección'!$B$12+'Proyección Mensual'!V105*'Parámetros Proyección'!$B$13+'Proyección Mensual'!AB105*'Parámetros Proyección'!$B$14+'Proyección Mensual'!AH105*'Parámetros Proyección'!$B$15</f>
        <v/>
      </c>
      <c r="L13" s="9">
        <f>C13/(1+$C$2)^(A13-2026)</f>
        <v/>
      </c>
    </row>
    <row r="14">
      <c r="A14" s="11" t="n">
        <v>2035</v>
      </c>
      <c r="B14" s="11" t="n">
        <v>38</v>
      </c>
      <c r="C14" s="9">
        <f>'Proyección Mensual'!AO117</f>
        <v/>
      </c>
      <c r="D14" s="10">
        <f>'Proyección Mensual'!J117/'Proyección Mensual'!AO117</f>
        <v/>
      </c>
      <c r="E14" s="10">
        <f>'Proyección Mensual'!P117/'Proyección Mensual'!AO117</f>
        <v/>
      </c>
      <c r="F14" s="10">
        <f>'Proyección Mensual'!V117/'Proyección Mensual'!AO117</f>
        <v/>
      </c>
      <c r="G14" s="10">
        <f>'Proyección Mensual'!AB117/'Proyección Mensual'!AO117</f>
        <v/>
      </c>
      <c r="H14" s="10">
        <f>'Proyección Mensual'!AH117/'Proyección Mensual'!AO117</f>
        <v/>
      </c>
      <c r="I14" s="9">
        <f>'Proyección Mensual'!AM117</f>
        <v/>
      </c>
      <c r="J14" s="9">
        <f>'Proyección Mensual'!AN117</f>
        <v/>
      </c>
      <c r="K14" s="9">
        <f>'Proyección Mensual'!J117*'Parámetros Proyección'!$B$11+'Proyección Mensual'!P117*'Parámetros Proyección'!$B$12+'Proyección Mensual'!V117*'Parámetros Proyección'!$B$13+'Proyección Mensual'!AB117*'Parámetros Proyección'!$B$14+'Proyección Mensual'!AH117*'Parámetros Proyección'!$B$15</f>
        <v/>
      </c>
      <c r="L14" s="9">
        <f>C14/(1+$C$2)^(A14-2026)</f>
        <v/>
      </c>
    </row>
    <row r="15">
      <c r="A15" s="11" t="n">
        <v>2036</v>
      </c>
      <c r="B15" s="11" t="n">
        <v>39</v>
      </c>
      <c r="C15" s="9">
        <f>'Proyección Mensual'!AO129</f>
        <v/>
      </c>
      <c r="D15" s="10">
        <f>'Proyección Mensual'!J129/'Proyección Mensual'!AO129</f>
        <v/>
      </c>
      <c r="E15" s="10">
        <f>'Proyección Mensual'!P129/'Proyección Mensual'!AO129</f>
        <v/>
      </c>
      <c r="F15" s="10">
        <f>'Proyección Mensual'!V129/'Proyección Mensual'!AO129</f>
        <v/>
      </c>
      <c r="G15" s="10">
        <f>'Proyección Mensual'!AB129/'Proyección Mensual'!AO129</f>
        <v/>
      </c>
      <c r="H15" s="10">
        <f>'Proyección Mensual'!AH129/'Proyección Mensual'!AO129</f>
        <v/>
      </c>
      <c r="I15" s="9">
        <f>'Proyección Mensual'!AM129</f>
        <v/>
      </c>
      <c r="J15" s="9">
        <f>'Proyección Mensual'!AN129</f>
        <v/>
      </c>
      <c r="K15" s="9">
        <f>'Proyección Mensual'!J129*'Parámetros Proyección'!$B$11+'Proyección Mensual'!P129*'Parámetros Proyección'!$B$12+'Proyección Mensual'!V129*'Parámetros Proyección'!$B$13+'Proyección Mensual'!AB129*'Parámetros Proyección'!$B$14+'Proyección Mensual'!AH129*'Parámetros Proyección'!$B$15</f>
        <v/>
      </c>
      <c r="L15" s="9">
        <f>C15/(1+$C$2)^(A15-2026)</f>
        <v/>
      </c>
    </row>
    <row r="16">
      <c r="A16" s="11" t="n">
        <v>2037</v>
      </c>
      <c r="B16" s="11" t="n">
        <v>40</v>
      </c>
      <c r="C16" s="9">
        <f>'Proyección Mensual'!AO141</f>
        <v/>
      </c>
      <c r="D16" s="10">
        <f>'Proyección Mensual'!J141/'Proyección Mensual'!AO141</f>
        <v/>
      </c>
      <c r="E16" s="10">
        <f>'Proyección Mensual'!P141/'Proyección Mensual'!AO141</f>
        <v/>
      </c>
      <c r="F16" s="10">
        <f>'Proyección Mensual'!V141/'Proyección Mensual'!AO141</f>
        <v/>
      </c>
      <c r="G16" s="10">
        <f>'Proyección Mensual'!AB141/'Proyección Mensual'!AO141</f>
        <v/>
      </c>
      <c r="H16" s="10">
        <f>'Proyección Mensual'!AH141/'Proyección Mensual'!AO141</f>
        <v/>
      </c>
      <c r="I16" s="9">
        <f>'Proyección Mensual'!AM141</f>
        <v/>
      </c>
      <c r="J16" s="9">
        <f>'Proyección Mensual'!AN141</f>
        <v/>
      </c>
      <c r="K16" s="9">
        <f>'Proyección Mensual'!J141*'Parámetros Proyección'!$B$11+'Proyección Mensual'!P141*'Parámetros Proyección'!$B$12+'Proyección Mensual'!V141*'Parámetros Proyección'!$B$13+'Proyección Mensual'!AB141*'Parámetros Proyección'!$B$14+'Proyección Mensual'!AH141*'Parámetros Proyección'!$B$15</f>
        <v/>
      </c>
      <c r="L16" s="9">
        <f>C16/(1+$C$2)^(A16-2026)</f>
        <v/>
      </c>
    </row>
    <row r="17">
      <c r="A17" s="11" t="n">
        <v>2038</v>
      </c>
      <c r="B17" s="11" t="n">
        <v>41</v>
      </c>
      <c r="C17" s="9">
        <f>'Proyección Mensual'!AO153</f>
        <v/>
      </c>
      <c r="D17" s="10">
        <f>'Proyección Mensual'!J153/'Proyección Mensual'!AO153</f>
        <v/>
      </c>
      <c r="E17" s="10">
        <f>'Proyección Mensual'!P153/'Proyección Mensual'!AO153</f>
        <v/>
      </c>
      <c r="F17" s="10">
        <f>'Proyección Mensual'!V153/'Proyección Mensual'!AO153</f>
        <v/>
      </c>
      <c r="G17" s="10">
        <f>'Proyección Mensual'!AB153/'Proyección Mensual'!AO153</f>
        <v/>
      </c>
      <c r="H17" s="10">
        <f>'Proyección Mensual'!AH153/'Proyección Mensual'!AO153</f>
        <v/>
      </c>
      <c r="I17" s="9">
        <f>'Proyección Mensual'!AM153</f>
        <v/>
      </c>
      <c r="J17" s="9">
        <f>'Proyección Mensual'!AN153</f>
        <v/>
      </c>
      <c r="K17" s="9">
        <f>'Proyección Mensual'!J153*'Parámetros Proyección'!$B$11+'Proyección Mensual'!P153*'Parámetros Proyección'!$B$12+'Proyección Mensual'!V153*'Parámetros Proyección'!$B$13+'Proyección Mensual'!AB153*'Parámetros Proyección'!$B$14+'Proyección Mensual'!AH153*'Parámetros Proyección'!$B$15</f>
        <v/>
      </c>
      <c r="L17" s="9">
        <f>C17/(1+$C$2)^(A17-2026)</f>
        <v/>
      </c>
    </row>
    <row r="18">
      <c r="A18" s="11" t="n">
        <v>2039</v>
      </c>
      <c r="B18" s="11" t="n">
        <v>42</v>
      </c>
      <c r="C18" s="9">
        <f>'Proyección Mensual'!AO165</f>
        <v/>
      </c>
      <c r="D18" s="10">
        <f>'Proyección Mensual'!J165/'Proyección Mensual'!AO165</f>
        <v/>
      </c>
      <c r="E18" s="10">
        <f>'Proyección Mensual'!P165/'Proyección Mensual'!AO165</f>
        <v/>
      </c>
      <c r="F18" s="10">
        <f>'Proyección Mensual'!V165/'Proyección Mensual'!AO165</f>
        <v/>
      </c>
      <c r="G18" s="10">
        <f>'Proyección Mensual'!AB165/'Proyección Mensual'!AO165</f>
        <v/>
      </c>
      <c r="H18" s="10">
        <f>'Proyección Mensual'!AH165/'Proyección Mensual'!AO165</f>
        <v/>
      </c>
      <c r="I18" s="9">
        <f>'Proyección Mensual'!AM165</f>
        <v/>
      </c>
      <c r="J18" s="9">
        <f>'Proyección Mensual'!AN165</f>
        <v/>
      </c>
      <c r="K18" s="9">
        <f>'Proyección Mensual'!J165*'Parámetros Proyección'!$B$11+'Proyección Mensual'!P165*'Parámetros Proyección'!$B$12+'Proyección Mensual'!V165*'Parámetros Proyección'!$B$13+'Proyección Mensual'!AB165*'Parámetros Proyección'!$B$14+'Proyección Mensual'!AH165*'Parámetros Proyección'!$B$15</f>
        <v/>
      </c>
      <c r="L18" s="9">
        <f>C18/(1+$C$2)^(A18-2026)</f>
        <v/>
      </c>
    </row>
    <row r="19">
      <c r="A19" s="11" t="n">
        <v>2040</v>
      </c>
      <c r="B19" s="11" t="n">
        <v>43</v>
      </c>
      <c r="C19" s="9">
        <f>'Proyección Mensual'!AO177</f>
        <v/>
      </c>
      <c r="D19" s="10">
        <f>'Proyección Mensual'!J177/'Proyección Mensual'!AO177</f>
        <v/>
      </c>
      <c r="E19" s="10">
        <f>'Proyección Mensual'!P177/'Proyección Mensual'!AO177</f>
        <v/>
      </c>
      <c r="F19" s="10">
        <f>'Proyección Mensual'!V177/'Proyección Mensual'!AO177</f>
        <v/>
      </c>
      <c r="G19" s="10">
        <f>'Proyección Mensual'!AB177/'Proyección Mensual'!AO177</f>
        <v/>
      </c>
      <c r="H19" s="10">
        <f>'Proyección Mensual'!AH177/'Proyección Mensual'!AO177</f>
        <v/>
      </c>
      <c r="I19" s="9">
        <f>'Proyección Mensual'!AM177</f>
        <v/>
      </c>
      <c r="J19" s="9">
        <f>'Proyección Mensual'!AN177</f>
        <v/>
      </c>
      <c r="K19" s="9">
        <f>'Proyección Mensual'!J177*'Parámetros Proyección'!$B$11+'Proyección Mensual'!P177*'Parámetros Proyección'!$B$12+'Proyección Mensual'!V177*'Parámetros Proyección'!$B$13+'Proyección Mensual'!AB177*'Parámetros Proyección'!$B$14+'Proyección Mensual'!AH177*'Parámetros Proyección'!$B$15</f>
        <v/>
      </c>
      <c r="L19" s="9">
        <f>C19/(1+$C$2)^(A19-2026)</f>
        <v/>
      </c>
    </row>
    <row r="20">
      <c r="A20" s="11" t="n">
        <v>2041</v>
      </c>
      <c r="B20" s="11" t="n">
        <v>44</v>
      </c>
      <c r="C20" s="9">
        <f>'Proyección Mensual'!AO189</f>
        <v/>
      </c>
      <c r="D20" s="10">
        <f>'Proyección Mensual'!J189/'Proyección Mensual'!AO189</f>
        <v/>
      </c>
      <c r="E20" s="10">
        <f>'Proyección Mensual'!P189/'Proyección Mensual'!AO189</f>
        <v/>
      </c>
      <c r="F20" s="10">
        <f>'Proyección Mensual'!V189/'Proyección Mensual'!AO189</f>
        <v/>
      </c>
      <c r="G20" s="10">
        <f>'Proyección Mensual'!AB189/'Proyección Mensual'!AO189</f>
        <v/>
      </c>
      <c r="H20" s="10">
        <f>'Proyección Mensual'!AH189/'Proyección Mensual'!AO189</f>
        <v/>
      </c>
      <c r="I20" s="9">
        <f>'Proyección Mensual'!AM189</f>
        <v/>
      </c>
      <c r="J20" s="9">
        <f>'Proyección Mensual'!AN189</f>
        <v/>
      </c>
      <c r="K20" s="9">
        <f>'Proyección Mensual'!J189*'Parámetros Proyección'!$B$11+'Proyección Mensual'!P189*'Parámetros Proyección'!$B$12+'Proyección Mensual'!V189*'Parámetros Proyección'!$B$13+'Proyección Mensual'!AB189*'Parámetros Proyección'!$B$14+'Proyección Mensual'!AH189*'Parámetros Proyección'!$B$15</f>
        <v/>
      </c>
      <c r="L20" s="9">
        <f>C20/(1+$C$2)^(A20-2026)</f>
        <v/>
      </c>
    </row>
    <row r="21">
      <c r="A21" s="11" t="n">
        <v>2042</v>
      </c>
      <c r="B21" s="11" t="n">
        <v>45</v>
      </c>
      <c r="C21" s="9">
        <f>'Proyección Mensual'!AO201</f>
        <v/>
      </c>
      <c r="D21" s="10">
        <f>'Proyección Mensual'!J201/'Proyección Mensual'!AO201</f>
        <v/>
      </c>
      <c r="E21" s="10">
        <f>'Proyección Mensual'!P201/'Proyección Mensual'!AO201</f>
        <v/>
      </c>
      <c r="F21" s="10">
        <f>'Proyección Mensual'!V201/'Proyección Mensual'!AO201</f>
        <v/>
      </c>
      <c r="G21" s="10">
        <f>'Proyección Mensual'!AB201/'Proyección Mensual'!AO201</f>
        <v/>
      </c>
      <c r="H21" s="10">
        <f>'Proyección Mensual'!AH201/'Proyección Mensual'!AO201</f>
        <v/>
      </c>
      <c r="I21" s="9">
        <f>'Proyección Mensual'!AM201</f>
        <v/>
      </c>
      <c r="J21" s="9">
        <f>'Proyección Mensual'!AN201</f>
        <v/>
      </c>
      <c r="K21" s="9">
        <f>'Proyección Mensual'!J201*'Parámetros Proyección'!$B$11+'Proyección Mensual'!P201*'Parámetros Proyección'!$B$12+'Proyección Mensual'!V201*'Parámetros Proyección'!$B$13+'Proyección Mensual'!AB201*'Parámetros Proyección'!$B$14+'Proyección Mensual'!AH201*'Parámetros Proyección'!$B$15</f>
        <v/>
      </c>
      <c r="L21" s="9">
        <f>C21/(1+$C$2)^(A21-2026)</f>
        <v/>
      </c>
    </row>
    <row r="22">
      <c r="A22" s="11" t="n">
        <v>2043</v>
      </c>
      <c r="B22" s="11" t="n">
        <v>46</v>
      </c>
      <c r="C22" s="9">
        <f>'Proyección Mensual'!AO213</f>
        <v/>
      </c>
      <c r="D22" s="10">
        <f>'Proyección Mensual'!J213/'Proyección Mensual'!AO213</f>
        <v/>
      </c>
      <c r="E22" s="10">
        <f>'Proyección Mensual'!P213/'Proyección Mensual'!AO213</f>
        <v/>
      </c>
      <c r="F22" s="10">
        <f>'Proyección Mensual'!V213/'Proyección Mensual'!AO213</f>
        <v/>
      </c>
      <c r="G22" s="10">
        <f>'Proyección Mensual'!AB213/'Proyección Mensual'!AO213</f>
        <v/>
      </c>
      <c r="H22" s="10">
        <f>'Proyección Mensual'!AH213/'Proyección Mensual'!AO213</f>
        <v/>
      </c>
      <c r="I22" s="9">
        <f>'Proyección Mensual'!AM213</f>
        <v/>
      </c>
      <c r="J22" s="9">
        <f>'Proyección Mensual'!AN213</f>
        <v/>
      </c>
      <c r="K22" s="9">
        <f>'Proyección Mensual'!J213*'Parámetros Proyección'!$B$11+'Proyección Mensual'!P213*'Parámetros Proyección'!$B$12+'Proyección Mensual'!V213*'Parámetros Proyección'!$B$13+'Proyección Mensual'!AB213*'Parámetros Proyección'!$B$14+'Proyección Mensual'!AH213*'Parámetros Proyección'!$B$15</f>
        <v/>
      </c>
      <c r="L22" s="9">
        <f>C22/(1+$C$2)^(A22-2026)</f>
        <v/>
      </c>
    </row>
    <row r="23">
      <c r="A23" s="11" t="n">
        <v>2044</v>
      </c>
      <c r="B23" s="11" t="n">
        <v>47</v>
      </c>
      <c r="C23" s="9">
        <f>'Proyección Mensual'!AO225</f>
        <v/>
      </c>
      <c r="D23" s="10">
        <f>'Proyección Mensual'!J225/'Proyección Mensual'!AO225</f>
        <v/>
      </c>
      <c r="E23" s="10">
        <f>'Proyección Mensual'!P225/'Proyección Mensual'!AO225</f>
        <v/>
      </c>
      <c r="F23" s="10">
        <f>'Proyección Mensual'!V225/'Proyección Mensual'!AO225</f>
        <v/>
      </c>
      <c r="G23" s="10">
        <f>'Proyección Mensual'!AB225/'Proyección Mensual'!AO225</f>
        <v/>
      </c>
      <c r="H23" s="10">
        <f>'Proyección Mensual'!AH225/'Proyección Mensual'!AO225</f>
        <v/>
      </c>
      <c r="I23" s="9">
        <f>'Proyección Mensual'!AM225</f>
        <v/>
      </c>
      <c r="J23" s="9">
        <f>'Proyección Mensual'!AN225</f>
        <v/>
      </c>
      <c r="K23" s="9">
        <f>'Proyección Mensual'!J225*'Parámetros Proyección'!$B$11+'Proyección Mensual'!P225*'Parámetros Proyección'!$B$12+'Proyección Mensual'!V225*'Parámetros Proyección'!$B$13+'Proyección Mensual'!AB225*'Parámetros Proyección'!$B$14+'Proyección Mensual'!AH225*'Parámetros Proyección'!$B$15</f>
        <v/>
      </c>
      <c r="L23" s="9">
        <f>C23/(1+$C$2)^(A23-2026)</f>
        <v/>
      </c>
    </row>
    <row r="24">
      <c r="A24" s="11" t="n">
        <v>2045</v>
      </c>
      <c r="B24" s="11" t="n">
        <v>48</v>
      </c>
      <c r="C24" s="9">
        <f>'Proyección Mensual'!AO237</f>
        <v/>
      </c>
      <c r="D24" s="10">
        <f>'Proyección Mensual'!J237/'Proyección Mensual'!AO237</f>
        <v/>
      </c>
      <c r="E24" s="10">
        <f>'Proyección Mensual'!P237/'Proyección Mensual'!AO237</f>
        <v/>
      </c>
      <c r="F24" s="10">
        <f>'Proyección Mensual'!V237/'Proyección Mensual'!AO237</f>
        <v/>
      </c>
      <c r="G24" s="10">
        <f>'Proyección Mensual'!AB237/'Proyección Mensual'!AO237</f>
        <v/>
      </c>
      <c r="H24" s="10">
        <f>'Proyección Mensual'!AH237/'Proyección Mensual'!AO237</f>
        <v/>
      </c>
      <c r="I24" s="9">
        <f>'Proyección Mensual'!AM237</f>
        <v/>
      </c>
      <c r="J24" s="9">
        <f>'Proyección Mensual'!AN237</f>
        <v/>
      </c>
      <c r="K24" s="9">
        <f>'Proyección Mensual'!J237*'Parámetros Proyección'!$B$11+'Proyección Mensual'!P237*'Parámetros Proyección'!$B$12+'Proyección Mensual'!V237*'Parámetros Proyección'!$B$13+'Proyección Mensual'!AB237*'Parámetros Proyección'!$B$14+'Proyección Mensual'!AH237*'Parámetros Proyección'!$B$15</f>
        <v/>
      </c>
      <c r="L24" s="9">
        <f>C24/(1+$C$2)^(A24-2026)</f>
        <v/>
      </c>
    </row>
    <row r="25">
      <c r="A25" s="11" t="n">
        <v>2046</v>
      </c>
      <c r="B25" s="11" t="n">
        <v>49</v>
      </c>
      <c r="C25" s="9">
        <f>'Proyección Mensual'!AO249</f>
        <v/>
      </c>
      <c r="D25" s="10">
        <f>'Proyección Mensual'!J249/'Proyección Mensual'!AO249</f>
        <v/>
      </c>
      <c r="E25" s="10">
        <f>'Proyección Mensual'!P249/'Proyección Mensual'!AO249</f>
        <v/>
      </c>
      <c r="F25" s="10">
        <f>'Proyección Mensual'!V249/'Proyección Mensual'!AO249</f>
        <v/>
      </c>
      <c r="G25" s="10">
        <f>'Proyección Mensual'!AB249/'Proyección Mensual'!AO249</f>
        <v/>
      </c>
      <c r="H25" s="10">
        <f>'Proyección Mensual'!AH249/'Proyección Mensual'!AO249</f>
        <v/>
      </c>
      <c r="I25" s="9">
        <f>'Proyección Mensual'!AM249</f>
        <v/>
      </c>
      <c r="J25" s="9">
        <f>'Proyección Mensual'!AN249</f>
        <v/>
      </c>
      <c r="K25" s="9">
        <f>'Proyección Mensual'!J249*'Parámetros Proyección'!$B$11+'Proyección Mensual'!P249*'Parámetros Proyección'!$B$12+'Proyección Mensual'!V249*'Parámetros Proyección'!$B$13+'Proyección Mensual'!AB249*'Parámetros Proyección'!$B$14+'Proyección Mensual'!AH249*'Parámetros Proyección'!$B$15</f>
        <v/>
      </c>
      <c r="L25" s="9">
        <f>C25/(1+$C$2)^(A25-2026)</f>
        <v/>
      </c>
    </row>
    <row r="26">
      <c r="A26" s="11" t="n">
        <v>2047</v>
      </c>
      <c r="B26" s="11" t="n">
        <v>50</v>
      </c>
      <c r="C26" s="9">
        <f>'Proyección Mensual'!AO261</f>
        <v/>
      </c>
      <c r="D26" s="10">
        <f>'Proyección Mensual'!J261/'Proyección Mensual'!AO261</f>
        <v/>
      </c>
      <c r="E26" s="10">
        <f>'Proyección Mensual'!P261/'Proyección Mensual'!AO261</f>
        <v/>
      </c>
      <c r="F26" s="10">
        <f>'Proyección Mensual'!V261/'Proyección Mensual'!AO261</f>
        <v/>
      </c>
      <c r="G26" s="10">
        <f>'Proyección Mensual'!AB261/'Proyección Mensual'!AO261</f>
        <v/>
      </c>
      <c r="H26" s="10">
        <f>'Proyección Mensual'!AH261/'Proyección Mensual'!AO261</f>
        <v/>
      </c>
      <c r="I26" s="9">
        <f>'Proyección Mensual'!AM261</f>
        <v/>
      </c>
      <c r="J26" s="9">
        <f>'Proyección Mensual'!AN261</f>
        <v/>
      </c>
      <c r="K26" s="9">
        <f>'Proyección Mensual'!J261*'Parámetros Proyección'!$B$11+'Proyección Mensual'!P261*'Parámetros Proyección'!$B$12+'Proyección Mensual'!V261*'Parámetros Proyección'!$B$13+'Proyección Mensual'!AB261*'Parámetros Proyección'!$B$14+'Proyección Mensual'!AH261*'Parámetros Proyección'!$B$15</f>
        <v/>
      </c>
      <c r="L26" s="9">
        <f>C26/(1+$C$2)^(A26-2026)</f>
        <v/>
      </c>
    </row>
    <row r="27">
      <c r="A27" s="11" t="n">
        <v>2048</v>
      </c>
      <c r="B27" s="11" t="n">
        <v>51</v>
      </c>
      <c r="C27" s="9">
        <f>'Proyección Mensual'!AO273</f>
        <v/>
      </c>
      <c r="D27" s="10">
        <f>'Proyección Mensual'!J273/'Proyección Mensual'!AO273</f>
        <v/>
      </c>
      <c r="E27" s="10">
        <f>'Proyección Mensual'!P273/'Proyección Mensual'!AO273</f>
        <v/>
      </c>
      <c r="F27" s="10">
        <f>'Proyección Mensual'!V273/'Proyección Mensual'!AO273</f>
        <v/>
      </c>
      <c r="G27" s="10">
        <f>'Proyección Mensual'!AB273/'Proyección Mensual'!AO273</f>
        <v/>
      </c>
      <c r="H27" s="10">
        <f>'Proyección Mensual'!AH273/'Proyección Mensual'!AO273</f>
        <v/>
      </c>
      <c r="I27" s="9">
        <f>'Proyección Mensual'!AM273</f>
        <v/>
      </c>
      <c r="J27" s="9">
        <f>'Proyección Mensual'!AN273</f>
        <v/>
      </c>
      <c r="K27" s="9">
        <f>'Proyección Mensual'!J273*'Parámetros Proyección'!$B$11+'Proyección Mensual'!P273*'Parámetros Proyección'!$B$12+'Proyección Mensual'!V273*'Parámetros Proyección'!$B$13+'Proyección Mensual'!AB273*'Parámetros Proyección'!$B$14+'Proyección Mensual'!AH273*'Parámetros Proyección'!$B$15</f>
        <v/>
      </c>
      <c r="L27" s="9">
        <f>C27/(1+$C$2)^(A27-2026)</f>
        <v/>
      </c>
    </row>
    <row r="28">
      <c r="A28" s="11" t="n">
        <v>2049</v>
      </c>
      <c r="B28" s="11" t="n">
        <v>52</v>
      </c>
      <c r="C28" s="9">
        <f>'Proyección Mensual'!AO285</f>
        <v/>
      </c>
      <c r="D28" s="10">
        <f>'Proyección Mensual'!J285/'Proyección Mensual'!AO285</f>
        <v/>
      </c>
      <c r="E28" s="10">
        <f>'Proyección Mensual'!P285/'Proyección Mensual'!AO285</f>
        <v/>
      </c>
      <c r="F28" s="10">
        <f>'Proyección Mensual'!V285/'Proyección Mensual'!AO285</f>
        <v/>
      </c>
      <c r="G28" s="10">
        <f>'Proyección Mensual'!AB285/'Proyección Mensual'!AO285</f>
        <v/>
      </c>
      <c r="H28" s="10">
        <f>'Proyección Mensual'!AH285/'Proyección Mensual'!AO285</f>
        <v/>
      </c>
      <c r="I28" s="9">
        <f>'Proyección Mensual'!AM285</f>
        <v/>
      </c>
      <c r="J28" s="9">
        <f>'Proyección Mensual'!AN285</f>
        <v/>
      </c>
      <c r="K28" s="9">
        <f>'Proyección Mensual'!J285*'Parámetros Proyección'!$B$11+'Proyección Mensual'!P285*'Parámetros Proyección'!$B$12+'Proyección Mensual'!V285*'Parámetros Proyección'!$B$13+'Proyección Mensual'!AB285*'Parámetros Proyección'!$B$14+'Proyección Mensual'!AH285*'Parámetros Proyección'!$B$15</f>
        <v/>
      </c>
      <c r="L28" s="9">
        <f>C28/(1+$C$2)^(A28-2026)</f>
        <v/>
      </c>
    </row>
    <row r="29">
      <c r="A29" s="11" t="n">
        <v>2050</v>
      </c>
      <c r="B29" s="11" t="n">
        <v>53</v>
      </c>
      <c r="C29" s="9">
        <f>'Proyección Mensual'!AO297</f>
        <v/>
      </c>
      <c r="D29" s="10">
        <f>'Proyección Mensual'!J297/'Proyección Mensual'!AO297</f>
        <v/>
      </c>
      <c r="E29" s="10">
        <f>'Proyección Mensual'!P297/'Proyección Mensual'!AO297</f>
        <v/>
      </c>
      <c r="F29" s="10">
        <f>'Proyección Mensual'!V297/'Proyección Mensual'!AO297</f>
        <v/>
      </c>
      <c r="G29" s="10">
        <f>'Proyección Mensual'!AB297/'Proyección Mensual'!AO297</f>
        <v/>
      </c>
      <c r="H29" s="10">
        <f>'Proyección Mensual'!AH297/'Proyección Mensual'!AO297</f>
        <v/>
      </c>
      <c r="I29" s="9">
        <f>'Proyección Mensual'!AM297</f>
        <v/>
      </c>
      <c r="J29" s="9">
        <f>'Proyección Mensual'!AN297</f>
        <v/>
      </c>
      <c r="K29" s="9">
        <f>'Proyección Mensual'!J297*'Parámetros Proyección'!$B$11+'Proyección Mensual'!P297*'Parámetros Proyección'!$B$12+'Proyección Mensual'!V297*'Parámetros Proyección'!$B$13+'Proyección Mensual'!AB297*'Parámetros Proyección'!$B$14+'Proyección Mensual'!AH297*'Parámetros Proyección'!$B$15</f>
        <v/>
      </c>
      <c r="L29" s="9">
        <f>C29/(1+$C$2)^(A29-2026)</f>
        <v/>
      </c>
    </row>
    <row r="30">
      <c r="A30" s="11" t="n">
        <v>2051</v>
      </c>
      <c r="B30" s="11" t="n">
        <v>54</v>
      </c>
      <c r="C30" s="9">
        <f>'Proyección Mensual'!AO309</f>
        <v/>
      </c>
      <c r="D30" s="10">
        <f>'Proyección Mensual'!J309/'Proyección Mensual'!AO309</f>
        <v/>
      </c>
      <c r="E30" s="10">
        <f>'Proyección Mensual'!P309/'Proyección Mensual'!AO309</f>
        <v/>
      </c>
      <c r="F30" s="10">
        <f>'Proyección Mensual'!V309/'Proyección Mensual'!AO309</f>
        <v/>
      </c>
      <c r="G30" s="10">
        <f>'Proyección Mensual'!AB309/'Proyección Mensual'!AO309</f>
        <v/>
      </c>
      <c r="H30" s="10">
        <f>'Proyección Mensual'!AH309/'Proyección Mensual'!AO309</f>
        <v/>
      </c>
      <c r="I30" s="9">
        <f>'Proyección Mensual'!AM309</f>
        <v/>
      </c>
      <c r="J30" s="9">
        <f>'Proyección Mensual'!AN309</f>
        <v/>
      </c>
      <c r="K30" s="9">
        <f>'Proyección Mensual'!J309*'Parámetros Proyección'!$B$11+'Proyección Mensual'!P309*'Parámetros Proyección'!$B$12+'Proyección Mensual'!V309*'Parámetros Proyección'!$B$13+'Proyección Mensual'!AB309*'Parámetros Proyección'!$B$14+'Proyección Mensual'!AH309*'Parámetros Proyección'!$B$15</f>
        <v/>
      </c>
      <c r="L30" s="9">
        <f>C30/(1+$C$2)^(A30-2026)</f>
        <v/>
      </c>
    </row>
    <row r="31">
      <c r="A31" s="11" t="n">
        <v>2052</v>
      </c>
      <c r="B31" s="11" t="n">
        <v>55</v>
      </c>
      <c r="C31" s="9">
        <f>'Proyección Mensual'!AO321</f>
        <v/>
      </c>
      <c r="D31" s="10">
        <f>'Proyección Mensual'!J321/'Proyección Mensual'!AO321</f>
        <v/>
      </c>
      <c r="E31" s="10">
        <f>'Proyección Mensual'!P321/'Proyección Mensual'!AO321</f>
        <v/>
      </c>
      <c r="F31" s="10">
        <f>'Proyección Mensual'!V321/'Proyección Mensual'!AO321</f>
        <v/>
      </c>
      <c r="G31" s="10">
        <f>'Proyección Mensual'!AB321/'Proyección Mensual'!AO321</f>
        <v/>
      </c>
      <c r="H31" s="10">
        <f>'Proyección Mensual'!AH321/'Proyección Mensual'!AO321</f>
        <v/>
      </c>
      <c r="I31" s="9">
        <f>'Proyección Mensual'!AM321</f>
        <v/>
      </c>
      <c r="J31" s="9">
        <f>'Proyección Mensual'!AN321</f>
        <v/>
      </c>
      <c r="K31" s="9">
        <f>'Proyección Mensual'!J321*'Parámetros Proyección'!$B$11+'Proyección Mensual'!P321*'Parámetros Proyección'!$B$12+'Proyección Mensual'!V321*'Parámetros Proyección'!$B$13+'Proyección Mensual'!AB321*'Parámetros Proyección'!$B$14+'Proyección Mensual'!AH321*'Parámetros Proyección'!$B$15</f>
        <v/>
      </c>
      <c r="L31" s="9">
        <f>C31/(1+$C$2)^(A31-2026)</f>
        <v/>
      </c>
    </row>
    <row r="32">
      <c r="A32" s="11" t="n">
        <v>2053</v>
      </c>
      <c r="B32" s="11" t="n">
        <v>56</v>
      </c>
      <c r="C32" s="9">
        <f>'Proyección Mensual'!AO333</f>
        <v/>
      </c>
      <c r="D32" s="10">
        <f>'Proyección Mensual'!J333/'Proyección Mensual'!AO333</f>
        <v/>
      </c>
      <c r="E32" s="10">
        <f>'Proyección Mensual'!P333/'Proyección Mensual'!AO333</f>
        <v/>
      </c>
      <c r="F32" s="10">
        <f>'Proyección Mensual'!V333/'Proyección Mensual'!AO333</f>
        <v/>
      </c>
      <c r="G32" s="10">
        <f>'Proyección Mensual'!AB333/'Proyección Mensual'!AO333</f>
        <v/>
      </c>
      <c r="H32" s="10">
        <f>'Proyección Mensual'!AH333/'Proyección Mensual'!AO333</f>
        <v/>
      </c>
      <c r="I32" s="9">
        <f>'Proyección Mensual'!AM333</f>
        <v/>
      </c>
      <c r="J32" s="9">
        <f>'Proyección Mensual'!AN333</f>
        <v/>
      </c>
      <c r="K32" s="9">
        <f>'Proyección Mensual'!J333*'Parámetros Proyección'!$B$11+'Proyección Mensual'!P333*'Parámetros Proyección'!$B$12+'Proyección Mensual'!V333*'Parámetros Proyección'!$B$13+'Proyección Mensual'!AB333*'Parámetros Proyección'!$B$14+'Proyección Mensual'!AH333*'Parámetros Proyección'!$B$15</f>
        <v/>
      </c>
      <c r="L32" s="9">
        <f>C32/(1+$C$2)^(A32-2026)</f>
        <v/>
      </c>
    </row>
    <row r="33">
      <c r="A33" s="11" t="n">
        <v>2054</v>
      </c>
      <c r="B33" s="11" t="n">
        <v>57</v>
      </c>
      <c r="C33" s="9">
        <f>'Proyección Mensual'!AO345</f>
        <v/>
      </c>
      <c r="D33" s="10">
        <f>'Proyección Mensual'!J345/'Proyección Mensual'!AO345</f>
        <v/>
      </c>
      <c r="E33" s="10">
        <f>'Proyección Mensual'!P345/'Proyección Mensual'!AO345</f>
        <v/>
      </c>
      <c r="F33" s="10">
        <f>'Proyección Mensual'!V345/'Proyección Mensual'!AO345</f>
        <v/>
      </c>
      <c r="G33" s="10">
        <f>'Proyección Mensual'!AB345/'Proyección Mensual'!AO345</f>
        <v/>
      </c>
      <c r="H33" s="10">
        <f>'Proyección Mensual'!AH345/'Proyección Mensual'!AO345</f>
        <v/>
      </c>
      <c r="I33" s="9">
        <f>'Proyección Mensual'!AM345</f>
        <v/>
      </c>
      <c r="J33" s="9">
        <f>'Proyección Mensual'!AN345</f>
        <v/>
      </c>
      <c r="K33" s="9">
        <f>'Proyección Mensual'!J345*'Parámetros Proyección'!$B$11+'Proyección Mensual'!P345*'Parámetros Proyección'!$B$12+'Proyección Mensual'!V345*'Parámetros Proyección'!$B$13+'Proyección Mensual'!AB345*'Parámetros Proyección'!$B$14+'Proyección Mensual'!AH345*'Parámetros Proyección'!$B$15</f>
        <v/>
      </c>
      <c r="L33" s="9">
        <f>C33/(1+$C$2)^(A33-2026)</f>
        <v/>
      </c>
    </row>
    <row r="34">
      <c r="A34" s="11" t="n">
        <v>2055</v>
      </c>
      <c r="B34" s="11" t="n">
        <v>58</v>
      </c>
      <c r="C34" s="9">
        <f>'Proyección Mensual'!AO357</f>
        <v/>
      </c>
      <c r="D34" s="10">
        <f>'Proyección Mensual'!J357/'Proyección Mensual'!AO357</f>
        <v/>
      </c>
      <c r="E34" s="10">
        <f>'Proyección Mensual'!P357/'Proyección Mensual'!AO357</f>
        <v/>
      </c>
      <c r="F34" s="10">
        <f>'Proyección Mensual'!V357/'Proyección Mensual'!AO357</f>
        <v/>
      </c>
      <c r="G34" s="10">
        <f>'Proyección Mensual'!AB357/'Proyección Mensual'!AO357</f>
        <v/>
      </c>
      <c r="H34" s="10">
        <f>'Proyección Mensual'!AH357/'Proyección Mensual'!AO357</f>
        <v/>
      </c>
      <c r="I34" s="9">
        <f>'Proyección Mensual'!AM357</f>
        <v/>
      </c>
      <c r="J34" s="9">
        <f>'Proyección Mensual'!AN357</f>
        <v/>
      </c>
      <c r="K34" s="9">
        <f>'Proyección Mensual'!J357*'Parámetros Proyección'!$B$11+'Proyección Mensual'!P357*'Parámetros Proyección'!$B$12+'Proyección Mensual'!V357*'Parámetros Proyección'!$B$13+'Proyección Mensual'!AB357*'Parámetros Proyección'!$B$14+'Proyección Mensual'!AH357*'Parámetros Proyección'!$B$15</f>
        <v/>
      </c>
      <c r="L34" s="9">
        <f>C34/(1+$C$2)^(A34-2026)</f>
        <v/>
      </c>
    </row>
    <row r="35">
      <c r="A35" s="11" t="n">
        <v>2056</v>
      </c>
      <c r="B35" s="11" t="n">
        <v>59</v>
      </c>
      <c r="C35" s="9">
        <f>'Proyección Mensual'!AO369</f>
        <v/>
      </c>
      <c r="D35" s="10">
        <f>'Proyección Mensual'!J369/'Proyección Mensual'!AO369</f>
        <v/>
      </c>
      <c r="E35" s="10">
        <f>'Proyección Mensual'!P369/'Proyección Mensual'!AO369</f>
        <v/>
      </c>
      <c r="F35" s="10">
        <f>'Proyección Mensual'!V369/'Proyección Mensual'!AO369</f>
        <v/>
      </c>
      <c r="G35" s="10">
        <f>'Proyección Mensual'!AB369/'Proyección Mensual'!AO369</f>
        <v/>
      </c>
      <c r="H35" s="10">
        <f>'Proyección Mensual'!AH369/'Proyección Mensual'!AO369</f>
        <v/>
      </c>
      <c r="I35" s="9">
        <f>'Proyección Mensual'!AM369</f>
        <v/>
      </c>
      <c r="J35" s="9">
        <f>'Proyección Mensual'!AN369</f>
        <v/>
      </c>
      <c r="K35" s="9">
        <f>'Proyección Mensual'!J369*'Parámetros Proyección'!$B$11+'Proyección Mensual'!P369*'Parámetros Proyección'!$B$12+'Proyección Mensual'!V369*'Parámetros Proyección'!$B$13+'Proyección Mensual'!AB369*'Parámetros Proyección'!$B$14+'Proyección Mensual'!AH369*'Parámetros Proyección'!$B$15</f>
        <v/>
      </c>
      <c r="L35" s="9">
        <f>C35/(1+$C$2)^(A35-2026)</f>
        <v/>
      </c>
    </row>
    <row r="36">
      <c r="A36" s="11" t="n">
        <v>2057</v>
      </c>
      <c r="B36" s="11" t="n">
        <v>60</v>
      </c>
      <c r="C36" s="9">
        <f>'Proyección Mensual'!AO381</f>
        <v/>
      </c>
      <c r="D36" s="10">
        <f>'Proyección Mensual'!J381/'Proyección Mensual'!AO381</f>
        <v/>
      </c>
      <c r="E36" s="10">
        <f>'Proyección Mensual'!P381/'Proyección Mensual'!AO381</f>
        <v/>
      </c>
      <c r="F36" s="10">
        <f>'Proyección Mensual'!V381/'Proyección Mensual'!AO381</f>
        <v/>
      </c>
      <c r="G36" s="10">
        <f>'Proyección Mensual'!AB381/'Proyección Mensual'!AO381</f>
        <v/>
      </c>
      <c r="H36" s="10">
        <f>'Proyección Mensual'!AH381/'Proyección Mensual'!AO381</f>
        <v/>
      </c>
      <c r="I36" s="9">
        <f>'Proyección Mensual'!AM381</f>
        <v/>
      </c>
      <c r="J36" s="9">
        <f>'Proyección Mensual'!AN381</f>
        <v/>
      </c>
      <c r="K36" s="9">
        <f>'Proyección Mensual'!J381*'Parámetros Proyección'!$B$11+'Proyección Mensual'!P381*'Parámetros Proyección'!$B$12+'Proyección Mensual'!V381*'Parámetros Proyección'!$B$13+'Proyección Mensual'!AB381*'Parámetros Proyección'!$B$14+'Proyección Mensual'!AH381*'Parámetros Proyección'!$B$15</f>
        <v/>
      </c>
      <c r="L36" s="9">
        <f>C36/(1+$C$2)^(A36-2026)</f>
        <v/>
      </c>
    </row>
    <row r="37">
      <c r="A37" s="11" t="n">
        <v>2058</v>
      </c>
      <c r="B37" s="11" t="n">
        <v>61</v>
      </c>
      <c r="C37" s="9">
        <f>'Proyección Mensual'!AO393</f>
        <v/>
      </c>
      <c r="D37" s="10">
        <f>'Proyección Mensual'!J393/'Proyección Mensual'!AO393</f>
        <v/>
      </c>
      <c r="E37" s="10">
        <f>'Proyección Mensual'!P393/'Proyección Mensual'!AO393</f>
        <v/>
      </c>
      <c r="F37" s="10">
        <f>'Proyección Mensual'!V393/'Proyección Mensual'!AO393</f>
        <v/>
      </c>
      <c r="G37" s="10">
        <f>'Proyección Mensual'!AB393/'Proyección Mensual'!AO393</f>
        <v/>
      </c>
      <c r="H37" s="10">
        <f>'Proyección Mensual'!AH393/'Proyección Mensual'!AO393</f>
        <v/>
      </c>
      <c r="I37" s="9">
        <f>'Proyección Mensual'!AM393</f>
        <v/>
      </c>
      <c r="J37" s="9">
        <f>'Proyección Mensual'!AN393</f>
        <v/>
      </c>
      <c r="K37" s="9">
        <f>'Proyección Mensual'!J393*'Parámetros Proyección'!$B$11+'Proyección Mensual'!P393*'Parámetros Proyección'!$B$12+'Proyección Mensual'!V393*'Parámetros Proyección'!$B$13+'Proyección Mensual'!AB393*'Parámetros Proyección'!$B$14+'Proyección Mensual'!AH393*'Parámetros Proyección'!$B$15</f>
        <v/>
      </c>
      <c r="L37" s="9">
        <f>C37/(1+$C$2)^(A37-2026)</f>
        <v/>
      </c>
    </row>
    <row r="38">
      <c r="A38" s="11" t="n">
        <v>2059</v>
      </c>
      <c r="B38" s="11" t="n">
        <v>62</v>
      </c>
      <c r="C38" s="9">
        <f>'Proyección Mensual'!AO405</f>
        <v/>
      </c>
      <c r="D38" s="10">
        <f>'Proyección Mensual'!J405/'Proyección Mensual'!AO405</f>
        <v/>
      </c>
      <c r="E38" s="10">
        <f>'Proyección Mensual'!P405/'Proyección Mensual'!AO405</f>
        <v/>
      </c>
      <c r="F38" s="10">
        <f>'Proyección Mensual'!V405/'Proyección Mensual'!AO405</f>
        <v/>
      </c>
      <c r="G38" s="10">
        <f>'Proyección Mensual'!AB405/'Proyección Mensual'!AO405</f>
        <v/>
      </c>
      <c r="H38" s="10">
        <f>'Proyección Mensual'!AH405/'Proyección Mensual'!AO405</f>
        <v/>
      </c>
      <c r="I38" s="9">
        <f>'Proyección Mensual'!AM405</f>
        <v/>
      </c>
      <c r="J38" s="9">
        <f>'Proyección Mensual'!AN405</f>
        <v/>
      </c>
      <c r="K38" s="9">
        <f>'Proyección Mensual'!J405*'Parámetros Proyección'!$B$11+'Proyección Mensual'!P405*'Parámetros Proyección'!$B$12+'Proyección Mensual'!V405*'Parámetros Proyección'!$B$13+'Proyección Mensual'!AB405*'Parámetros Proyección'!$B$14+'Proyección Mensual'!AH405*'Parámetros Proyección'!$B$15</f>
        <v/>
      </c>
      <c r="L38" s="9">
        <f>C38/(1+$C$2)^(A38-2026)</f>
        <v/>
      </c>
    </row>
    <row r="39">
      <c r="A39" s="11" t="n">
        <v>2060</v>
      </c>
      <c r="B39" s="11" t="n">
        <v>63</v>
      </c>
      <c r="C39" s="9">
        <f>'Proyección Mensual'!AO417</f>
        <v/>
      </c>
      <c r="D39" s="10">
        <f>'Proyección Mensual'!J417/'Proyección Mensual'!AO417</f>
        <v/>
      </c>
      <c r="E39" s="10">
        <f>'Proyección Mensual'!P417/'Proyección Mensual'!AO417</f>
        <v/>
      </c>
      <c r="F39" s="10">
        <f>'Proyección Mensual'!V417/'Proyección Mensual'!AO417</f>
        <v/>
      </c>
      <c r="G39" s="10">
        <f>'Proyección Mensual'!AB417/'Proyección Mensual'!AO417</f>
        <v/>
      </c>
      <c r="H39" s="10">
        <f>'Proyección Mensual'!AH417/'Proyección Mensual'!AO417</f>
        <v/>
      </c>
      <c r="I39" s="9">
        <f>'Proyección Mensual'!AM417</f>
        <v/>
      </c>
      <c r="J39" s="9">
        <f>'Proyección Mensual'!AN417</f>
        <v/>
      </c>
      <c r="K39" s="9">
        <f>'Proyección Mensual'!J417*'Parámetros Proyección'!$B$11+'Proyección Mensual'!P417*'Parámetros Proyección'!$B$12+'Proyección Mensual'!V417*'Parámetros Proyección'!$B$13+'Proyección Mensual'!AB417*'Parámetros Proyección'!$B$14+'Proyección Mensual'!AH417*'Parámetros Proyección'!$B$15</f>
        <v/>
      </c>
      <c r="L39" s="9">
        <f>C39/(1+$C$2)^(A39-2026)</f>
        <v/>
      </c>
    </row>
    <row r="41">
      <c r="A41" s="17" t="inlineStr">
        <is>
          <t>Nota: la fila resaltada (2057) es el año en que cumples 60 años (15/02/2057).</t>
        </is>
      </c>
    </row>
    <row r="42">
      <c r="A42" s="17" t="inlineStr">
        <is>
          <t>Cambia cualquier supuesto en 'Parámetros Proyección' y esta tabla se recalcula sola.</t>
        </is>
      </c>
    </row>
  </sheetData>
  <mergeCells count="1">
    <mergeCell ref="A1:L1"/>
  </mergeCells>
  <conditionalFormatting sqref="A5:L39">
    <cfRule type="expression" priority="1" dxfId="2">
      <formula>$A5=2057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2026-06-26T15:20:11Z</dcterms:created>
  <dcterms:modified xsi:type="dcterms:W3CDTF">2026-06-30T01:41:24Z</dcterms:modified>
</cp:coreProperties>
</file>